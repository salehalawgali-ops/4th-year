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h alawgali\Desktop\مجلد جديد\"/>
    </mc:Choice>
  </mc:AlternateContent>
  <xr:revisionPtr revIDLastSave="0" documentId="8_{5C81F39D-3813-44B0-8FE9-501A1C720F5E}" xr6:coauthVersionLast="47" xr6:coauthVersionMax="47" xr10:uidLastSave="{00000000-0000-0000-0000-000000000000}"/>
  <bookViews>
    <workbookView xWindow="-108" yWindow="-108" windowWidth="23256" windowHeight="12456" tabRatio="584" xr2:uid="{00000000-000D-0000-FFFF-FFFF00000000}"/>
  </bookViews>
  <sheets>
    <sheet name="الدور الثاني" sheetId="3" r:id="rId1"/>
  </sheets>
  <definedNames>
    <definedName name="_xlnm._FilterDatabase" localSheetId="0" hidden="1">'الدور الثاني'!$B$9:$X$9</definedName>
    <definedName name="_xlnm.Print_Titles" localSheetId="0">'الدور الثاني'!$1:$8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90" i="3" l="1"/>
  <c r="W290" i="3"/>
  <c r="V290" i="3"/>
  <c r="S290" i="3"/>
  <c r="P290" i="3"/>
  <c r="L290" i="3"/>
  <c r="I290" i="3"/>
  <c r="F290" i="3"/>
  <c r="X289" i="3"/>
  <c r="W289" i="3"/>
  <c r="V289" i="3"/>
  <c r="S289" i="3"/>
  <c r="P289" i="3"/>
  <c r="L289" i="3"/>
  <c r="I289" i="3"/>
  <c r="F289" i="3"/>
  <c r="X58" i="3"/>
  <c r="W58" i="3"/>
  <c r="V58" i="3"/>
  <c r="S58" i="3"/>
  <c r="P58" i="3"/>
  <c r="L58" i="3"/>
  <c r="I58" i="3"/>
  <c r="F58" i="3"/>
  <c r="X288" i="3"/>
  <c r="W288" i="3"/>
  <c r="V288" i="3"/>
  <c r="S288" i="3"/>
  <c r="P288" i="3"/>
  <c r="L288" i="3"/>
  <c r="I288" i="3"/>
  <c r="F288" i="3"/>
  <c r="V87" i="3"/>
  <c r="X87" i="3" s="1"/>
  <c r="S87" i="3"/>
  <c r="P87" i="3"/>
  <c r="L87" i="3"/>
  <c r="I87" i="3"/>
  <c r="F87" i="3"/>
  <c r="X287" i="3"/>
  <c r="W287" i="3"/>
  <c r="V287" i="3"/>
  <c r="S287" i="3"/>
  <c r="P287" i="3"/>
  <c r="L287" i="3"/>
  <c r="I287" i="3"/>
  <c r="F287" i="3"/>
  <c r="V100" i="3"/>
  <c r="W100" i="3" s="1"/>
  <c r="S100" i="3"/>
  <c r="P100" i="3"/>
  <c r="L100" i="3"/>
  <c r="I100" i="3"/>
  <c r="F100" i="3"/>
  <c r="X105" i="3"/>
  <c r="W105" i="3"/>
  <c r="V105" i="3"/>
  <c r="S105" i="3"/>
  <c r="P105" i="3"/>
  <c r="L105" i="3"/>
  <c r="I105" i="3"/>
  <c r="F105" i="3"/>
  <c r="V31" i="3"/>
  <c r="X31" i="3" s="1"/>
  <c r="S31" i="3"/>
  <c r="P31" i="3"/>
  <c r="L31" i="3"/>
  <c r="I31" i="3"/>
  <c r="F31" i="3"/>
  <c r="X41" i="3"/>
  <c r="W41" i="3"/>
  <c r="V41" i="3"/>
  <c r="S41" i="3"/>
  <c r="P41" i="3"/>
  <c r="L41" i="3"/>
  <c r="I41" i="3"/>
  <c r="F41" i="3"/>
  <c r="V77" i="3"/>
  <c r="W77" i="3" s="1"/>
  <c r="S77" i="3"/>
  <c r="P77" i="3"/>
  <c r="L77" i="3"/>
  <c r="I77" i="3"/>
  <c r="F77" i="3"/>
  <c r="X286" i="3"/>
  <c r="W286" i="3"/>
  <c r="V286" i="3"/>
  <c r="S286" i="3"/>
  <c r="P286" i="3"/>
  <c r="L286" i="3"/>
  <c r="I286" i="3"/>
  <c r="F286" i="3"/>
  <c r="V38" i="3"/>
  <c r="X38" i="3" s="1"/>
  <c r="S38" i="3"/>
  <c r="P38" i="3"/>
  <c r="L38" i="3"/>
  <c r="I38" i="3"/>
  <c r="F38" i="3"/>
  <c r="X285" i="3"/>
  <c r="W285" i="3"/>
  <c r="V285" i="3"/>
  <c r="S285" i="3"/>
  <c r="P285" i="3"/>
  <c r="L285" i="3"/>
  <c r="I285" i="3"/>
  <c r="F285" i="3"/>
  <c r="V29" i="3"/>
  <c r="W29" i="3" s="1"/>
  <c r="S29" i="3"/>
  <c r="P29" i="3"/>
  <c r="L29" i="3"/>
  <c r="I29" i="3"/>
  <c r="F29" i="3"/>
  <c r="V47" i="3"/>
  <c r="X47" i="3" s="1"/>
  <c r="S47" i="3"/>
  <c r="P47" i="3"/>
  <c r="L47" i="3"/>
  <c r="I47" i="3"/>
  <c r="F47" i="3"/>
  <c r="V19" i="3"/>
  <c r="W19" i="3" s="1"/>
  <c r="S19" i="3"/>
  <c r="P19" i="3"/>
  <c r="L19" i="3"/>
  <c r="I19" i="3"/>
  <c r="F19" i="3"/>
  <c r="X284" i="3"/>
  <c r="W284" i="3"/>
  <c r="V284" i="3"/>
  <c r="S284" i="3"/>
  <c r="P284" i="3"/>
  <c r="L284" i="3"/>
  <c r="I284" i="3"/>
  <c r="F284" i="3"/>
  <c r="X283" i="3"/>
  <c r="W283" i="3"/>
  <c r="V283" i="3"/>
  <c r="S283" i="3"/>
  <c r="P283" i="3"/>
  <c r="L283" i="3"/>
  <c r="I283" i="3"/>
  <c r="F283" i="3"/>
  <c r="V11" i="3"/>
  <c r="W11" i="3" s="1"/>
  <c r="S11" i="3"/>
  <c r="P11" i="3"/>
  <c r="L11" i="3"/>
  <c r="I11" i="3"/>
  <c r="F11" i="3"/>
  <c r="V20" i="3"/>
  <c r="W20" i="3" s="1"/>
  <c r="S20" i="3"/>
  <c r="P20" i="3"/>
  <c r="L20" i="3"/>
  <c r="I20" i="3"/>
  <c r="F20" i="3"/>
  <c r="V25" i="3"/>
  <c r="X25" i="3" s="1"/>
  <c r="S25" i="3"/>
  <c r="P25" i="3"/>
  <c r="L25" i="3"/>
  <c r="I25" i="3"/>
  <c r="F25" i="3"/>
  <c r="X122" i="3"/>
  <c r="W122" i="3"/>
  <c r="V122" i="3"/>
  <c r="S122" i="3"/>
  <c r="P122" i="3"/>
  <c r="L122" i="3"/>
  <c r="I122" i="3"/>
  <c r="F122" i="3"/>
  <c r="V35" i="3"/>
  <c r="X35" i="3" s="1"/>
  <c r="S35" i="3"/>
  <c r="P35" i="3"/>
  <c r="L35" i="3"/>
  <c r="I35" i="3"/>
  <c r="F35" i="3"/>
  <c r="V40" i="3"/>
  <c r="X40" i="3" s="1"/>
  <c r="S40" i="3"/>
  <c r="P40" i="3"/>
  <c r="L40" i="3"/>
  <c r="I40" i="3"/>
  <c r="F40" i="3"/>
  <c r="V13" i="3"/>
  <c r="X13" i="3" s="1"/>
  <c r="S13" i="3"/>
  <c r="P13" i="3"/>
  <c r="L13" i="3"/>
  <c r="I13" i="3"/>
  <c r="F13" i="3"/>
  <c r="V12" i="3"/>
  <c r="W12" i="3" s="1"/>
  <c r="S12" i="3"/>
  <c r="P12" i="3"/>
  <c r="L12" i="3"/>
  <c r="I12" i="3"/>
  <c r="F12" i="3"/>
  <c r="X129" i="3"/>
  <c r="W129" i="3"/>
  <c r="V129" i="3"/>
  <c r="S129" i="3"/>
  <c r="P129" i="3"/>
  <c r="L129" i="3"/>
  <c r="I129" i="3"/>
  <c r="F129" i="3"/>
  <c r="X282" i="3"/>
  <c r="W282" i="3"/>
  <c r="V282" i="3"/>
  <c r="S282" i="3"/>
  <c r="P282" i="3"/>
  <c r="L282" i="3"/>
  <c r="I282" i="3"/>
  <c r="F282" i="3"/>
  <c r="V68" i="3"/>
  <c r="X68" i="3" s="1"/>
  <c r="S68" i="3"/>
  <c r="P68" i="3"/>
  <c r="L68" i="3"/>
  <c r="I68" i="3"/>
  <c r="F68" i="3"/>
  <c r="X281" i="3"/>
  <c r="W281" i="3"/>
  <c r="V281" i="3"/>
  <c r="S281" i="3"/>
  <c r="P281" i="3"/>
  <c r="L281" i="3"/>
  <c r="I281" i="3"/>
  <c r="F281" i="3"/>
  <c r="V67" i="3"/>
  <c r="X67" i="3" s="1"/>
  <c r="S67" i="3"/>
  <c r="P67" i="3"/>
  <c r="L67" i="3"/>
  <c r="I67" i="3"/>
  <c r="F67" i="3"/>
  <c r="X76" i="3"/>
  <c r="W76" i="3"/>
  <c r="V76" i="3"/>
  <c r="S76" i="3"/>
  <c r="P76" i="3"/>
  <c r="L76" i="3"/>
  <c r="I76" i="3"/>
  <c r="F76" i="3"/>
  <c r="V128" i="3"/>
  <c r="X128" i="3" s="1"/>
  <c r="S128" i="3"/>
  <c r="P128" i="3"/>
  <c r="L128" i="3"/>
  <c r="I128" i="3"/>
  <c r="F128" i="3"/>
  <c r="X161" i="3"/>
  <c r="W161" i="3"/>
  <c r="V161" i="3"/>
  <c r="S161" i="3"/>
  <c r="P161" i="3"/>
  <c r="L161" i="3"/>
  <c r="I161" i="3"/>
  <c r="F161" i="3"/>
  <c r="V48" i="3"/>
  <c r="X48" i="3" s="1"/>
  <c r="S48" i="3"/>
  <c r="P48" i="3"/>
  <c r="L48" i="3"/>
  <c r="I48" i="3"/>
  <c r="F48" i="3"/>
  <c r="X280" i="3"/>
  <c r="W280" i="3"/>
  <c r="V280" i="3"/>
  <c r="S280" i="3"/>
  <c r="P280" i="3"/>
  <c r="L280" i="3"/>
  <c r="I280" i="3"/>
  <c r="F280" i="3"/>
  <c r="X167" i="3"/>
  <c r="W167" i="3"/>
  <c r="V167" i="3"/>
  <c r="S167" i="3"/>
  <c r="P167" i="3"/>
  <c r="L167" i="3"/>
  <c r="I167" i="3"/>
  <c r="F167" i="3"/>
  <c r="X279" i="3"/>
  <c r="W279" i="3"/>
  <c r="V279" i="3"/>
  <c r="S279" i="3"/>
  <c r="P279" i="3"/>
  <c r="L279" i="3"/>
  <c r="I279" i="3"/>
  <c r="F279" i="3"/>
  <c r="V44" i="3"/>
  <c r="X44" i="3" s="1"/>
  <c r="S44" i="3"/>
  <c r="P44" i="3"/>
  <c r="L44" i="3"/>
  <c r="I44" i="3"/>
  <c r="F44" i="3"/>
  <c r="V160" i="3"/>
  <c r="X160" i="3" s="1"/>
  <c r="S160" i="3"/>
  <c r="P160" i="3"/>
  <c r="L160" i="3"/>
  <c r="I160" i="3"/>
  <c r="F160" i="3"/>
  <c r="V28" i="3"/>
  <c r="W28" i="3" s="1"/>
  <c r="S28" i="3"/>
  <c r="P28" i="3"/>
  <c r="L28" i="3"/>
  <c r="I28" i="3"/>
  <c r="F28" i="3"/>
  <c r="V34" i="3"/>
  <c r="W34" i="3" s="1"/>
  <c r="S34" i="3"/>
  <c r="P34" i="3"/>
  <c r="L34" i="3"/>
  <c r="I34" i="3"/>
  <c r="F34" i="3"/>
  <c r="X278" i="3"/>
  <c r="W278" i="3"/>
  <c r="V278" i="3"/>
  <c r="S278" i="3"/>
  <c r="P278" i="3"/>
  <c r="L278" i="3"/>
  <c r="I278" i="3"/>
  <c r="F278" i="3"/>
  <c r="V46" i="3"/>
  <c r="W46" i="3" s="1"/>
  <c r="S46" i="3"/>
  <c r="P46" i="3"/>
  <c r="L46" i="3"/>
  <c r="I46" i="3"/>
  <c r="F46" i="3"/>
  <c r="V121" i="3"/>
  <c r="W121" i="3" s="1"/>
  <c r="S121" i="3"/>
  <c r="P121" i="3"/>
  <c r="L121" i="3"/>
  <c r="I121" i="3"/>
  <c r="F121" i="3"/>
  <c r="X277" i="3"/>
  <c r="W277" i="3"/>
  <c r="V277" i="3"/>
  <c r="S277" i="3"/>
  <c r="P277" i="3"/>
  <c r="L277" i="3"/>
  <c r="I277" i="3"/>
  <c r="F277" i="3"/>
  <c r="V75" i="3"/>
  <c r="W75" i="3" s="1"/>
  <c r="S75" i="3"/>
  <c r="P75" i="3"/>
  <c r="L75" i="3"/>
  <c r="I75" i="3"/>
  <c r="F75" i="3"/>
  <c r="X276" i="3"/>
  <c r="W276" i="3"/>
  <c r="V276" i="3"/>
  <c r="S276" i="3"/>
  <c r="P276" i="3"/>
  <c r="L276" i="3"/>
  <c r="I276" i="3"/>
  <c r="F276" i="3"/>
  <c r="X275" i="3"/>
  <c r="W275" i="3"/>
  <c r="V275" i="3"/>
  <c r="S275" i="3"/>
  <c r="P275" i="3"/>
  <c r="L275" i="3"/>
  <c r="I275" i="3"/>
  <c r="F275" i="3"/>
  <c r="X274" i="3"/>
  <c r="W274" i="3"/>
  <c r="V274" i="3"/>
  <c r="S274" i="3"/>
  <c r="P274" i="3"/>
  <c r="L274" i="3"/>
  <c r="I274" i="3"/>
  <c r="F274" i="3"/>
  <c r="V94" i="3"/>
  <c r="W94" i="3" s="1"/>
  <c r="S94" i="3"/>
  <c r="P94" i="3"/>
  <c r="L94" i="3"/>
  <c r="I94" i="3"/>
  <c r="F94" i="3"/>
  <c r="V126" i="3"/>
  <c r="X126" i="3" s="1"/>
  <c r="S126" i="3"/>
  <c r="P126" i="3"/>
  <c r="L126" i="3"/>
  <c r="I126" i="3"/>
  <c r="F126" i="3"/>
  <c r="V43" i="3"/>
  <c r="X43" i="3" s="1"/>
  <c r="S43" i="3"/>
  <c r="P43" i="3"/>
  <c r="L43" i="3"/>
  <c r="I43" i="3"/>
  <c r="F43" i="3"/>
  <c r="X159" i="3"/>
  <c r="W159" i="3"/>
  <c r="V159" i="3"/>
  <c r="S159" i="3"/>
  <c r="P159" i="3"/>
  <c r="L159" i="3"/>
  <c r="I159" i="3"/>
  <c r="F159" i="3"/>
  <c r="V33" i="3"/>
  <c r="X33" i="3" s="1"/>
  <c r="S33" i="3"/>
  <c r="P33" i="3"/>
  <c r="L33" i="3"/>
  <c r="I33" i="3"/>
  <c r="F33" i="3"/>
  <c r="X273" i="3"/>
  <c r="W273" i="3"/>
  <c r="V273" i="3"/>
  <c r="S273" i="3"/>
  <c r="P273" i="3"/>
  <c r="L273" i="3"/>
  <c r="I273" i="3"/>
  <c r="F273" i="3"/>
  <c r="V18" i="3"/>
  <c r="W18" i="3" s="1"/>
  <c r="S18" i="3"/>
  <c r="P18" i="3"/>
  <c r="L18" i="3"/>
  <c r="I18" i="3"/>
  <c r="F18" i="3"/>
  <c r="V80" i="3"/>
  <c r="X80" i="3" s="1"/>
  <c r="S80" i="3"/>
  <c r="P80" i="3"/>
  <c r="L80" i="3"/>
  <c r="I80" i="3"/>
  <c r="F80" i="3"/>
  <c r="X272" i="3"/>
  <c r="W272" i="3"/>
  <c r="V272" i="3"/>
  <c r="S272" i="3"/>
  <c r="P272" i="3"/>
  <c r="L272" i="3"/>
  <c r="I272" i="3"/>
  <c r="F272" i="3"/>
  <c r="V22" i="3"/>
  <c r="W22" i="3" s="1"/>
  <c r="S22" i="3"/>
  <c r="P22" i="3"/>
  <c r="L22" i="3"/>
  <c r="I22" i="3"/>
  <c r="F22" i="3"/>
  <c r="X158" i="3"/>
  <c r="W158" i="3"/>
  <c r="V158" i="3"/>
  <c r="S158" i="3"/>
  <c r="P158" i="3"/>
  <c r="L158" i="3"/>
  <c r="I158" i="3"/>
  <c r="F158" i="3"/>
  <c r="V39" i="3"/>
  <c r="W39" i="3" s="1"/>
  <c r="S39" i="3"/>
  <c r="P39" i="3"/>
  <c r="L39" i="3"/>
  <c r="I39" i="3"/>
  <c r="F39" i="3"/>
  <c r="X157" i="3"/>
  <c r="W157" i="3"/>
  <c r="V157" i="3"/>
  <c r="S157" i="3"/>
  <c r="P157" i="3"/>
  <c r="L157" i="3"/>
  <c r="I157" i="3"/>
  <c r="F157" i="3"/>
  <c r="X271" i="3"/>
  <c r="W271" i="3"/>
  <c r="V271" i="3"/>
  <c r="S271" i="3"/>
  <c r="P271" i="3"/>
  <c r="L271" i="3"/>
  <c r="I271" i="3"/>
  <c r="F271" i="3"/>
  <c r="V97" i="3"/>
  <c r="X97" i="3" s="1"/>
  <c r="S97" i="3"/>
  <c r="P97" i="3"/>
  <c r="L97" i="3"/>
  <c r="I97" i="3"/>
  <c r="F97" i="3"/>
  <c r="X270" i="3"/>
  <c r="W270" i="3"/>
  <c r="V270" i="3"/>
  <c r="S270" i="3"/>
  <c r="P270" i="3"/>
  <c r="L270" i="3"/>
  <c r="I270" i="3"/>
  <c r="F270" i="3"/>
  <c r="V99" i="3"/>
  <c r="X99" i="3" s="1"/>
  <c r="S99" i="3"/>
  <c r="P99" i="3"/>
  <c r="L99" i="3"/>
  <c r="I99" i="3"/>
  <c r="F99" i="3"/>
  <c r="V156" i="3"/>
  <c r="X156" i="3" s="1"/>
  <c r="S156" i="3"/>
  <c r="P156" i="3"/>
  <c r="L156" i="3"/>
  <c r="I156" i="3"/>
  <c r="F156" i="3"/>
  <c r="X120" i="3"/>
  <c r="W120" i="3"/>
  <c r="V120" i="3"/>
  <c r="S120" i="3"/>
  <c r="P120" i="3"/>
  <c r="L120" i="3"/>
  <c r="I120" i="3"/>
  <c r="F120" i="3"/>
  <c r="X269" i="3"/>
  <c r="W269" i="3"/>
  <c r="V269" i="3"/>
  <c r="S269" i="3"/>
  <c r="P269" i="3"/>
  <c r="L269" i="3"/>
  <c r="I269" i="3"/>
  <c r="F269" i="3"/>
  <c r="X53" i="3"/>
  <c r="W53" i="3"/>
  <c r="V53" i="3"/>
  <c r="S53" i="3"/>
  <c r="P53" i="3"/>
  <c r="L53" i="3"/>
  <c r="I53" i="3"/>
  <c r="F53" i="3"/>
  <c r="V82" i="3"/>
  <c r="X82" i="3" s="1"/>
  <c r="S82" i="3"/>
  <c r="P82" i="3"/>
  <c r="L82" i="3"/>
  <c r="I82" i="3"/>
  <c r="F82" i="3"/>
  <c r="X268" i="3"/>
  <c r="W268" i="3"/>
  <c r="V268" i="3"/>
  <c r="S268" i="3"/>
  <c r="P268" i="3"/>
  <c r="L268" i="3"/>
  <c r="I268" i="3"/>
  <c r="F268" i="3"/>
  <c r="X267" i="3"/>
  <c r="W267" i="3"/>
  <c r="V267" i="3"/>
  <c r="S267" i="3"/>
  <c r="P267" i="3"/>
  <c r="L267" i="3"/>
  <c r="I267" i="3"/>
  <c r="F267" i="3"/>
  <c r="V109" i="3"/>
  <c r="X109" i="3" s="1"/>
  <c r="S109" i="3"/>
  <c r="P109" i="3"/>
  <c r="L109" i="3"/>
  <c r="I109" i="3"/>
  <c r="F109" i="3"/>
  <c r="V17" i="3"/>
  <c r="W17" i="3" s="1"/>
  <c r="S17" i="3"/>
  <c r="P17" i="3"/>
  <c r="L17" i="3"/>
  <c r="I17" i="3"/>
  <c r="F17" i="3"/>
  <c r="X168" i="3"/>
  <c r="W168" i="3"/>
  <c r="V168" i="3"/>
  <c r="S168" i="3"/>
  <c r="P168" i="3"/>
  <c r="L168" i="3"/>
  <c r="I168" i="3"/>
  <c r="F168" i="3"/>
  <c r="V70" i="3"/>
  <c r="X70" i="3" s="1"/>
  <c r="S70" i="3"/>
  <c r="P70" i="3"/>
  <c r="L70" i="3"/>
  <c r="I70" i="3"/>
  <c r="F70" i="3"/>
  <c r="V27" i="3"/>
  <c r="W27" i="3" s="1"/>
  <c r="S27" i="3"/>
  <c r="P27" i="3"/>
  <c r="L27" i="3"/>
  <c r="I27" i="3"/>
  <c r="F27" i="3"/>
  <c r="X266" i="3"/>
  <c r="W266" i="3"/>
  <c r="V266" i="3"/>
  <c r="S266" i="3"/>
  <c r="P266" i="3"/>
  <c r="L266" i="3"/>
  <c r="I266" i="3"/>
  <c r="F266" i="3"/>
  <c r="V155" i="3"/>
  <c r="X155" i="3" s="1"/>
  <c r="S155" i="3"/>
  <c r="P155" i="3"/>
  <c r="L155" i="3"/>
  <c r="I155" i="3"/>
  <c r="F155" i="3"/>
  <c r="V36" i="3"/>
  <c r="X36" i="3" s="1"/>
  <c r="S36" i="3"/>
  <c r="P36" i="3"/>
  <c r="L36" i="3"/>
  <c r="I36" i="3"/>
  <c r="F36" i="3"/>
  <c r="X154" i="3"/>
  <c r="W154" i="3"/>
  <c r="V154" i="3"/>
  <c r="S154" i="3"/>
  <c r="P154" i="3"/>
  <c r="L154" i="3"/>
  <c r="I154" i="3"/>
  <c r="F154" i="3"/>
  <c r="X153" i="3"/>
  <c r="W153" i="3"/>
  <c r="V153" i="3"/>
  <c r="S153" i="3"/>
  <c r="P153" i="3"/>
  <c r="L153" i="3"/>
  <c r="I153" i="3"/>
  <c r="F153" i="3"/>
  <c r="V21" i="3"/>
  <c r="X21" i="3" s="1"/>
  <c r="S21" i="3"/>
  <c r="P21" i="3"/>
  <c r="L21" i="3"/>
  <c r="I21" i="3"/>
  <c r="F21" i="3"/>
  <c r="X265" i="3"/>
  <c r="W265" i="3"/>
  <c r="V265" i="3"/>
  <c r="S265" i="3"/>
  <c r="P265" i="3"/>
  <c r="L265" i="3"/>
  <c r="I265" i="3"/>
  <c r="F265" i="3"/>
  <c r="X264" i="3"/>
  <c r="W264" i="3"/>
  <c r="V264" i="3"/>
  <c r="S264" i="3"/>
  <c r="P264" i="3"/>
  <c r="L264" i="3"/>
  <c r="I264" i="3"/>
  <c r="F264" i="3"/>
  <c r="V104" i="3"/>
  <c r="X104" i="3" s="1"/>
  <c r="S104" i="3"/>
  <c r="P104" i="3"/>
  <c r="L104" i="3"/>
  <c r="I104" i="3"/>
  <c r="F104" i="3"/>
  <c r="V66" i="3"/>
  <c r="X66" i="3" s="1"/>
  <c r="S66" i="3"/>
  <c r="P66" i="3"/>
  <c r="L66" i="3"/>
  <c r="I66" i="3"/>
  <c r="F66" i="3"/>
  <c r="V79" i="3"/>
  <c r="X79" i="3" s="1"/>
  <c r="S79" i="3"/>
  <c r="P79" i="3"/>
  <c r="L79" i="3"/>
  <c r="I79" i="3"/>
  <c r="F79" i="3"/>
  <c r="V78" i="3"/>
  <c r="W78" i="3" s="1"/>
  <c r="S78" i="3"/>
  <c r="P78" i="3"/>
  <c r="L78" i="3"/>
  <c r="I78" i="3"/>
  <c r="F78" i="3"/>
  <c r="X263" i="3"/>
  <c r="W263" i="3"/>
  <c r="V263" i="3"/>
  <c r="S263" i="3"/>
  <c r="P263" i="3"/>
  <c r="L263" i="3"/>
  <c r="I263" i="3"/>
  <c r="F263" i="3"/>
  <c r="V107" i="3"/>
  <c r="X107" i="3" s="1"/>
  <c r="S107" i="3"/>
  <c r="P107" i="3"/>
  <c r="L107" i="3"/>
  <c r="I107" i="3"/>
  <c r="F107" i="3"/>
  <c r="X119" i="3"/>
  <c r="W119" i="3"/>
  <c r="V119" i="3"/>
  <c r="S119" i="3"/>
  <c r="P119" i="3"/>
  <c r="L119" i="3"/>
  <c r="I119" i="3"/>
  <c r="F119" i="3"/>
  <c r="X262" i="3"/>
  <c r="W262" i="3"/>
  <c r="V262" i="3"/>
  <c r="S262" i="3"/>
  <c r="P262" i="3"/>
  <c r="L262" i="3"/>
  <c r="I262" i="3"/>
  <c r="F262" i="3"/>
  <c r="V65" i="3"/>
  <c r="X65" i="3" s="1"/>
  <c r="S65" i="3"/>
  <c r="P65" i="3"/>
  <c r="L65" i="3"/>
  <c r="I65" i="3"/>
  <c r="F65" i="3"/>
  <c r="X261" i="3"/>
  <c r="W261" i="3"/>
  <c r="V261" i="3"/>
  <c r="S261" i="3"/>
  <c r="P261" i="3"/>
  <c r="L261" i="3"/>
  <c r="I261" i="3"/>
  <c r="F261" i="3"/>
  <c r="X152" i="3"/>
  <c r="W152" i="3"/>
  <c r="V152" i="3"/>
  <c r="S152" i="3"/>
  <c r="P152" i="3"/>
  <c r="L152" i="3"/>
  <c r="I152" i="3"/>
  <c r="F152" i="3"/>
  <c r="V26" i="3"/>
  <c r="X26" i="3" s="1"/>
  <c r="S26" i="3"/>
  <c r="P26" i="3"/>
  <c r="L26" i="3"/>
  <c r="I26" i="3"/>
  <c r="F26" i="3"/>
  <c r="X61" i="3"/>
  <c r="W61" i="3"/>
  <c r="V61" i="3"/>
  <c r="S61" i="3"/>
  <c r="P61" i="3"/>
  <c r="L61" i="3"/>
  <c r="I61" i="3"/>
  <c r="F61" i="3"/>
  <c r="X260" i="3"/>
  <c r="W260" i="3"/>
  <c r="V260" i="3"/>
  <c r="S260" i="3"/>
  <c r="P260" i="3"/>
  <c r="L260" i="3"/>
  <c r="I260" i="3"/>
  <c r="F260" i="3"/>
  <c r="X259" i="3"/>
  <c r="W259" i="3"/>
  <c r="V259" i="3"/>
  <c r="S259" i="3"/>
  <c r="P259" i="3"/>
  <c r="L259" i="3"/>
  <c r="I259" i="3"/>
  <c r="F259" i="3"/>
  <c r="X258" i="3"/>
  <c r="W258" i="3"/>
  <c r="V258" i="3"/>
  <c r="S258" i="3"/>
  <c r="P258" i="3"/>
  <c r="L258" i="3"/>
  <c r="I258" i="3"/>
  <c r="F258" i="3"/>
  <c r="X62" i="3"/>
  <c r="W62" i="3"/>
  <c r="V62" i="3"/>
  <c r="S62" i="3"/>
  <c r="P62" i="3"/>
  <c r="L62" i="3"/>
  <c r="I62" i="3"/>
  <c r="F62" i="3"/>
  <c r="V117" i="3"/>
  <c r="W117" i="3" s="1"/>
  <c r="S117" i="3"/>
  <c r="P117" i="3"/>
  <c r="L117" i="3"/>
  <c r="I117" i="3"/>
  <c r="F117" i="3"/>
  <c r="V45" i="3"/>
  <c r="W45" i="3" s="1"/>
  <c r="S45" i="3"/>
  <c r="P45" i="3"/>
  <c r="L45" i="3"/>
  <c r="I45" i="3"/>
  <c r="F45" i="3"/>
  <c r="V54" i="3"/>
  <c r="X54" i="3" s="1"/>
  <c r="S54" i="3"/>
  <c r="P54" i="3"/>
  <c r="L54" i="3"/>
  <c r="I54" i="3"/>
  <c r="F54" i="3"/>
  <c r="X52" i="3"/>
  <c r="W52" i="3"/>
  <c r="V52" i="3"/>
  <c r="S52" i="3"/>
  <c r="P52" i="3"/>
  <c r="L52" i="3"/>
  <c r="I52" i="3"/>
  <c r="F52" i="3"/>
  <c r="X151" i="3"/>
  <c r="W151" i="3"/>
  <c r="V151" i="3"/>
  <c r="S151" i="3"/>
  <c r="P151" i="3"/>
  <c r="L151" i="3"/>
  <c r="I151" i="3"/>
  <c r="F151" i="3"/>
  <c r="X257" i="3"/>
  <c r="W257" i="3"/>
  <c r="V257" i="3"/>
  <c r="S257" i="3"/>
  <c r="P257" i="3"/>
  <c r="L257" i="3"/>
  <c r="I257" i="3"/>
  <c r="F257" i="3"/>
  <c r="X57" i="3"/>
  <c r="W57" i="3"/>
  <c r="V57" i="3"/>
  <c r="S57" i="3"/>
  <c r="P57" i="3"/>
  <c r="L57" i="3"/>
  <c r="I57" i="3"/>
  <c r="F57" i="3"/>
  <c r="V56" i="3"/>
  <c r="X56" i="3" s="1"/>
  <c r="S56" i="3"/>
  <c r="P56" i="3"/>
  <c r="L56" i="3"/>
  <c r="I56" i="3"/>
  <c r="F56" i="3"/>
  <c r="X256" i="3"/>
  <c r="W256" i="3"/>
  <c r="V256" i="3"/>
  <c r="S256" i="3"/>
  <c r="P256" i="3"/>
  <c r="L256" i="3"/>
  <c r="I256" i="3"/>
  <c r="F256" i="3"/>
  <c r="X255" i="3"/>
  <c r="W255" i="3"/>
  <c r="V255" i="3"/>
  <c r="S255" i="3"/>
  <c r="P255" i="3"/>
  <c r="L255" i="3"/>
  <c r="I255" i="3"/>
  <c r="F255" i="3"/>
  <c r="X254" i="3"/>
  <c r="W254" i="3"/>
  <c r="V254" i="3"/>
  <c r="S254" i="3"/>
  <c r="P254" i="3"/>
  <c r="L254" i="3"/>
  <c r="I254" i="3"/>
  <c r="F254" i="3"/>
  <c r="X253" i="3"/>
  <c r="W253" i="3"/>
  <c r="V253" i="3"/>
  <c r="S253" i="3"/>
  <c r="P253" i="3"/>
  <c r="L253" i="3"/>
  <c r="I253" i="3"/>
  <c r="F253" i="3"/>
  <c r="X71" i="3"/>
  <c r="W71" i="3"/>
  <c r="V71" i="3"/>
  <c r="S71" i="3"/>
  <c r="P71" i="3"/>
  <c r="L71" i="3"/>
  <c r="I71" i="3"/>
  <c r="F71" i="3"/>
  <c r="X113" i="3"/>
  <c r="W113" i="3"/>
  <c r="V113" i="3"/>
  <c r="S113" i="3"/>
  <c r="P113" i="3"/>
  <c r="L113" i="3"/>
  <c r="I113" i="3"/>
  <c r="F113" i="3"/>
  <c r="V30" i="3"/>
  <c r="X30" i="3" s="1"/>
  <c r="S30" i="3"/>
  <c r="P30" i="3"/>
  <c r="L30" i="3"/>
  <c r="I30" i="3"/>
  <c r="F30" i="3"/>
  <c r="X252" i="3"/>
  <c r="W252" i="3"/>
  <c r="V252" i="3"/>
  <c r="S252" i="3"/>
  <c r="P252" i="3"/>
  <c r="L252" i="3"/>
  <c r="I252" i="3"/>
  <c r="F252" i="3"/>
  <c r="V86" i="3"/>
  <c r="W86" i="3" s="1"/>
  <c r="S86" i="3"/>
  <c r="P86" i="3"/>
  <c r="L86" i="3"/>
  <c r="I86" i="3"/>
  <c r="F86" i="3"/>
  <c r="X251" i="3"/>
  <c r="W251" i="3"/>
  <c r="V251" i="3"/>
  <c r="S251" i="3"/>
  <c r="P251" i="3"/>
  <c r="L251" i="3"/>
  <c r="I251" i="3"/>
  <c r="F251" i="3"/>
  <c r="X250" i="3"/>
  <c r="W250" i="3"/>
  <c r="V250" i="3"/>
  <c r="S250" i="3"/>
  <c r="P250" i="3"/>
  <c r="L250" i="3"/>
  <c r="I250" i="3"/>
  <c r="F250" i="3"/>
  <c r="X64" i="3"/>
  <c r="W64" i="3"/>
  <c r="V64" i="3"/>
  <c r="S64" i="3"/>
  <c r="P64" i="3"/>
  <c r="L64" i="3"/>
  <c r="I64" i="3"/>
  <c r="F64" i="3"/>
  <c r="V88" i="3"/>
  <c r="X88" i="3" s="1"/>
  <c r="S88" i="3"/>
  <c r="P88" i="3"/>
  <c r="L88" i="3"/>
  <c r="I88" i="3"/>
  <c r="F88" i="3"/>
  <c r="X249" i="3"/>
  <c r="W249" i="3"/>
  <c r="V249" i="3"/>
  <c r="S249" i="3"/>
  <c r="P249" i="3"/>
  <c r="L249" i="3"/>
  <c r="I249" i="3"/>
  <c r="F249" i="3"/>
  <c r="X102" i="3"/>
  <c r="W102" i="3"/>
  <c r="V102" i="3"/>
  <c r="S102" i="3"/>
  <c r="P102" i="3"/>
  <c r="L102" i="3"/>
  <c r="I102" i="3"/>
  <c r="F102" i="3"/>
  <c r="X248" i="3"/>
  <c r="W248" i="3"/>
  <c r="V248" i="3"/>
  <c r="S248" i="3"/>
  <c r="P248" i="3"/>
  <c r="L248" i="3"/>
  <c r="I248" i="3"/>
  <c r="F248" i="3"/>
  <c r="X150" i="3"/>
  <c r="W150" i="3"/>
  <c r="V150" i="3"/>
  <c r="S150" i="3"/>
  <c r="P150" i="3"/>
  <c r="L150" i="3"/>
  <c r="I150" i="3"/>
  <c r="F150" i="3"/>
  <c r="V98" i="3"/>
  <c r="X98" i="3" s="1"/>
  <c r="S98" i="3"/>
  <c r="P98" i="3"/>
  <c r="L98" i="3"/>
  <c r="I98" i="3"/>
  <c r="F98" i="3"/>
  <c r="X247" i="3"/>
  <c r="W247" i="3"/>
  <c r="V247" i="3"/>
  <c r="S247" i="3"/>
  <c r="P247" i="3"/>
  <c r="L247" i="3"/>
  <c r="I247" i="3"/>
  <c r="F247" i="3"/>
  <c r="X246" i="3"/>
  <c r="W246" i="3"/>
  <c r="V246" i="3"/>
  <c r="S246" i="3"/>
  <c r="P246" i="3"/>
  <c r="L246" i="3"/>
  <c r="I246" i="3"/>
  <c r="F246" i="3"/>
  <c r="X245" i="3"/>
  <c r="W245" i="3"/>
  <c r="V245" i="3"/>
  <c r="S245" i="3"/>
  <c r="P245" i="3"/>
  <c r="L245" i="3"/>
  <c r="I245" i="3"/>
  <c r="F245" i="3"/>
  <c r="V23" i="3"/>
  <c r="X23" i="3" s="1"/>
  <c r="S23" i="3"/>
  <c r="P23" i="3"/>
  <c r="L23" i="3"/>
  <c r="I23" i="3"/>
  <c r="F23" i="3"/>
  <c r="X244" i="3"/>
  <c r="W244" i="3"/>
  <c r="V244" i="3"/>
  <c r="S244" i="3"/>
  <c r="P244" i="3"/>
  <c r="L244" i="3"/>
  <c r="I244" i="3"/>
  <c r="F244" i="3"/>
  <c r="X243" i="3"/>
  <c r="W243" i="3"/>
  <c r="V243" i="3"/>
  <c r="S243" i="3"/>
  <c r="P243" i="3"/>
  <c r="L243" i="3"/>
  <c r="I243" i="3"/>
  <c r="F243" i="3"/>
  <c r="X242" i="3"/>
  <c r="W242" i="3"/>
  <c r="V242" i="3"/>
  <c r="S242" i="3"/>
  <c r="P242" i="3"/>
  <c r="L242" i="3"/>
  <c r="I242" i="3"/>
  <c r="F242" i="3"/>
  <c r="X96" i="3"/>
  <c r="W96" i="3"/>
  <c r="V96" i="3"/>
  <c r="S96" i="3"/>
  <c r="P96" i="3"/>
  <c r="L96" i="3"/>
  <c r="I96" i="3"/>
  <c r="F96" i="3"/>
  <c r="V149" i="3"/>
  <c r="X149" i="3" s="1"/>
  <c r="S149" i="3"/>
  <c r="P149" i="3"/>
  <c r="L149" i="3"/>
  <c r="I149" i="3"/>
  <c r="F149" i="3"/>
  <c r="X241" i="3"/>
  <c r="W241" i="3"/>
  <c r="V241" i="3"/>
  <c r="S241" i="3"/>
  <c r="P241" i="3"/>
  <c r="L241" i="3"/>
  <c r="I241" i="3"/>
  <c r="F241" i="3"/>
  <c r="X165" i="3"/>
  <c r="W165" i="3"/>
  <c r="V165" i="3"/>
  <c r="S165" i="3"/>
  <c r="P165" i="3"/>
  <c r="L165" i="3"/>
  <c r="I165" i="3"/>
  <c r="F165" i="3"/>
  <c r="V148" i="3"/>
  <c r="X148" i="3" s="1"/>
  <c r="S148" i="3"/>
  <c r="P148" i="3"/>
  <c r="L148" i="3"/>
  <c r="I148" i="3"/>
  <c r="F148" i="3"/>
  <c r="X240" i="3"/>
  <c r="W240" i="3"/>
  <c r="V240" i="3"/>
  <c r="S240" i="3"/>
  <c r="P240" i="3"/>
  <c r="L240" i="3"/>
  <c r="I240" i="3"/>
  <c r="F240" i="3"/>
  <c r="X239" i="3"/>
  <c r="W239" i="3"/>
  <c r="V239" i="3"/>
  <c r="S239" i="3"/>
  <c r="P239" i="3"/>
  <c r="L239" i="3"/>
  <c r="I239" i="3"/>
  <c r="F239" i="3"/>
  <c r="X112" i="3"/>
  <c r="W112" i="3"/>
  <c r="V112" i="3"/>
  <c r="S112" i="3"/>
  <c r="P112" i="3"/>
  <c r="L112" i="3"/>
  <c r="I112" i="3"/>
  <c r="F112" i="3"/>
  <c r="X238" i="3"/>
  <c r="W238" i="3"/>
  <c r="V238" i="3"/>
  <c r="S238" i="3"/>
  <c r="P238" i="3"/>
  <c r="L238" i="3"/>
  <c r="I238" i="3"/>
  <c r="F238" i="3"/>
  <c r="X163" i="3"/>
  <c r="W163" i="3"/>
  <c r="V163" i="3"/>
  <c r="S163" i="3"/>
  <c r="P163" i="3"/>
  <c r="L163" i="3"/>
  <c r="I163" i="3"/>
  <c r="F163" i="3"/>
  <c r="X125" i="3"/>
  <c r="W125" i="3"/>
  <c r="V125" i="3"/>
  <c r="S125" i="3"/>
  <c r="P125" i="3"/>
  <c r="L125" i="3"/>
  <c r="I125" i="3"/>
  <c r="F125" i="3"/>
  <c r="V147" i="3"/>
  <c r="X147" i="3" s="1"/>
  <c r="S147" i="3"/>
  <c r="P147" i="3"/>
  <c r="L147" i="3"/>
  <c r="I147" i="3"/>
  <c r="F147" i="3"/>
  <c r="X146" i="3"/>
  <c r="W146" i="3"/>
  <c r="V146" i="3"/>
  <c r="S146" i="3"/>
  <c r="P146" i="3"/>
  <c r="L146" i="3"/>
  <c r="I146" i="3"/>
  <c r="F146" i="3"/>
  <c r="X237" i="3"/>
  <c r="W237" i="3"/>
  <c r="V237" i="3"/>
  <c r="S237" i="3"/>
  <c r="P237" i="3"/>
  <c r="L237" i="3"/>
  <c r="I237" i="3"/>
  <c r="F237" i="3"/>
  <c r="V51" i="3"/>
  <c r="X51" i="3" s="1"/>
  <c r="S51" i="3"/>
  <c r="P51" i="3"/>
  <c r="L51" i="3"/>
  <c r="I51" i="3"/>
  <c r="F51" i="3"/>
  <c r="X236" i="3"/>
  <c r="W236" i="3"/>
  <c r="V236" i="3"/>
  <c r="S236" i="3"/>
  <c r="P236" i="3"/>
  <c r="L236" i="3"/>
  <c r="I236" i="3"/>
  <c r="F236" i="3"/>
  <c r="V50" i="3"/>
  <c r="X50" i="3" s="1"/>
  <c r="S50" i="3"/>
  <c r="P50" i="3"/>
  <c r="L50" i="3"/>
  <c r="I50" i="3"/>
  <c r="F50" i="3"/>
  <c r="X235" i="3"/>
  <c r="W235" i="3"/>
  <c r="V235" i="3"/>
  <c r="S235" i="3"/>
  <c r="P235" i="3"/>
  <c r="L235" i="3"/>
  <c r="I235" i="3"/>
  <c r="F235" i="3"/>
  <c r="X234" i="3"/>
  <c r="W234" i="3"/>
  <c r="V234" i="3"/>
  <c r="S234" i="3"/>
  <c r="P234" i="3"/>
  <c r="L234" i="3"/>
  <c r="I234" i="3"/>
  <c r="F234" i="3"/>
  <c r="V49" i="3"/>
  <c r="W49" i="3" s="1"/>
  <c r="S49" i="3"/>
  <c r="P49" i="3"/>
  <c r="L49" i="3"/>
  <c r="I49" i="3"/>
  <c r="F49" i="3"/>
  <c r="X233" i="3"/>
  <c r="W233" i="3"/>
  <c r="V233" i="3"/>
  <c r="S233" i="3"/>
  <c r="P233" i="3"/>
  <c r="L233" i="3"/>
  <c r="I233" i="3"/>
  <c r="F233" i="3"/>
  <c r="X85" i="3"/>
  <c r="W85" i="3"/>
  <c r="V85" i="3"/>
  <c r="S85" i="3"/>
  <c r="P85" i="3"/>
  <c r="L85" i="3"/>
  <c r="I85" i="3"/>
  <c r="F85" i="3"/>
  <c r="X10" i="3"/>
  <c r="W10" i="3"/>
  <c r="V10" i="3"/>
  <c r="S10" i="3"/>
  <c r="P10" i="3"/>
  <c r="L10" i="3"/>
  <c r="I10" i="3"/>
  <c r="F10" i="3"/>
  <c r="X164" i="3"/>
  <c r="W164" i="3"/>
  <c r="V164" i="3"/>
  <c r="S164" i="3"/>
  <c r="P164" i="3"/>
  <c r="L164" i="3"/>
  <c r="I164" i="3"/>
  <c r="F164" i="3"/>
  <c r="X101" i="3"/>
  <c r="W101" i="3"/>
  <c r="V101" i="3"/>
  <c r="S101" i="3"/>
  <c r="P101" i="3"/>
  <c r="L101" i="3"/>
  <c r="I101" i="3"/>
  <c r="F101" i="3"/>
  <c r="V95" i="3"/>
  <c r="W95" i="3" s="1"/>
  <c r="S95" i="3"/>
  <c r="P95" i="3"/>
  <c r="L95" i="3"/>
  <c r="I95" i="3"/>
  <c r="F95" i="3"/>
  <c r="X145" i="3"/>
  <c r="W145" i="3"/>
  <c r="V145" i="3"/>
  <c r="S145" i="3"/>
  <c r="P145" i="3"/>
  <c r="L145" i="3"/>
  <c r="I145" i="3"/>
  <c r="F145" i="3"/>
  <c r="X232" i="3"/>
  <c r="W232" i="3"/>
  <c r="V232" i="3"/>
  <c r="S232" i="3"/>
  <c r="P232" i="3"/>
  <c r="L232" i="3"/>
  <c r="I232" i="3"/>
  <c r="F232" i="3"/>
  <c r="V81" i="3"/>
  <c r="W81" i="3" s="1"/>
  <c r="S81" i="3"/>
  <c r="P81" i="3"/>
  <c r="L81" i="3"/>
  <c r="I81" i="3"/>
  <c r="F81" i="3"/>
  <c r="X15" i="3"/>
  <c r="W15" i="3"/>
  <c r="V15" i="3"/>
  <c r="S15" i="3"/>
  <c r="P15" i="3"/>
  <c r="L15" i="3"/>
  <c r="I15" i="3"/>
  <c r="F15" i="3"/>
  <c r="X231" i="3"/>
  <c r="W231" i="3"/>
  <c r="V231" i="3"/>
  <c r="S231" i="3"/>
  <c r="P231" i="3"/>
  <c r="L231" i="3"/>
  <c r="I231" i="3"/>
  <c r="F231" i="3"/>
  <c r="X230" i="3"/>
  <c r="W230" i="3"/>
  <c r="V230" i="3"/>
  <c r="S230" i="3"/>
  <c r="P230" i="3"/>
  <c r="L230" i="3"/>
  <c r="I230" i="3"/>
  <c r="F230" i="3"/>
  <c r="X115" i="3"/>
  <c r="W115" i="3"/>
  <c r="V115" i="3"/>
  <c r="S115" i="3"/>
  <c r="P115" i="3"/>
  <c r="L115" i="3"/>
  <c r="I115" i="3"/>
  <c r="F115" i="3"/>
  <c r="X106" i="3"/>
  <c r="W106" i="3"/>
  <c r="V106" i="3"/>
  <c r="S106" i="3"/>
  <c r="P106" i="3"/>
  <c r="L106" i="3"/>
  <c r="I106" i="3"/>
  <c r="F106" i="3"/>
  <c r="X229" i="3"/>
  <c r="W229" i="3"/>
  <c r="V229" i="3"/>
  <c r="S229" i="3"/>
  <c r="P229" i="3"/>
  <c r="L229" i="3"/>
  <c r="I229" i="3"/>
  <c r="F229" i="3"/>
  <c r="V37" i="3"/>
  <c r="X37" i="3" s="1"/>
  <c r="S37" i="3"/>
  <c r="P37" i="3"/>
  <c r="L37" i="3"/>
  <c r="I37" i="3"/>
  <c r="F37" i="3"/>
  <c r="X228" i="3"/>
  <c r="W228" i="3"/>
  <c r="V228" i="3"/>
  <c r="S228" i="3"/>
  <c r="P228" i="3"/>
  <c r="L228" i="3"/>
  <c r="I228" i="3"/>
  <c r="F228" i="3"/>
  <c r="X227" i="3"/>
  <c r="W227" i="3"/>
  <c r="V227" i="3"/>
  <c r="S227" i="3"/>
  <c r="P227" i="3"/>
  <c r="L227" i="3"/>
  <c r="I227" i="3"/>
  <c r="F227" i="3"/>
  <c r="X226" i="3"/>
  <c r="W226" i="3"/>
  <c r="V226" i="3"/>
  <c r="S226" i="3"/>
  <c r="P226" i="3"/>
  <c r="L226" i="3"/>
  <c r="I226" i="3"/>
  <c r="F226" i="3"/>
  <c r="X225" i="3"/>
  <c r="W225" i="3"/>
  <c r="V225" i="3"/>
  <c r="S225" i="3"/>
  <c r="P225" i="3"/>
  <c r="L225" i="3"/>
  <c r="I225" i="3"/>
  <c r="F225" i="3"/>
  <c r="X224" i="3"/>
  <c r="W224" i="3"/>
  <c r="V224" i="3"/>
  <c r="S224" i="3"/>
  <c r="P224" i="3"/>
  <c r="L224" i="3"/>
  <c r="I224" i="3"/>
  <c r="F224" i="3"/>
  <c r="V144" i="3"/>
  <c r="X144" i="3" s="1"/>
  <c r="S144" i="3"/>
  <c r="P144" i="3"/>
  <c r="L144" i="3"/>
  <c r="I144" i="3"/>
  <c r="F144" i="3"/>
  <c r="V14" i="3"/>
  <c r="X14" i="3" s="1"/>
  <c r="S14" i="3"/>
  <c r="P14" i="3"/>
  <c r="L14" i="3"/>
  <c r="I14" i="3"/>
  <c r="F14" i="3"/>
  <c r="X223" i="3"/>
  <c r="W223" i="3"/>
  <c r="V223" i="3"/>
  <c r="S223" i="3"/>
  <c r="P223" i="3"/>
  <c r="L223" i="3"/>
  <c r="I223" i="3"/>
  <c r="F223" i="3"/>
  <c r="X222" i="3"/>
  <c r="W222" i="3"/>
  <c r="V222" i="3"/>
  <c r="S222" i="3"/>
  <c r="P222" i="3"/>
  <c r="L222" i="3"/>
  <c r="I222" i="3"/>
  <c r="F222" i="3"/>
  <c r="X221" i="3"/>
  <c r="W221" i="3"/>
  <c r="V221" i="3"/>
  <c r="S221" i="3"/>
  <c r="P221" i="3"/>
  <c r="L221" i="3"/>
  <c r="I221" i="3"/>
  <c r="F221" i="3"/>
  <c r="X220" i="3"/>
  <c r="W220" i="3"/>
  <c r="V220" i="3"/>
  <c r="S220" i="3"/>
  <c r="P220" i="3"/>
  <c r="L220" i="3"/>
  <c r="I220" i="3"/>
  <c r="F220" i="3"/>
  <c r="X219" i="3"/>
  <c r="W219" i="3"/>
  <c r="V219" i="3"/>
  <c r="S219" i="3"/>
  <c r="P219" i="3"/>
  <c r="L219" i="3"/>
  <c r="I219" i="3"/>
  <c r="F219" i="3"/>
  <c r="X218" i="3"/>
  <c r="W218" i="3"/>
  <c r="V218" i="3"/>
  <c r="S218" i="3"/>
  <c r="P218" i="3"/>
  <c r="L218" i="3"/>
  <c r="I218" i="3"/>
  <c r="F218" i="3"/>
  <c r="X169" i="3"/>
  <c r="W169" i="3"/>
  <c r="V169" i="3"/>
  <c r="S169" i="3"/>
  <c r="P169" i="3"/>
  <c r="L169" i="3"/>
  <c r="I169" i="3"/>
  <c r="F169" i="3"/>
  <c r="X217" i="3"/>
  <c r="W217" i="3"/>
  <c r="V217" i="3"/>
  <c r="S217" i="3"/>
  <c r="P217" i="3"/>
  <c r="L217" i="3"/>
  <c r="I217" i="3"/>
  <c r="F217" i="3"/>
  <c r="X118" i="3"/>
  <c r="W118" i="3"/>
  <c r="V118" i="3"/>
  <c r="S118" i="3"/>
  <c r="P118" i="3"/>
  <c r="L118" i="3"/>
  <c r="I118" i="3"/>
  <c r="F118" i="3"/>
  <c r="X216" i="3"/>
  <c r="W216" i="3"/>
  <c r="V216" i="3"/>
  <c r="S216" i="3"/>
  <c r="P216" i="3"/>
  <c r="L216" i="3"/>
  <c r="I216" i="3"/>
  <c r="F216" i="3"/>
  <c r="X92" i="3"/>
  <c r="W92" i="3"/>
  <c r="V92" i="3"/>
  <c r="S92" i="3"/>
  <c r="P92" i="3"/>
  <c r="L92" i="3"/>
  <c r="I92" i="3"/>
  <c r="F92" i="3"/>
  <c r="V124" i="3"/>
  <c r="X124" i="3" s="1"/>
  <c r="S124" i="3"/>
  <c r="P124" i="3"/>
  <c r="L124" i="3"/>
  <c r="I124" i="3"/>
  <c r="F124" i="3"/>
  <c r="X215" i="3"/>
  <c r="W215" i="3"/>
  <c r="V215" i="3"/>
  <c r="S215" i="3"/>
  <c r="P215" i="3"/>
  <c r="L215" i="3"/>
  <c r="I215" i="3"/>
  <c r="F215" i="3"/>
  <c r="X214" i="3"/>
  <c r="W214" i="3"/>
  <c r="V214" i="3"/>
  <c r="S214" i="3"/>
  <c r="P214" i="3"/>
  <c r="L214" i="3"/>
  <c r="I214" i="3"/>
  <c r="F214" i="3"/>
  <c r="X213" i="3"/>
  <c r="W213" i="3"/>
  <c r="V213" i="3"/>
  <c r="S213" i="3"/>
  <c r="P213" i="3"/>
  <c r="L213" i="3"/>
  <c r="I213" i="3"/>
  <c r="F213" i="3"/>
  <c r="X212" i="3"/>
  <c r="W212" i="3"/>
  <c r="V212" i="3"/>
  <c r="S212" i="3"/>
  <c r="P212" i="3"/>
  <c r="L212" i="3"/>
  <c r="I212" i="3"/>
  <c r="F212" i="3"/>
  <c r="X211" i="3"/>
  <c r="W211" i="3"/>
  <c r="V211" i="3"/>
  <c r="S211" i="3"/>
  <c r="P211" i="3"/>
  <c r="L211" i="3"/>
  <c r="I211" i="3"/>
  <c r="F211" i="3"/>
  <c r="X55" i="3"/>
  <c r="W55" i="3"/>
  <c r="V55" i="3"/>
  <c r="S55" i="3"/>
  <c r="P55" i="3"/>
  <c r="L55" i="3"/>
  <c r="I55" i="3"/>
  <c r="F55" i="3"/>
  <c r="X210" i="3"/>
  <c r="W210" i="3"/>
  <c r="V210" i="3"/>
  <c r="S210" i="3"/>
  <c r="P210" i="3"/>
  <c r="L210" i="3"/>
  <c r="I210" i="3"/>
  <c r="F210" i="3"/>
  <c r="X162" i="3"/>
  <c r="W162" i="3"/>
  <c r="V162" i="3"/>
  <c r="S162" i="3"/>
  <c r="P162" i="3"/>
  <c r="L162" i="3"/>
  <c r="I162" i="3"/>
  <c r="F162" i="3"/>
  <c r="X170" i="3"/>
  <c r="W170" i="3"/>
  <c r="V170" i="3"/>
  <c r="S170" i="3"/>
  <c r="P170" i="3"/>
  <c r="L170" i="3"/>
  <c r="I170" i="3"/>
  <c r="F170" i="3"/>
  <c r="X110" i="3"/>
  <c r="W110" i="3"/>
  <c r="V110" i="3"/>
  <c r="S110" i="3"/>
  <c r="P110" i="3"/>
  <c r="L110" i="3"/>
  <c r="I110" i="3"/>
  <c r="F110" i="3"/>
  <c r="X116" i="3"/>
  <c r="W116" i="3"/>
  <c r="V116" i="3"/>
  <c r="S116" i="3"/>
  <c r="P116" i="3"/>
  <c r="L116" i="3"/>
  <c r="I116" i="3"/>
  <c r="F116" i="3"/>
  <c r="X209" i="3"/>
  <c r="W209" i="3"/>
  <c r="V209" i="3"/>
  <c r="S209" i="3"/>
  <c r="P209" i="3"/>
  <c r="L209" i="3"/>
  <c r="I209" i="3"/>
  <c r="F209" i="3"/>
  <c r="X166" i="3"/>
  <c r="W166" i="3"/>
  <c r="V166" i="3"/>
  <c r="S166" i="3"/>
  <c r="P166" i="3"/>
  <c r="L166" i="3"/>
  <c r="I166" i="3"/>
  <c r="F166" i="3"/>
  <c r="X208" i="3"/>
  <c r="W208" i="3"/>
  <c r="V208" i="3"/>
  <c r="S208" i="3"/>
  <c r="P208" i="3"/>
  <c r="L208" i="3"/>
  <c r="I208" i="3"/>
  <c r="F208" i="3"/>
  <c r="X207" i="3"/>
  <c r="W207" i="3"/>
  <c r="V207" i="3"/>
  <c r="S207" i="3"/>
  <c r="P207" i="3"/>
  <c r="L207" i="3"/>
  <c r="I207" i="3"/>
  <c r="F207" i="3"/>
  <c r="V143" i="3"/>
  <c r="X143" i="3" s="1"/>
  <c r="S143" i="3"/>
  <c r="P143" i="3"/>
  <c r="L143" i="3"/>
  <c r="I143" i="3"/>
  <c r="F143" i="3"/>
  <c r="X123" i="3"/>
  <c r="W123" i="3"/>
  <c r="V123" i="3"/>
  <c r="S123" i="3"/>
  <c r="P123" i="3"/>
  <c r="L123" i="3"/>
  <c r="I123" i="3"/>
  <c r="F123" i="3"/>
  <c r="X206" i="3"/>
  <c r="W206" i="3"/>
  <c r="V206" i="3"/>
  <c r="S206" i="3"/>
  <c r="P206" i="3"/>
  <c r="L206" i="3"/>
  <c r="I206" i="3"/>
  <c r="F206" i="3"/>
  <c r="X205" i="3"/>
  <c r="W205" i="3"/>
  <c r="V205" i="3"/>
  <c r="S205" i="3"/>
  <c r="P205" i="3"/>
  <c r="L205" i="3"/>
  <c r="I205" i="3"/>
  <c r="F205" i="3"/>
  <c r="X204" i="3"/>
  <c r="W204" i="3"/>
  <c r="V204" i="3"/>
  <c r="S204" i="3"/>
  <c r="P204" i="3"/>
  <c r="L204" i="3"/>
  <c r="I204" i="3"/>
  <c r="F204" i="3"/>
  <c r="X42" i="3"/>
  <c r="W42" i="3"/>
  <c r="V42" i="3"/>
  <c r="S42" i="3"/>
  <c r="P42" i="3"/>
  <c r="L42" i="3"/>
  <c r="I42" i="3"/>
  <c r="F42" i="3"/>
  <c r="X203" i="3"/>
  <c r="W203" i="3"/>
  <c r="V203" i="3"/>
  <c r="S203" i="3"/>
  <c r="P203" i="3"/>
  <c r="L203" i="3"/>
  <c r="I203" i="3"/>
  <c r="F203" i="3"/>
  <c r="X202" i="3"/>
  <c r="W202" i="3"/>
  <c r="V202" i="3"/>
  <c r="S202" i="3"/>
  <c r="P202" i="3"/>
  <c r="L202" i="3"/>
  <c r="I202" i="3"/>
  <c r="F202" i="3"/>
  <c r="X84" i="3"/>
  <c r="W84" i="3"/>
  <c r="V84" i="3"/>
  <c r="S84" i="3"/>
  <c r="P84" i="3"/>
  <c r="L84" i="3"/>
  <c r="I84" i="3"/>
  <c r="F84" i="3"/>
  <c r="X142" i="3"/>
  <c r="W142" i="3"/>
  <c r="V142" i="3"/>
  <c r="S142" i="3"/>
  <c r="P142" i="3"/>
  <c r="L142" i="3"/>
  <c r="I142" i="3"/>
  <c r="F142" i="3"/>
  <c r="V32" i="3"/>
  <c r="X32" i="3" s="1"/>
  <c r="S32" i="3"/>
  <c r="P32" i="3"/>
  <c r="L32" i="3"/>
  <c r="I32" i="3"/>
  <c r="F32" i="3"/>
  <c r="X201" i="3"/>
  <c r="W201" i="3"/>
  <c r="V201" i="3"/>
  <c r="S201" i="3"/>
  <c r="P201" i="3"/>
  <c r="L201" i="3"/>
  <c r="I201" i="3"/>
  <c r="F201" i="3"/>
  <c r="X141" i="3"/>
  <c r="W141" i="3"/>
  <c r="V141" i="3"/>
  <c r="S141" i="3"/>
  <c r="P141" i="3"/>
  <c r="L141" i="3"/>
  <c r="I141" i="3"/>
  <c r="F141" i="3"/>
  <c r="X108" i="3"/>
  <c r="W108" i="3"/>
  <c r="V108" i="3"/>
  <c r="S108" i="3"/>
  <c r="P108" i="3"/>
  <c r="L108" i="3"/>
  <c r="I108" i="3"/>
  <c r="F108" i="3"/>
  <c r="X200" i="3"/>
  <c r="W200" i="3"/>
  <c r="V200" i="3"/>
  <c r="S200" i="3"/>
  <c r="P200" i="3"/>
  <c r="L200" i="3"/>
  <c r="I200" i="3"/>
  <c r="F200" i="3"/>
  <c r="V140" i="3"/>
  <c r="X140" i="3" s="1"/>
  <c r="S140" i="3"/>
  <c r="P140" i="3"/>
  <c r="L140" i="3"/>
  <c r="I140" i="3"/>
  <c r="F140" i="3"/>
  <c r="X199" i="3"/>
  <c r="W199" i="3"/>
  <c r="V199" i="3"/>
  <c r="S199" i="3"/>
  <c r="P199" i="3"/>
  <c r="L199" i="3"/>
  <c r="I199" i="3"/>
  <c r="F199" i="3"/>
  <c r="X198" i="3"/>
  <c r="W198" i="3"/>
  <c r="V198" i="3"/>
  <c r="S198" i="3"/>
  <c r="P198" i="3"/>
  <c r="L198" i="3"/>
  <c r="I198" i="3"/>
  <c r="F198" i="3"/>
  <c r="X111" i="3"/>
  <c r="W111" i="3"/>
  <c r="V111" i="3"/>
  <c r="S111" i="3"/>
  <c r="P111" i="3"/>
  <c r="L111" i="3"/>
  <c r="I111" i="3"/>
  <c r="F111" i="3"/>
  <c r="X197" i="3"/>
  <c r="W197" i="3"/>
  <c r="V197" i="3"/>
  <c r="S197" i="3"/>
  <c r="P197" i="3"/>
  <c r="L197" i="3"/>
  <c r="I197" i="3"/>
  <c r="F197" i="3"/>
  <c r="X91" i="3"/>
  <c r="W91" i="3"/>
  <c r="V91" i="3"/>
  <c r="S91" i="3"/>
  <c r="P91" i="3"/>
  <c r="L91" i="3"/>
  <c r="I91" i="3"/>
  <c r="F91" i="3"/>
  <c r="X196" i="3"/>
  <c r="W196" i="3"/>
  <c r="V196" i="3"/>
  <c r="S196" i="3"/>
  <c r="P196" i="3"/>
  <c r="L196" i="3"/>
  <c r="I196" i="3"/>
  <c r="F196" i="3"/>
  <c r="V24" i="3"/>
  <c r="X24" i="3" s="1"/>
  <c r="S24" i="3"/>
  <c r="P24" i="3"/>
  <c r="L24" i="3"/>
  <c r="I24" i="3"/>
  <c r="F24" i="3"/>
  <c r="V139" i="3"/>
  <c r="X139" i="3" s="1"/>
  <c r="S139" i="3"/>
  <c r="P139" i="3"/>
  <c r="L139" i="3"/>
  <c r="I139" i="3"/>
  <c r="F139" i="3"/>
  <c r="X195" i="3"/>
  <c r="W195" i="3"/>
  <c r="V195" i="3"/>
  <c r="S195" i="3"/>
  <c r="P195" i="3"/>
  <c r="L195" i="3"/>
  <c r="I195" i="3"/>
  <c r="F195" i="3"/>
  <c r="X69" i="3"/>
  <c r="W69" i="3"/>
  <c r="V69" i="3"/>
  <c r="S69" i="3"/>
  <c r="P69" i="3"/>
  <c r="L69" i="3"/>
  <c r="I69" i="3"/>
  <c r="F69" i="3"/>
  <c r="X194" i="3"/>
  <c r="W194" i="3"/>
  <c r="V194" i="3"/>
  <c r="S194" i="3"/>
  <c r="P194" i="3"/>
  <c r="L194" i="3"/>
  <c r="I194" i="3"/>
  <c r="F194" i="3"/>
  <c r="X138" i="3"/>
  <c r="W138" i="3"/>
  <c r="V138" i="3"/>
  <c r="S138" i="3"/>
  <c r="P138" i="3"/>
  <c r="L138" i="3"/>
  <c r="I138" i="3"/>
  <c r="F138" i="3"/>
  <c r="X193" i="3"/>
  <c r="W193" i="3"/>
  <c r="V193" i="3"/>
  <c r="S193" i="3"/>
  <c r="P193" i="3"/>
  <c r="L193" i="3"/>
  <c r="I193" i="3"/>
  <c r="F193" i="3"/>
  <c r="X192" i="3"/>
  <c r="W192" i="3"/>
  <c r="V192" i="3"/>
  <c r="S192" i="3"/>
  <c r="P192" i="3"/>
  <c r="L192" i="3"/>
  <c r="I192" i="3"/>
  <c r="F192" i="3"/>
  <c r="X191" i="3"/>
  <c r="W191" i="3"/>
  <c r="V191" i="3"/>
  <c r="S191" i="3"/>
  <c r="P191" i="3"/>
  <c r="L191" i="3"/>
  <c r="I191" i="3"/>
  <c r="F191" i="3"/>
  <c r="X127" i="3"/>
  <c r="W127" i="3"/>
  <c r="V127" i="3"/>
  <c r="S127" i="3"/>
  <c r="P127" i="3"/>
  <c r="L127" i="3"/>
  <c r="I127" i="3"/>
  <c r="F127" i="3"/>
  <c r="X190" i="3"/>
  <c r="W190" i="3"/>
  <c r="V190" i="3"/>
  <c r="S190" i="3"/>
  <c r="P190" i="3"/>
  <c r="L190" i="3"/>
  <c r="I190" i="3"/>
  <c r="F190" i="3"/>
  <c r="X90" i="3"/>
  <c r="W90" i="3"/>
  <c r="V90" i="3"/>
  <c r="S90" i="3"/>
  <c r="P90" i="3"/>
  <c r="L90" i="3"/>
  <c r="I90" i="3"/>
  <c r="F90" i="3"/>
  <c r="X189" i="3"/>
  <c r="W189" i="3"/>
  <c r="V189" i="3"/>
  <c r="S189" i="3"/>
  <c r="P189" i="3"/>
  <c r="L189" i="3"/>
  <c r="I189" i="3"/>
  <c r="F189" i="3"/>
  <c r="X93" i="3"/>
  <c r="W93" i="3"/>
  <c r="V93" i="3"/>
  <c r="S93" i="3"/>
  <c r="P93" i="3"/>
  <c r="L93" i="3"/>
  <c r="I93" i="3"/>
  <c r="F93" i="3"/>
  <c r="X74" i="3"/>
  <c r="W74" i="3"/>
  <c r="V74" i="3"/>
  <c r="S74" i="3"/>
  <c r="P74" i="3"/>
  <c r="L74" i="3"/>
  <c r="I74" i="3"/>
  <c r="F74" i="3"/>
  <c r="X188" i="3"/>
  <c r="W188" i="3"/>
  <c r="V188" i="3"/>
  <c r="S188" i="3"/>
  <c r="P188" i="3"/>
  <c r="L188" i="3"/>
  <c r="I188" i="3"/>
  <c r="F188" i="3"/>
  <c r="X137" i="3"/>
  <c r="W137" i="3"/>
  <c r="V137" i="3"/>
  <c r="S137" i="3"/>
  <c r="P137" i="3"/>
  <c r="L137" i="3"/>
  <c r="I137" i="3"/>
  <c r="F137" i="3"/>
  <c r="X136" i="3"/>
  <c r="W136" i="3"/>
  <c r="V136" i="3"/>
  <c r="S136" i="3"/>
  <c r="P136" i="3"/>
  <c r="L136" i="3"/>
  <c r="I136" i="3"/>
  <c r="F136" i="3"/>
  <c r="X187" i="3"/>
  <c r="W187" i="3"/>
  <c r="V187" i="3"/>
  <c r="S187" i="3"/>
  <c r="P187" i="3"/>
  <c r="L187" i="3"/>
  <c r="I187" i="3"/>
  <c r="F187" i="3"/>
  <c r="X186" i="3"/>
  <c r="W186" i="3"/>
  <c r="V186" i="3"/>
  <c r="S186" i="3"/>
  <c r="P186" i="3"/>
  <c r="L186" i="3"/>
  <c r="I186" i="3"/>
  <c r="F186" i="3"/>
  <c r="V63" i="3"/>
  <c r="X63" i="3" s="1"/>
  <c r="S63" i="3"/>
  <c r="P63" i="3"/>
  <c r="L63" i="3"/>
  <c r="I63" i="3"/>
  <c r="F63" i="3"/>
  <c r="X185" i="3"/>
  <c r="W185" i="3"/>
  <c r="V185" i="3"/>
  <c r="S185" i="3"/>
  <c r="P185" i="3"/>
  <c r="L185" i="3"/>
  <c r="I185" i="3"/>
  <c r="F185" i="3"/>
  <c r="X184" i="3"/>
  <c r="W184" i="3"/>
  <c r="V184" i="3"/>
  <c r="S184" i="3"/>
  <c r="P184" i="3"/>
  <c r="L184" i="3"/>
  <c r="I184" i="3"/>
  <c r="F184" i="3"/>
  <c r="X114" i="3"/>
  <c r="W114" i="3"/>
  <c r="V114" i="3"/>
  <c r="S114" i="3"/>
  <c r="P114" i="3"/>
  <c r="L114" i="3"/>
  <c r="I114" i="3"/>
  <c r="F114" i="3"/>
  <c r="V16" i="3"/>
  <c r="X16" i="3" s="1"/>
  <c r="S16" i="3"/>
  <c r="P16" i="3"/>
  <c r="L16" i="3"/>
  <c r="I16" i="3"/>
  <c r="F16" i="3"/>
  <c r="X183" i="3"/>
  <c r="W183" i="3"/>
  <c r="V183" i="3"/>
  <c r="S183" i="3"/>
  <c r="P183" i="3"/>
  <c r="L183" i="3"/>
  <c r="I183" i="3"/>
  <c r="F183" i="3"/>
  <c r="X89" i="3"/>
  <c r="W89" i="3"/>
  <c r="V89" i="3"/>
  <c r="S89" i="3"/>
  <c r="P89" i="3"/>
  <c r="L89" i="3"/>
  <c r="I89" i="3"/>
  <c r="F89" i="3"/>
  <c r="X182" i="3"/>
  <c r="W182" i="3"/>
  <c r="V182" i="3"/>
  <c r="S182" i="3"/>
  <c r="P182" i="3"/>
  <c r="L182" i="3"/>
  <c r="I182" i="3"/>
  <c r="F182" i="3"/>
  <c r="X103" i="3"/>
  <c r="W103" i="3"/>
  <c r="V103" i="3"/>
  <c r="S103" i="3"/>
  <c r="P103" i="3"/>
  <c r="L103" i="3"/>
  <c r="I103" i="3"/>
  <c r="F103" i="3"/>
  <c r="X135" i="3"/>
  <c r="W135" i="3"/>
  <c r="V135" i="3"/>
  <c r="S135" i="3"/>
  <c r="P135" i="3"/>
  <c r="L135" i="3"/>
  <c r="I135" i="3"/>
  <c r="F135" i="3"/>
  <c r="X181" i="3"/>
  <c r="W181" i="3"/>
  <c r="V181" i="3"/>
  <c r="S181" i="3"/>
  <c r="P181" i="3"/>
  <c r="L181" i="3"/>
  <c r="I181" i="3"/>
  <c r="F181" i="3"/>
  <c r="X73" i="3"/>
  <c r="W73" i="3"/>
  <c r="V73" i="3"/>
  <c r="S73" i="3"/>
  <c r="P73" i="3"/>
  <c r="L73" i="3"/>
  <c r="I73" i="3"/>
  <c r="F73" i="3"/>
  <c r="X180" i="3"/>
  <c r="W180" i="3"/>
  <c r="V180" i="3"/>
  <c r="S180" i="3"/>
  <c r="P180" i="3"/>
  <c r="L180" i="3"/>
  <c r="I180" i="3"/>
  <c r="F180" i="3"/>
  <c r="X134" i="3"/>
  <c r="W134" i="3"/>
  <c r="V134" i="3"/>
  <c r="S134" i="3"/>
  <c r="P134" i="3"/>
  <c r="L134" i="3"/>
  <c r="I134" i="3"/>
  <c r="F134" i="3"/>
  <c r="X83" i="3"/>
  <c r="W83" i="3"/>
  <c r="V83" i="3"/>
  <c r="S83" i="3"/>
  <c r="P83" i="3"/>
  <c r="L83" i="3"/>
  <c r="I83" i="3"/>
  <c r="F83" i="3"/>
  <c r="X133" i="3"/>
  <c r="W133" i="3"/>
  <c r="V133" i="3"/>
  <c r="S133" i="3"/>
  <c r="P133" i="3"/>
  <c r="L133" i="3"/>
  <c r="I133" i="3"/>
  <c r="F133" i="3"/>
  <c r="X179" i="3"/>
  <c r="W179" i="3"/>
  <c r="V179" i="3"/>
  <c r="S179" i="3"/>
  <c r="P179" i="3"/>
  <c r="L179" i="3"/>
  <c r="I179" i="3"/>
  <c r="F179" i="3"/>
  <c r="X72" i="3"/>
  <c r="W72" i="3"/>
  <c r="V72" i="3"/>
  <c r="S72" i="3"/>
  <c r="P72" i="3"/>
  <c r="L72" i="3"/>
  <c r="I72" i="3"/>
  <c r="F72" i="3"/>
  <c r="X132" i="3"/>
  <c r="W132" i="3"/>
  <c r="V132" i="3"/>
  <c r="S132" i="3"/>
  <c r="P132" i="3"/>
  <c r="L132" i="3"/>
  <c r="I132" i="3"/>
  <c r="F132" i="3"/>
  <c r="X178" i="3"/>
  <c r="W178" i="3"/>
  <c r="V178" i="3"/>
  <c r="S178" i="3"/>
  <c r="P178" i="3"/>
  <c r="L178" i="3"/>
  <c r="I178" i="3"/>
  <c r="F178" i="3"/>
  <c r="X177" i="3"/>
  <c r="W177" i="3"/>
  <c r="V177" i="3"/>
  <c r="S177" i="3"/>
  <c r="P177" i="3"/>
  <c r="L177" i="3"/>
  <c r="I177" i="3"/>
  <c r="F177" i="3"/>
  <c r="X60" i="3"/>
  <c r="W60" i="3"/>
  <c r="V60" i="3"/>
  <c r="S60" i="3"/>
  <c r="P60" i="3"/>
  <c r="L60" i="3"/>
  <c r="I60" i="3"/>
  <c r="F60" i="3"/>
  <c r="X176" i="3"/>
  <c r="W176" i="3"/>
  <c r="V176" i="3"/>
  <c r="S176" i="3"/>
  <c r="P176" i="3"/>
  <c r="L176" i="3"/>
  <c r="I176" i="3"/>
  <c r="F176" i="3"/>
  <c r="X175" i="3"/>
  <c r="W175" i="3"/>
  <c r="V175" i="3"/>
  <c r="S175" i="3"/>
  <c r="P175" i="3"/>
  <c r="L175" i="3"/>
  <c r="I175" i="3"/>
  <c r="F175" i="3"/>
  <c r="X131" i="3"/>
  <c r="W131" i="3"/>
  <c r="V131" i="3"/>
  <c r="S131" i="3"/>
  <c r="P131" i="3"/>
  <c r="L131" i="3"/>
  <c r="I131" i="3"/>
  <c r="F131" i="3"/>
  <c r="V59" i="3"/>
  <c r="X59" i="3" s="1"/>
  <c r="S59" i="3"/>
  <c r="P59" i="3"/>
  <c r="L59" i="3"/>
  <c r="I59" i="3"/>
  <c r="F59" i="3"/>
  <c r="X130" i="3"/>
  <c r="W130" i="3"/>
  <c r="V130" i="3"/>
  <c r="S130" i="3"/>
  <c r="P130" i="3"/>
  <c r="L130" i="3"/>
  <c r="I130" i="3"/>
  <c r="F130" i="3"/>
  <c r="X174" i="3"/>
  <c r="W174" i="3"/>
  <c r="V174" i="3"/>
  <c r="S174" i="3"/>
  <c r="P174" i="3"/>
  <c r="L174" i="3"/>
  <c r="I174" i="3"/>
  <c r="F174" i="3"/>
  <c r="X173" i="3"/>
  <c r="W173" i="3"/>
  <c r="V173" i="3"/>
  <c r="S173" i="3"/>
  <c r="P173" i="3"/>
  <c r="L173" i="3"/>
  <c r="I173" i="3"/>
  <c r="F173" i="3"/>
  <c r="X172" i="3"/>
  <c r="W172" i="3"/>
  <c r="V172" i="3"/>
  <c r="S172" i="3"/>
  <c r="P172" i="3"/>
  <c r="L172" i="3"/>
  <c r="I172" i="3"/>
  <c r="F172" i="3"/>
  <c r="X171" i="3"/>
  <c r="W171" i="3"/>
  <c r="V171" i="3"/>
  <c r="S171" i="3"/>
  <c r="P171" i="3"/>
  <c r="L171" i="3"/>
  <c r="I171" i="3"/>
  <c r="F171" i="3"/>
  <c r="Z2" i="3"/>
  <c r="X100" i="3" l="1"/>
  <c r="X49" i="3"/>
  <c r="X95" i="3"/>
  <c r="X81" i="3"/>
  <c r="X86" i="3"/>
  <c r="X117" i="3"/>
  <c r="W70" i="3"/>
  <c r="X18" i="3"/>
  <c r="W67" i="3"/>
  <c r="X29" i="3"/>
  <c r="W32" i="3"/>
  <c r="W139" i="3"/>
  <c r="W51" i="3"/>
  <c r="W147" i="3"/>
  <c r="W23" i="3"/>
  <c r="W155" i="3"/>
  <c r="W43" i="3"/>
  <c r="W140" i="3"/>
  <c r="W143" i="3"/>
  <c r="W144" i="3"/>
  <c r="W37" i="3"/>
  <c r="W68" i="3"/>
  <c r="W40" i="3"/>
  <c r="W63" i="3"/>
  <c r="W56" i="3"/>
  <c r="W104" i="3"/>
  <c r="W21" i="3"/>
  <c r="W36" i="3"/>
  <c r="W148" i="3"/>
  <c r="W149" i="3"/>
  <c r="W98" i="3"/>
  <c r="W54" i="3"/>
  <c r="W66" i="3"/>
  <c r="W109" i="3"/>
  <c r="X12" i="3"/>
  <c r="X20" i="3"/>
  <c r="X22" i="3"/>
  <c r="W14" i="3"/>
  <c r="X46" i="3"/>
  <c r="X75" i="3"/>
  <c r="X121" i="3"/>
  <c r="W88" i="3"/>
  <c r="W30" i="3"/>
  <c r="X78" i="3"/>
  <c r="X94" i="3"/>
  <c r="W99" i="3"/>
  <c r="X28" i="3"/>
  <c r="W59" i="3"/>
  <c r="W16" i="3"/>
  <c r="W24" i="3"/>
  <c r="X39" i="3"/>
  <c r="W35" i="3"/>
  <c r="W124" i="3"/>
  <c r="X17" i="3"/>
  <c r="X34" i="3"/>
  <c r="X19" i="3"/>
  <c r="X27" i="3"/>
  <c r="X11" i="3"/>
  <c r="W26" i="3"/>
  <c r="W65" i="3"/>
  <c r="W107" i="3"/>
  <c r="W79" i="3"/>
  <c r="W82" i="3"/>
  <c r="W80" i="3"/>
  <c r="W33" i="3"/>
  <c r="W126" i="3"/>
  <c r="W47" i="3"/>
  <c r="W38" i="3"/>
  <c r="W50" i="3"/>
  <c r="W44" i="3"/>
  <c r="W13" i="3"/>
  <c r="W31" i="3"/>
  <c r="W156" i="3"/>
  <c r="W97" i="3"/>
  <c r="X77" i="3"/>
  <c r="W160" i="3"/>
  <c r="X45" i="3"/>
  <c r="W87" i="3"/>
  <c r="W128" i="3"/>
  <c r="W25" i="3"/>
  <c r="W48" i="3"/>
  <c r="AE2" i="3" l="1"/>
  <c r="AE4" i="3"/>
  <c r="AE3" i="3"/>
  <c r="AE6" i="3"/>
  <c r="AC2" i="3" s="1"/>
  <c r="AE5" i="3"/>
  <c r="AB2" i="3" l="1"/>
  <c r="AE7" i="3"/>
  <c r="Y2" i="3" s="1"/>
  <c r="AA2" i="3" s="1"/>
  <c r="AB4" i="3" l="1"/>
  <c r="AB3" i="3"/>
  <c r="AC3" i="3"/>
</calcChain>
</file>

<file path=xl/sharedStrings.xml><?xml version="1.0" encoding="utf-8"?>
<sst xmlns="http://schemas.openxmlformats.org/spreadsheetml/2006/main" count="1800" uniqueCount="321">
  <si>
    <t>جامعة بنغازي</t>
  </si>
  <si>
    <t>العدد الكلي</t>
  </si>
  <si>
    <t>الغياب</t>
  </si>
  <si>
    <t>الحضور</t>
  </si>
  <si>
    <t>الناجحون</t>
  </si>
  <si>
    <t>الراسبون</t>
  </si>
  <si>
    <t>التقدير</t>
  </si>
  <si>
    <t>عدد لطلبة</t>
  </si>
  <si>
    <t>كلية الطب البشري</t>
  </si>
  <si>
    <t>ممتاز</t>
  </si>
  <si>
    <t>السنة الرابعة</t>
  </si>
  <si>
    <t>جيد جدا</t>
  </si>
  <si>
    <t xml:space="preserve">جيد </t>
  </si>
  <si>
    <t>مقبول</t>
  </si>
  <si>
    <t>ر.م</t>
  </si>
  <si>
    <t>الرقم الدراسي</t>
  </si>
  <si>
    <t>اسم الطالب</t>
  </si>
  <si>
    <t>نساء وتوليد</t>
  </si>
  <si>
    <t>طب اسرة</t>
  </si>
  <si>
    <t>طب شرعي</t>
  </si>
  <si>
    <t>طب عيون</t>
  </si>
  <si>
    <t>الاشعة</t>
  </si>
  <si>
    <t>النتيجة العامة</t>
  </si>
  <si>
    <t>راسب</t>
  </si>
  <si>
    <t>عملي</t>
  </si>
  <si>
    <t>المجموع</t>
  </si>
  <si>
    <t>غياب جميع</t>
  </si>
  <si>
    <t xml:space="preserve">التقدير </t>
  </si>
  <si>
    <t>النسبة</t>
  </si>
  <si>
    <t>المواد</t>
  </si>
  <si>
    <t>عبدالجواد على ابريق</t>
  </si>
  <si>
    <t xml:space="preserve">خالد محمد محمود علقم </t>
  </si>
  <si>
    <t xml:space="preserve">طرفة نبيل حسن </t>
  </si>
  <si>
    <t>حليمة مفتاح محمد</t>
  </si>
  <si>
    <t>شورى عبدالله سالم بوجواري</t>
  </si>
  <si>
    <t>صالحة حسن صالح</t>
  </si>
  <si>
    <t>حمزة سالم حسن</t>
  </si>
  <si>
    <t xml:space="preserve">حنان بوبكر علي </t>
  </si>
  <si>
    <t>ميلاد محمد ميلاد اصابري</t>
  </si>
  <si>
    <t>رشا عمر محمد الحداد</t>
  </si>
  <si>
    <t>هبه فوزي محمود</t>
  </si>
  <si>
    <t>مصطفى عبدالواحد يونس</t>
  </si>
  <si>
    <t>علاء محمد عبد الرازق</t>
  </si>
  <si>
    <t>نجية حسن حمد المشيطي</t>
  </si>
  <si>
    <t>حسين محمد حمد مصطفي</t>
  </si>
  <si>
    <t>منير مهدي موسى</t>
  </si>
  <si>
    <t>ايمان الفيتوي خليفة</t>
  </si>
  <si>
    <t>عبد الحكيم عبد القادر علي</t>
  </si>
  <si>
    <t>عماد الدين علي بشير ابعيو</t>
  </si>
  <si>
    <t>عماد نصر الله عطية</t>
  </si>
  <si>
    <t xml:space="preserve">محمد صالح امراجع عوض </t>
  </si>
  <si>
    <t>مفتاح علي محمد البركي</t>
  </si>
  <si>
    <t>ندى فيصل شرشر</t>
  </si>
  <si>
    <t>هدى الهادي جبريل ونيس</t>
  </si>
  <si>
    <t>سامية شعيب محمد الصغير</t>
  </si>
  <si>
    <t xml:space="preserve">عبد الهادي فتحي خليل </t>
  </si>
  <si>
    <t>أسامة سالم عبد الله</t>
  </si>
  <si>
    <t>محمود عبد الله بن عامر</t>
  </si>
  <si>
    <t>نجاة احمد عبدالرحمن الثني</t>
  </si>
  <si>
    <t>خالد محمد سالم</t>
  </si>
  <si>
    <t xml:space="preserve">نجوى حسن عبد السلام </t>
  </si>
  <si>
    <t>سعيدة محمد صالح حماد</t>
  </si>
  <si>
    <t>حسين حسن حسين القطراني</t>
  </si>
  <si>
    <t xml:space="preserve">نورا عبد الواحد عطية الله </t>
  </si>
  <si>
    <t>ايناس علي عبدالرحمن بن شكبان</t>
  </si>
  <si>
    <t>سوزان حسن طاهر الفره</t>
  </si>
  <si>
    <t>سفيان محمد ابراهيم</t>
  </si>
  <si>
    <t>زيدان زيدان عبدالسلام موسى</t>
  </si>
  <si>
    <t xml:space="preserve">اصاله عبدالله عبدالسلام </t>
  </si>
  <si>
    <t xml:space="preserve">جميلة سليمان محمد علي </t>
  </si>
  <si>
    <t>اية فوزي بوزعكوك</t>
  </si>
  <si>
    <t>هبه جمال حسين</t>
  </si>
  <si>
    <t>سندس محمد خليفة</t>
  </si>
  <si>
    <t>حافظ علي مصباح</t>
  </si>
  <si>
    <t>اشرف عبدالسلام سليمان</t>
  </si>
  <si>
    <t>اكرم عبدالله محمد السماط</t>
  </si>
  <si>
    <t>وداد عبدالعزيز حمد</t>
  </si>
  <si>
    <t>جهينة جمعة محمد العمرونى</t>
  </si>
  <si>
    <t xml:space="preserve">هاجر العبد عثمان </t>
  </si>
  <si>
    <t>ابتهال رزق الله رجب</t>
  </si>
  <si>
    <t>أماني رمضان محمد</t>
  </si>
  <si>
    <t xml:space="preserve">حنان عمر اوحيدة </t>
  </si>
  <si>
    <t>فايزة سالم عبد الرحمن</t>
  </si>
  <si>
    <t>ابراهيم فتحي محمد عمران</t>
  </si>
  <si>
    <t xml:space="preserve">الاء حسين عبدالله </t>
  </si>
  <si>
    <t>فاطمة مفتاح محمد ادريس</t>
  </si>
  <si>
    <t xml:space="preserve">سميحة ناجى محمد فضيل </t>
  </si>
  <si>
    <t>مصطفى الحسن أحمد</t>
  </si>
  <si>
    <t>فاطمة مفتاح علي محمد</t>
  </si>
  <si>
    <t>ايمان فتحي صالح</t>
  </si>
  <si>
    <t>أحمد صلاح عبدالسيد</t>
  </si>
  <si>
    <t>مريم مصطفى عبدالسلام</t>
  </si>
  <si>
    <t>هيثم سعد مادي</t>
  </si>
  <si>
    <t>صالح جبريل علي</t>
  </si>
  <si>
    <t>يحي عبداللطيف عبدالجواد</t>
  </si>
  <si>
    <t>عبير مرعي عبدالسلام</t>
  </si>
  <si>
    <t>فاطمة الزهراء عبدالحميد عبدالجليل</t>
  </si>
  <si>
    <t>محمد احمد بلعيد</t>
  </si>
  <si>
    <t>عيسي محمد عيسي</t>
  </si>
  <si>
    <t>شيماء سالم نصر</t>
  </si>
  <si>
    <t>امل حسين محمد</t>
  </si>
  <si>
    <t>نور الايمان عبدالله سالم</t>
  </si>
  <si>
    <t>محمد حمزة محمد الدلال</t>
  </si>
  <si>
    <t>فيصل فتحي محمد</t>
  </si>
  <si>
    <t>منذر نجيب مفتاح المشيطي</t>
  </si>
  <si>
    <t>صالح عمر صالح عمر</t>
  </si>
  <si>
    <t>أيمن محمود محمود الأشقر</t>
  </si>
  <si>
    <t>يوسف محمود علي المدني</t>
  </si>
  <si>
    <t>محمود صالح عوض عبدالله</t>
  </si>
  <si>
    <t xml:space="preserve">سعد عبدالمنعم عبد الحليم </t>
  </si>
  <si>
    <t>محمد عبدالماجد عطية</t>
  </si>
  <si>
    <t>أمينا محمد إمراجع ذاوود</t>
  </si>
  <si>
    <t>اميمة جمعه علي العماري</t>
  </si>
  <si>
    <t>يوسف سعد يوسف عبدالرحيم</t>
  </si>
  <si>
    <t>نجاح حسين عبدالحميد عثمان</t>
  </si>
  <si>
    <t>سالم عبدالسلام علي المقروس</t>
  </si>
  <si>
    <t>منية أحمد موسى الفلاح</t>
  </si>
  <si>
    <t>هالة فتحي صالح محمد إكويري</t>
  </si>
  <si>
    <t xml:space="preserve">عبدالسلام ميمون مختار </t>
  </si>
  <si>
    <t>احمد عطية بوحليقة ميلاد</t>
  </si>
  <si>
    <t>محمد عبدالقادر محمد عبدالقادر</t>
  </si>
  <si>
    <t>محمد حسين عبد القادر</t>
  </si>
  <si>
    <t>شريف أحمد كامل عبدالقوي</t>
  </si>
  <si>
    <t>سعيد مصطفى سعيد الكيلاني</t>
  </si>
  <si>
    <t xml:space="preserve">فاطمة محمد السيد </t>
  </si>
  <si>
    <t>محمد وائل إسماعيل حسن عبيد</t>
  </si>
  <si>
    <t>محمد جمال عطالله عبدالرحمن</t>
  </si>
  <si>
    <t>لجين محمد أحمد الفرجاني</t>
  </si>
  <si>
    <t xml:space="preserve">حاتم نوري نوح الدرسي </t>
  </si>
  <si>
    <t>إيناس عبدالحميد مختار عبدالحميد</t>
  </si>
  <si>
    <t>زينب نصر نصار</t>
  </si>
  <si>
    <t>بن زايد محمد عبدالحفيظ علي</t>
  </si>
  <si>
    <t>اخلاص عبدالله علي فتاح</t>
  </si>
  <si>
    <t>فارس عبدالسلام أحمد السبيعي</t>
  </si>
  <si>
    <t xml:space="preserve">محمد الناجي شعيب عبدالونيس </t>
  </si>
  <si>
    <t>طلال أحمد عبدالسلام صديق</t>
  </si>
  <si>
    <t>كريم أشرف عبدالكريم بوخطوة</t>
  </si>
  <si>
    <t>حسن محمد سالم ابوكليش</t>
  </si>
  <si>
    <t>محمد علي محمد فرج</t>
  </si>
  <si>
    <t xml:space="preserve">زهرة محمد محمدعلي </t>
  </si>
  <si>
    <t xml:space="preserve">بسمة بوبكر ابراهيم </t>
  </si>
  <si>
    <t>سالمين خليفة محمد</t>
  </si>
  <si>
    <t>فتحية محمد محمود حسين</t>
  </si>
  <si>
    <t>سالمة عبدالقادر محمد مفتاح</t>
  </si>
  <si>
    <t xml:space="preserve">مريم محمد خالد </t>
  </si>
  <si>
    <t>ألهام سليمان ابراهيم</t>
  </si>
  <si>
    <t>طارق عبدالسلام بكار الحوري</t>
  </si>
  <si>
    <t xml:space="preserve">مريم بوصفيطة محمد صالح </t>
  </si>
  <si>
    <t xml:space="preserve">سالمين خليفة محمود الفرجانى </t>
  </si>
  <si>
    <t xml:space="preserve">فاطمة سالم عثمان عبدالحفيظ </t>
  </si>
  <si>
    <t xml:space="preserve">نهي صالح عبدالله السويسي </t>
  </si>
  <si>
    <t xml:space="preserve">منال نجيب محمد مفتاح </t>
  </si>
  <si>
    <t>سميرة مخلوف خليفة الورفلي</t>
  </si>
  <si>
    <t xml:space="preserve">أحمد عبدالله عبدالرازق </t>
  </si>
  <si>
    <t>سالمة يوسف بوبكر عبدالرحيم</t>
  </si>
  <si>
    <t>حسين محمد قطيش اللواطي</t>
  </si>
  <si>
    <t>قصي موسى علي محمد</t>
  </si>
  <si>
    <t>هيام محمد عبدالرازق محمد</t>
  </si>
  <si>
    <t>معتزبالله محمد عبدالله المحجوب</t>
  </si>
  <si>
    <t>علي يوسف علي المرابط</t>
  </si>
  <si>
    <t>اهداء محمد بوبكر جدولة</t>
  </si>
  <si>
    <t>إبتسام محمد محمود علي</t>
  </si>
  <si>
    <t>سارة مروان حماد سليمان</t>
  </si>
  <si>
    <t>سفيان مفتاح سالم الفيتوري</t>
  </si>
  <si>
    <t>عائشة محمد الوافي السني</t>
  </si>
  <si>
    <t>محمد نصر مفتاح عبدالله</t>
  </si>
  <si>
    <t>خديجة جمعة سعيد عثمان</t>
  </si>
  <si>
    <t>عبدالحميد محمد عبدالجواد سالم</t>
  </si>
  <si>
    <t>منير مصباح خليل الجوهري</t>
  </si>
  <si>
    <t>قيس عبدالناصر مسعود النقاز</t>
  </si>
  <si>
    <t>نادر محمد سالم الغماري</t>
  </si>
  <si>
    <t>إبتسام منصور صالح  لسيود</t>
  </si>
  <si>
    <t xml:space="preserve">هبة الرحمن رضاء التمامي </t>
  </si>
  <si>
    <t>نور خالد عبدالكريم الفقي</t>
  </si>
  <si>
    <t>إلهام مفتاح محمد المبروك</t>
  </si>
  <si>
    <t xml:space="preserve">سالمة عمران عمر عثمان </t>
  </si>
  <si>
    <t>إسماعيل إبراهيم الكيلاني آدم</t>
  </si>
  <si>
    <t xml:space="preserve">الزهراء سالم علي اللواج </t>
  </si>
  <si>
    <t>عصام عبدالله علي عبدالله</t>
  </si>
  <si>
    <t xml:space="preserve">منار جمال مفتاح </t>
  </si>
  <si>
    <t xml:space="preserve">ولاء محمد جمعة محمد </t>
  </si>
  <si>
    <t>عبدالرحمن وائل محمد موسى</t>
  </si>
  <si>
    <t>رتاج إبراهيم سالم الطرابلسي</t>
  </si>
  <si>
    <t xml:space="preserve">سلوى إبراهيم حسن محمد </t>
  </si>
  <si>
    <t>محمد عبدالوهاب صالح عبدالسلام</t>
  </si>
  <si>
    <t>سهيل عبدالناصر مسعود النقاز</t>
  </si>
  <si>
    <t xml:space="preserve">أماني إدريس مفتاح المصراتي </t>
  </si>
  <si>
    <t xml:space="preserve">نورالهدى عزالدين مصباح النجار </t>
  </si>
  <si>
    <t>فرج صلاح فرج محمد العبيدي</t>
  </si>
  <si>
    <t>جيهان منصف مسعود محمد</t>
  </si>
  <si>
    <t>آية محمد جبريل محمد درباش</t>
  </si>
  <si>
    <t>رقية أحمد بلعيد أبوزيد</t>
  </si>
  <si>
    <t>ليلى عاطف عوض عقيلة</t>
  </si>
  <si>
    <t xml:space="preserve">محمد أحمد محمد عبدالحميد </t>
  </si>
  <si>
    <t>هديل مصطفى عبد الرازق محمد</t>
  </si>
  <si>
    <t xml:space="preserve">آية محمد عقيلة بن إسماعيل </t>
  </si>
  <si>
    <t xml:space="preserve">محمد قناوي أحمد جاد </t>
  </si>
  <si>
    <t>هناء إبراهيم سعد امعزب</t>
  </si>
  <si>
    <t>فاطمة عبدالقوي عبدالعزيز بدر</t>
  </si>
  <si>
    <t>رجعة عبدالله امراجع النعاس</t>
  </si>
  <si>
    <t>ناجح</t>
  </si>
  <si>
    <t>الدفعة 49</t>
  </si>
  <si>
    <t>منى داوود السنوسي ميكائيل</t>
  </si>
  <si>
    <t>رويدة طاهر محمد الصابر</t>
  </si>
  <si>
    <t>دارين خالد عبدالكريم علي قرقوم</t>
  </si>
  <si>
    <t>نوار فرج نور الدين محمد</t>
  </si>
  <si>
    <t xml:space="preserve">عادل عوض المبروك عوض </t>
  </si>
  <si>
    <t xml:space="preserve">سحر سالم عبدالرازق عبدالحميد </t>
  </si>
  <si>
    <t xml:space="preserve">عفاف على مفتاح عمر </t>
  </si>
  <si>
    <t xml:space="preserve">نوارة محمد بوشناف محمد </t>
  </si>
  <si>
    <t>أسماء احمد عثمان الفرجاني</t>
  </si>
  <si>
    <t xml:space="preserve">وردة عبدالسلام محمد التواتي </t>
  </si>
  <si>
    <t>حنين رمضان العشيبي</t>
  </si>
  <si>
    <t xml:space="preserve">رمزي على محمد جويده </t>
  </si>
  <si>
    <t>ايمان محمد علي محمد</t>
  </si>
  <si>
    <t>غزالة محمود جمعة علي</t>
  </si>
  <si>
    <t>خديجة جمال الدين صالحين</t>
  </si>
  <si>
    <t>خالد محمد عبدالحميد عوض</t>
  </si>
  <si>
    <t>نورالهدى ضوء محمد الاسود</t>
  </si>
  <si>
    <t>ندى فرج عبدالحميد محمد</t>
  </si>
  <si>
    <t>إسراء عاشور السنوسي محمد</t>
  </si>
  <si>
    <t>فدوى عزالدين محمد بالأعمي</t>
  </si>
  <si>
    <t>فاطمة صبحي عبدالحفيظ</t>
  </si>
  <si>
    <t>نور الاسلام عمران المجبري</t>
  </si>
  <si>
    <t>علاء الدين مفتاح أحمد محمد</t>
  </si>
  <si>
    <t>إنصاف عبدالستارعبدالله محمد</t>
  </si>
  <si>
    <t>حنين فهمي محمود بشة</t>
  </si>
  <si>
    <t>شهد رمضان الساعدي الشكري</t>
  </si>
  <si>
    <t>محمد عثمان محمد الفيتوري</t>
  </si>
  <si>
    <t xml:space="preserve">إبراهيم مراد إبراهيم بوزريبة </t>
  </si>
  <si>
    <t>أمين عزالدين محمد النواع</t>
  </si>
  <si>
    <t>شهد قاسم خليفة البركي</t>
  </si>
  <si>
    <t xml:space="preserve">غفران بشير سليمان علي </t>
  </si>
  <si>
    <t>هند ناجي عمر صالح البابا</t>
  </si>
  <si>
    <t xml:space="preserve">مسعودة جلال ناجي بالطيب </t>
  </si>
  <si>
    <t>نورا سالم منازع مبروك</t>
  </si>
  <si>
    <t>بسمة أشرف يوسف عبدالله</t>
  </si>
  <si>
    <t xml:space="preserve">آلاء جمعة محمد شبيك </t>
  </si>
  <si>
    <t>حليمة موسى لزم داوود</t>
  </si>
  <si>
    <t xml:space="preserve">أميرة محمد سباق سليمان </t>
  </si>
  <si>
    <t>مبروكة جابر طاهر</t>
  </si>
  <si>
    <t>خديجة صالح عبدالحميد رحيل</t>
  </si>
  <si>
    <t>سارة عبدالرازق سليمان عبدالله</t>
  </si>
  <si>
    <t>فرج محمد فرج محمد</t>
  </si>
  <si>
    <t>فاطمة صلاح محمد المغربي</t>
  </si>
  <si>
    <t xml:space="preserve">نائفه  فاروق علي حسين </t>
  </si>
  <si>
    <t>وصال علي عبدالقادر البرعصي</t>
  </si>
  <si>
    <t xml:space="preserve">آلاء إبراهيم بشيرالسعداوي </t>
  </si>
  <si>
    <t>حواء حمد عطية</t>
  </si>
  <si>
    <t>ياسمينة سالم محمد بوشيحة</t>
  </si>
  <si>
    <t>عبير حمد سعد كويلة</t>
  </si>
  <si>
    <t>خديجة فرج بلل عبدالسلام</t>
  </si>
  <si>
    <t>سلسبيل مصطفى عمران السليني</t>
  </si>
  <si>
    <t>اسامة علي سعد عبدالرازق</t>
  </si>
  <si>
    <t>خديجة عادل حسن المنفي</t>
  </si>
  <si>
    <t xml:space="preserve">أريج عبدالوهاب صالح عبدالسلام </t>
  </si>
  <si>
    <t xml:space="preserve">نورعبدالسلام محمد المطماطى </t>
  </si>
  <si>
    <t xml:space="preserve">علي سعد علي سالم المعدانى </t>
  </si>
  <si>
    <t xml:space="preserve">حاتم كمال ميلاد عبدالسلام </t>
  </si>
  <si>
    <t>سندس محمد بالقاسم عبدالسيد</t>
  </si>
  <si>
    <t xml:space="preserve">سلوى عطية الله سعد العبيدي </t>
  </si>
  <si>
    <t xml:space="preserve">عبدالحميد محمد إدريس موسى </t>
  </si>
  <si>
    <t>فيروز حمدي خليل قليصة</t>
  </si>
  <si>
    <t>هبة الله جمال محمد عبدالكريم</t>
  </si>
  <si>
    <t>إسراء عبدالحميد محمد بوقرين</t>
  </si>
  <si>
    <t>عبدالحميد محمد السنوسى الطويل</t>
  </si>
  <si>
    <t>عفاف الصابر سليمان موسى</t>
  </si>
  <si>
    <t xml:space="preserve">أسماء السنوسي السيد الصاوي </t>
  </si>
  <si>
    <t>حنين سالم عبدالله خليل</t>
  </si>
  <si>
    <t>نزار نبيل سليمان بعيو</t>
  </si>
  <si>
    <t>جبريل محمد علي الدرسي</t>
  </si>
  <si>
    <t xml:space="preserve">عبدالله سعد فرج حمد </t>
  </si>
  <si>
    <t xml:space="preserve">فرح محمد مفتاح المبروك </t>
  </si>
  <si>
    <t xml:space="preserve">فيصل مفتاح إمراجع علي </t>
  </si>
  <si>
    <t>أحمد منصور محمد الاعوج</t>
  </si>
  <si>
    <t>هديل سالم حمد محمد المبروك</t>
  </si>
  <si>
    <t>أحمد مفتاح عبد الله محمد</t>
  </si>
  <si>
    <t>سلسبيل صالح جويدة علي</t>
  </si>
  <si>
    <t xml:space="preserve">الحسن الخطاب عاطف الزبير </t>
  </si>
  <si>
    <t xml:space="preserve">نورا نوري صالح العبدلي </t>
  </si>
  <si>
    <t xml:space="preserve">آلاء عبدالناصر حسن الصليل </t>
  </si>
  <si>
    <t xml:space="preserve">أشرف جمال حسن فرغالي </t>
  </si>
  <si>
    <t xml:space="preserve">ملاك جمال علي محمد </t>
  </si>
  <si>
    <t>مبروكة حمد عبدالرحيم</t>
  </si>
  <si>
    <t xml:space="preserve">          هديل محمد محمد مفتاح </t>
  </si>
  <si>
    <t>هاجر اسامة عبدالحميد اشليمبو</t>
  </si>
  <si>
    <t>هاجر عبدالحميد عبدالله الصادق</t>
  </si>
  <si>
    <t>عائشه ناصر مفتاح بسيكري</t>
  </si>
  <si>
    <t>عبد المهيمن ابوبكر ابراهيم الزلاوي</t>
  </si>
  <si>
    <t>ساره ابراهيم البشير صالح</t>
  </si>
  <si>
    <t>رفيق مروان سعد المنصوري</t>
  </si>
  <si>
    <t>ايمان فتح الله محمد طاهر عبدالسلام</t>
  </si>
  <si>
    <t>روان عبدالباسط حامد شعيب</t>
  </si>
  <si>
    <t>عبدالغني هويدي عبدالغني محمد</t>
  </si>
  <si>
    <t>فاطمة محمود علي محمد بن قنونو</t>
  </si>
  <si>
    <t>وردة جمعه طاهر ابراهيم</t>
  </si>
  <si>
    <t>هدى سعيد محمد الرناوي</t>
  </si>
  <si>
    <t>حنين شعبان صالح زوبي</t>
  </si>
  <si>
    <t>ريهام عبدالباسط ابراهيم محمد</t>
  </si>
  <si>
    <t>دعاء طلال احمد الطواحني</t>
  </si>
  <si>
    <t>ملاك سالم جمعه حسين</t>
  </si>
  <si>
    <t>نوران عبدالله محمد عبدالنبي</t>
  </si>
  <si>
    <t>قشقش عبدالله قشقش قشقش</t>
  </si>
  <si>
    <t xml:space="preserve">رتاج عبدالحليم فرج رجب </t>
  </si>
  <si>
    <t>عبدالرحمن محمد عبدالكريم مؤمن</t>
  </si>
  <si>
    <t>حواء ادريس يوسف العبيدي</t>
  </si>
  <si>
    <t>مروة عطية ابراهيم حبانة</t>
  </si>
  <si>
    <t>نجوي يونس علي ميلاد</t>
  </si>
  <si>
    <t>هند حمد عبدالنبي محمد</t>
  </si>
  <si>
    <t>اسراء عبدالباسط حمد محمد</t>
  </si>
  <si>
    <t>هلال حسام الدين القرقاني</t>
  </si>
  <si>
    <t>عائشة أنور إبراهيم</t>
  </si>
  <si>
    <t>زينب محمد بوطلاق</t>
  </si>
  <si>
    <t>حالة</t>
  </si>
  <si>
    <t>الطالب</t>
  </si>
  <si>
    <t>غياب</t>
  </si>
  <si>
    <t>حضور</t>
  </si>
  <si>
    <t>الدور الثاني</t>
  </si>
  <si>
    <r>
      <rPr>
        <sz val="14"/>
        <rFont val="Calibri"/>
        <family val="2"/>
        <scheme val="minor"/>
      </rPr>
      <t>نتيجة</t>
    </r>
    <r>
      <rPr>
        <sz val="14"/>
        <color rgb="FFFF0000"/>
        <rFont val="Calibri"/>
        <family val="2"/>
        <scheme val="minor"/>
      </rPr>
      <t xml:space="preserve"> الدورالثاني</t>
    </r>
    <r>
      <rPr>
        <sz val="14"/>
        <color theme="1"/>
        <rFont val="Calibri"/>
        <family val="2"/>
        <scheme val="minor"/>
      </rPr>
      <t xml:space="preserve"> للعام الدراسي 2025-2026</t>
    </r>
  </si>
  <si>
    <t>من الكل</t>
  </si>
  <si>
    <t>من الحصور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</si>
</sst>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0" borderId="0" xfId="0" applyFont="1"/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readingOrder="1"/>
    </xf>
    <xf numFmtId="1" fontId="5" fillId="3" borderId="12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1" fontId="5" fillId="3" borderId="13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 applyProtection="1">
      <alignment horizontal="center" vertical="center" readingOrder="2"/>
      <protection locked="0"/>
    </xf>
    <xf numFmtId="2" fontId="5" fillId="6" borderId="12" xfId="0" applyNumberFormat="1" applyFont="1" applyFill="1" applyBorder="1" applyAlignment="1">
      <alignment horizontal="center" vertical="center" wrapText="1" readingOrder="1"/>
    </xf>
    <xf numFmtId="0" fontId="5" fillId="6" borderId="12" xfId="0" applyFont="1" applyFill="1" applyBorder="1" applyAlignment="1">
      <alignment horizontal="center" vertical="center"/>
    </xf>
    <xf numFmtId="10" fontId="5" fillId="6" borderId="12" xfId="1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readingOrder="2"/>
    </xf>
    <xf numFmtId="0" fontId="5" fillId="5" borderId="12" xfId="0" applyFont="1" applyFill="1" applyBorder="1" applyAlignment="1">
      <alignment horizontal="center" vertical="center" wrapText="1" readingOrder="2"/>
    </xf>
    <xf numFmtId="2" fontId="5" fillId="5" borderId="12" xfId="0" applyNumberFormat="1" applyFont="1" applyFill="1" applyBorder="1" applyAlignment="1">
      <alignment horizontal="center" vertical="center" wrapText="1" readingOrder="1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 wrapText="1" readingOrder="2"/>
    </xf>
    <xf numFmtId="0" fontId="5" fillId="5" borderId="12" xfId="0" applyFont="1" applyFill="1" applyBorder="1" applyAlignment="1">
      <alignment horizontal="center" readingOrder="2"/>
    </xf>
    <xf numFmtId="0" fontId="5" fillId="5" borderId="12" xfId="0" applyFont="1" applyFill="1" applyBorder="1" applyAlignment="1">
      <alignment horizontal="center" readingOrder="1"/>
    </xf>
    <xf numFmtId="0" fontId="5" fillId="6" borderId="12" xfId="0" applyFont="1" applyFill="1" applyBorder="1" applyAlignment="1">
      <alignment horizontal="center" vertical="center" readingOrder="1"/>
    </xf>
    <xf numFmtId="0" fontId="5" fillId="5" borderId="12" xfId="0" applyFont="1" applyFill="1" applyBorder="1" applyAlignment="1">
      <alignment horizontal="center" vertical="center" readingOrder="1"/>
    </xf>
    <xf numFmtId="2" fontId="5" fillId="6" borderId="12" xfId="0" applyNumberFormat="1" applyFont="1" applyFill="1" applyBorder="1" applyAlignment="1">
      <alignment horizontal="center" vertical="center"/>
    </xf>
    <xf numFmtId="2" fontId="5" fillId="6" borderId="12" xfId="0" applyNumberFormat="1" applyFont="1" applyFill="1" applyBorder="1" applyAlignment="1">
      <alignment horizontal="center" vertical="center" readingOrder="1"/>
    </xf>
    <xf numFmtId="2" fontId="5" fillId="5" borderId="12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2" fontId="5" fillId="5" borderId="12" xfId="0" applyNumberFormat="1" applyFont="1" applyFill="1" applyBorder="1" applyAlignment="1">
      <alignment horizontal="center" vertical="center" readingOrder="1"/>
    </xf>
    <xf numFmtId="2" fontId="5" fillId="7" borderId="12" xfId="0" applyNumberFormat="1" applyFont="1" applyFill="1" applyBorder="1" applyAlignment="1">
      <alignment horizontal="center" vertical="center"/>
    </xf>
    <xf numFmtId="10" fontId="2" fillId="0" borderId="17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0" fontId="2" fillId="0" borderId="5" xfId="1" applyNumberFormat="1" applyFont="1" applyFill="1" applyBorder="1" applyAlignment="1">
      <alignment horizontal="center" vertical="center"/>
    </xf>
    <xf numFmtId="10" fontId="2" fillId="0" borderId="5" xfId="1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" fontId="3" fillId="4" borderId="8" xfId="0" applyNumberFormat="1" applyFont="1" applyFill="1" applyBorder="1" applyAlignment="1">
      <alignment horizontal="center" vertical="center"/>
    </xf>
    <xf numFmtId="1" fontId="3" fillId="4" borderId="9" xfId="0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</cellXfs>
  <cellStyles count="2">
    <cellStyle name="Percent" xfId="1" builtinId="5"/>
    <cellStyle name="عادي" xfId="0" builtinId="0"/>
  </cellStyles>
  <dxfs count="70"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548235"/>
        </patternFill>
      </fill>
    </dxf>
    <dxf>
      <font>
        <color rgb="FFFFFFFF"/>
      </font>
      <fill>
        <patternFill>
          <bgColor rgb="FF375623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LY"/>
              <a:t>النسبة المئوية</a:t>
            </a:r>
            <a:endParaRPr lang="ar-A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65-4CA3-9004-E87D9D9CFB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65-4CA3-9004-E87D9D9CFB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'الدور الثاني'!$AB$1:$AC$1</c:f>
              <c:strCache>
                <c:ptCount val="2"/>
                <c:pt idx="0">
                  <c:v>الناجحون</c:v>
                </c:pt>
                <c:pt idx="1">
                  <c:v>الراسبون</c:v>
                </c:pt>
              </c:strCache>
            </c:strRef>
          </c:cat>
          <c:val>
            <c:numRef>
              <c:f>'الدور الثاني'!$AB$2:$AC$2</c:f>
              <c:numCache>
                <c:formatCode>General</c:formatCode>
                <c:ptCount val="2"/>
                <c:pt idx="0">
                  <c:v>81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65-4CA3-9004-E87D9D9CFBA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965-4CA3-9004-E87D9D9CFB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965-4CA3-9004-E87D9D9CFB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'الدور الثاني'!$AB$1:$AC$1</c:f>
              <c:strCache>
                <c:ptCount val="2"/>
                <c:pt idx="0">
                  <c:v>الناجحون</c:v>
                </c:pt>
                <c:pt idx="1">
                  <c:v>الراسبون</c:v>
                </c:pt>
              </c:strCache>
            </c:strRef>
          </c:cat>
          <c:val>
            <c:numRef>
              <c:f>'الدور الثاني'!$AB$3:$AC$3</c:f>
              <c:numCache>
                <c:formatCode>0.00%</c:formatCode>
                <c:ptCount val="2"/>
                <c:pt idx="0">
                  <c:v>0.28825622775800713</c:v>
                </c:pt>
                <c:pt idx="1">
                  <c:v>0.71174377224199292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65-4CA3-9004-E87D9D9CFB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LY"/>
              <a:t>نسبة التقدير</a:t>
            </a:r>
            <a:endParaRPr lang="ar-A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'الدور الثاني'!$AE$1</c:f>
              <c:strCache>
                <c:ptCount val="1"/>
                <c:pt idx="0">
                  <c:v>عدد لطلبة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EF-47AF-B6EF-88DF90091B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EF-47AF-B6EF-88DF90091B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EF-47AF-B6EF-88DF90091B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EF-47AF-B6EF-88DF90091BE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'الدور الثاني'!$AD$2:$AD$5</c:f>
              <c:strCache>
                <c:ptCount val="4"/>
                <c:pt idx="0">
                  <c:v>ممتاز</c:v>
                </c:pt>
                <c:pt idx="1">
                  <c:v>جيد جدا</c:v>
                </c:pt>
                <c:pt idx="2">
                  <c:v>جيد </c:v>
                </c:pt>
                <c:pt idx="3">
                  <c:v>مقبول</c:v>
                </c:pt>
              </c:strCache>
            </c:strRef>
          </c:cat>
          <c:val>
            <c:numRef>
              <c:f>'الدور الثاني'!$AE$2:$AE$5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55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EF-47AF-B6EF-88DF90091B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LY"/>
              <a:t>النسبة المئوية</a:t>
            </a:r>
            <a:endParaRPr lang="ar-A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'الدور الثاني'!$AB$1:$AC$1</c:f>
              <c:strCache>
                <c:ptCount val="2"/>
                <c:pt idx="0">
                  <c:v>الناجحون</c:v>
                </c:pt>
                <c:pt idx="1">
                  <c:v>الراسبون</c:v>
                </c:pt>
              </c:strCache>
            </c:strRef>
          </c:cat>
          <c:val>
            <c:numRef>
              <c:f>'الدور الثاني'!$AB$2:$AC$2</c:f>
              <c:numCache>
                <c:formatCode>General</c:formatCode>
                <c:ptCount val="2"/>
                <c:pt idx="0">
                  <c:v>81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9-4478-A0AA-D3BB8F438C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257664"/>
        <c:axId val="12125657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'الدور الثاني'!$AB$1:$AC$1</c:f>
              <c:strCache>
                <c:ptCount val="2"/>
                <c:pt idx="0">
                  <c:v>الناجحون</c:v>
                </c:pt>
                <c:pt idx="1">
                  <c:v>الراسبون</c:v>
                </c:pt>
              </c:strCache>
            </c:strRef>
          </c:cat>
          <c:val>
            <c:numRef>
              <c:f>'الدور الثاني'!$AB$3:$AC$3</c:f>
              <c:numCache>
                <c:formatCode>0.00%</c:formatCode>
                <c:ptCount val="2"/>
                <c:pt idx="0">
                  <c:v>0.28825622775800713</c:v>
                </c:pt>
                <c:pt idx="1">
                  <c:v>0.71174377224199292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D9-4478-A0AA-D3BB8F438C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264768"/>
        <c:axId val="121262848"/>
      </c:lineChart>
      <c:catAx>
        <c:axId val="198257664"/>
        <c:scaling>
          <c:orientation val="maxMin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6576"/>
        <c:crosses val="autoZero"/>
        <c:auto val="1"/>
        <c:lblAlgn val="ctr"/>
        <c:lblOffset val="100"/>
        <c:noMultiLvlLbl val="0"/>
      </c:catAx>
      <c:valAx>
        <c:axId val="1212565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7664"/>
        <c:crosses val="autoZero"/>
        <c:crossBetween val="between"/>
      </c:valAx>
      <c:valAx>
        <c:axId val="121262848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4768"/>
        <c:crosses val="max"/>
        <c:crossBetween val="between"/>
      </c:valAx>
      <c:catAx>
        <c:axId val="121264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2628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LY"/>
              <a:t>نسبة التقدير</a:t>
            </a:r>
            <a:endParaRPr lang="ar-A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'الدور الثاني'!$AE$1</c:f>
              <c:strCache>
                <c:ptCount val="1"/>
                <c:pt idx="0">
                  <c:v>عدد لطلبة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'الدور الثاني'!$AD$2:$AD$5</c:f>
              <c:strCache>
                <c:ptCount val="4"/>
                <c:pt idx="0">
                  <c:v>ممتاز</c:v>
                </c:pt>
                <c:pt idx="1">
                  <c:v>جيد جدا</c:v>
                </c:pt>
                <c:pt idx="2">
                  <c:v>جيد </c:v>
                </c:pt>
                <c:pt idx="3">
                  <c:v>مقبول</c:v>
                </c:pt>
              </c:strCache>
            </c:strRef>
          </c:cat>
          <c:val>
            <c:numRef>
              <c:f>'الدور الثاني'!$AE$2:$AE$5</c:f>
              <c:numCache>
                <c:formatCode>General</c:formatCode>
                <c:ptCount val="4"/>
                <c:pt idx="0">
                  <c:v>0</c:v>
                </c:pt>
                <c:pt idx="1">
                  <c:v>8</c:v>
                </c:pt>
                <c:pt idx="2">
                  <c:v>55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E-432F-A528-04D0F147B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305728"/>
        <c:axId val="121119104"/>
      </c:barChart>
      <c:catAx>
        <c:axId val="121305728"/>
        <c:scaling>
          <c:orientation val="maxMin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19104"/>
        <c:crosses val="autoZero"/>
        <c:auto val="1"/>
        <c:lblAlgn val="ctr"/>
        <c:lblOffset val="100"/>
        <c:noMultiLvlLbl val="0"/>
      </c:catAx>
      <c:valAx>
        <c:axId val="1211191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5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8E820CBF-A133-437C-B97A-449E5D55C0F5}"/>
            </a:ext>
          </a:extLst>
        </xdr:cNvPr>
        <xdr:cNvSpPr txBox="1"/>
      </xdr:nvSpPr>
      <xdr:spPr>
        <a:xfrm flipH="1">
          <a:off x="11235481457" y="79924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51B2EBCC-6C45-404A-B03D-9D70C59B65FA}"/>
            </a:ext>
          </a:extLst>
        </xdr:cNvPr>
        <xdr:cNvSpPr txBox="1"/>
      </xdr:nvSpPr>
      <xdr:spPr>
        <a:xfrm flipH="1">
          <a:off x="11235481457" y="79924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0F4B7D6D-43CA-4FB2-92B1-9A4C794E3CF5}"/>
            </a:ext>
          </a:extLst>
        </xdr:cNvPr>
        <xdr:cNvSpPr txBox="1"/>
      </xdr:nvSpPr>
      <xdr:spPr>
        <a:xfrm flipH="1">
          <a:off x="11235481457" y="79924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2C958065-1810-4E2F-B90A-B4EEE1AC23BC}"/>
            </a:ext>
          </a:extLst>
        </xdr:cNvPr>
        <xdr:cNvSpPr txBox="1"/>
      </xdr:nvSpPr>
      <xdr:spPr>
        <a:xfrm flipH="1">
          <a:off x="11235481457" y="79924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A2954934-FFBA-4F86-8F16-352209239285}"/>
            </a:ext>
          </a:extLst>
        </xdr:cNvPr>
        <xdr:cNvSpPr txBox="1"/>
      </xdr:nvSpPr>
      <xdr:spPr>
        <a:xfrm flipH="1">
          <a:off x="11235481457" y="79924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6E94ABD3-3D55-411D-B2CD-5B6D7DE37E30}"/>
            </a:ext>
          </a:extLst>
        </xdr:cNvPr>
        <xdr:cNvSpPr txBox="1"/>
      </xdr:nvSpPr>
      <xdr:spPr>
        <a:xfrm flipH="1">
          <a:off x="11235481457" y="79924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twoCellAnchor>
    <xdr:from>
      <xdr:col>24</xdr:col>
      <xdr:colOff>28575</xdr:colOff>
      <xdr:row>9</xdr:row>
      <xdr:rowOff>9531</xdr:rowOff>
    </xdr:from>
    <xdr:to>
      <xdr:col>31</xdr:col>
      <xdr:colOff>19050</xdr:colOff>
      <xdr:row>20</xdr:row>
      <xdr:rowOff>133356</xdr:rowOff>
    </xdr:to>
    <xdr:graphicFrame macro="">
      <xdr:nvGraphicFramePr>
        <xdr:cNvPr id="8" name="مخطط 7">
          <a:extLst>
            <a:ext uri="{FF2B5EF4-FFF2-40B4-BE49-F238E27FC236}">
              <a16:creationId xmlns:a16="http://schemas.microsoft.com/office/drawing/2014/main" id="{14A32735-1EA8-45C2-9EB7-F164F8E19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647700</xdr:colOff>
      <xdr:row>9</xdr:row>
      <xdr:rowOff>9531</xdr:rowOff>
    </xdr:from>
    <xdr:to>
      <xdr:col>37</xdr:col>
      <xdr:colOff>619125</xdr:colOff>
      <xdr:row>20</xdr:row>
      <xdr:rowOff>133356</xdr:rowOff>
    </xdr:to>
    <xdr:graphicFrame macro="">
      <xdr:nvGraphicFramePr>
        <xdr:cNvPr id="9" name="مخطط 8">
          <a:extLst>
            <a:ext uri="{FF2B5EF4-FFF2-40B4-BE49-F238E27FC236}">
              <a16:creationId xmlns:a16="http://schemas.microsoft.com/office/drawing/2014/main" id="{EDCC0E33-964D-4D0E-9F44-CC589B558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57150</xdr:colOff>
      <xdr:row>20</xdr:row>
      <xdr:rowOff>133356</xdr:rowOff>
    </xdr:from>
    <xdr:to>
      <xdr:col>31</xdr:col>
      <xdr:colOff>28575</xdr:colOff>
      <xdr:row>32</xdr:row>
      <xdr:rowOff>19056</xdr:rowOff>
    </xdr:to>
    <xdr:graphicFrame macro="">
      <xdr:nvGraphicFramePr>
        <xdr:cNvPr id="10" name="مخطط 9">
          <a:extLst>
            <a:ext uri="{FF2B5EF4-FFF2-40B4-BE49-F238E27FC236}">
              <a16:creationId xmlns:a16="http://schemas.microsoft.com/office/drawing/2014/main" id="{E750297C-7942-454A-9209-D71A91F2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666750</xdr:colOff>
      <xdr:row>20</xdr:row>
      <xdr:rowOff>133356</xdr:rowOff>
    </xdr:from>
    <xdr:to>
      <xdr:col>37</xdr:col>
      <xdr:colOff>619125</xdr:colOff>
      <xdr:row>32</xdr:row>
      <xdr:rowOff>19056</xdr:rowOff>
    </xdr:to>
    <xdr:graphicFrame macro="">
      <xdr:nvGraphicFramePr>
        <xdr:cNvPr id="11" name="مخطط 10">
          <a:extLst>
            <a:ext uri="{FF2B5EF4-FFF2-40B4-BE49-F238E27FC236}">
              <a16:creationId xmlns:a16="http://schemas.microsoft.com/office/drawing/2014/main" id="{FBD1FF09-9797-4810-A9FD-6052E4B1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" name="TextBox 2">
          <a:extLst>
            <a:ext uri="{FF2B5EF4-FFF2-40B4-BE49-F238E27FC236}">
              <a16:creationId xmlns:a16="http://schemas.microsoft.com/office/drawing/2014/main" id="{40812D08-804B-42B1-AC13-C40FC86FB689}"/>
            </a:ext>
          </a:extLst>
        </xdr:cNvPr>
        <xdr:cNvSpPr txBox="1"/>
      </xdr:nvSpPr>
      <xdr:spPr>
        <a:xfrm flipH="1">
          <a:off x="11235481457" y="1329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C77A48C1-C8FE-4AA5-A6B4-07A17F555F7E}"/>
            </a:ext>
          </a:extLst>
        </xdr:cNvPr>
        <xdr:cNvSpPr txBox="1"/>
      </xdr:nvSpPr>
      <xdr:spPr>
        <a:xfrm flipH="1">
          <a:off x="11235481457" y="1329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" name="TextBox 5">
          <a:extLst>
            <a:ext uri="{FF2B5EF4-FFF2-40B4-BE49-F238E27FC236}">
              <a16:creationId xmlns:a16="http://schemas.microsoft.com/office/drawing/2014/main" id="{721B27C7-92B9-482E-A45E-C63F72EB2438}"/>
            </a:ext>
          </a:extLst>
        </xdr:cNvPr>
        <xdr:cNvSpPr txBox="1"/>
      </xdr:nvSpPr>
      <xdr:spPr>
        <a:xfrm flipH="1">
          <a:off x="11235481457" y="1329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" name="TextBox 6">
          <a:extLst>
            <a:ext uri="{FF2B5EF4-FFF2-40B4-BE49-F238E27FC236}">
              <a16:creationId xmlns:a16="http://schemas.microsoft.com/office/drawing/2014/main" id="{1FEB1D23-D41F-49B0-99B3-A8F5A6B4C21A}"/>
            </a:ext>
          </a:extLst>
        </xdr:cNvPr>
        <xdr:cNvSpPr txBox="1"/>
      </xdr:nvSpPr>
      <xdr:spPr>
        <a:xfrm flipH="1">
          <a:off x="11235481457" y="1329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5234B2B7-132A-4F87-922D-2B4C2CC4FC45}"/>
            </a:ext>
          </a:extLst>
        </xdr:cNvPr>
        <xdr:cNvSpPr txBox="1"/>
      </xdr:nvSpPr>
      <xdr:spPr>
        <a:xfrm flipH="1">
          <a:off x="11235481457" y="1329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DB30BE29-C6D6-47FB-8047-2F33F25DCE43}"/>
            </a:ext>
          </a:extLst>
        </xdr:cNvPr>
        <xdr:cNvSpPr txBox="1"/>
      </xdr:nvSpPr>
      <xdr:spPr>
        <a:xfrm flipH="1">
          <a:off x="11235481457" y="1329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142</xdr:row>
      <xdr:rowOff>0</xdr:rowOff>
    </xdr:from>
    <xdr:ext cx="184731" cy="254557"/>
    <xdr:sp macro="" textlink="">
      <xdr:nvSpPr>
        <xdr:cNvPr id="18" name="TextBox 2">
          <a:extLst>
            <a:ext uri="{FF2B5EF4-FFF2-40B4-BE49-F238E27FC236}">
              <a16:creationId xmlns:a16="http://schemas.microsoft.com/office/drawing/2014/main" id="{FF28C285-31D7-48F2-BA78-70D25A48F98B}"/>
            </a:ext>
          </a:extLst>
        </xdr:cNvPr>
        <xdr:cNvSpPr txBox="1"/>
      </xdr:nvSpPr>
      <xdr:spPr>
        <a:xfrm flipH="1">
          <a:off x="11235481457" y="186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142</xdr:row>
      <xdr:rowOff>0</xdr:rowOff>
    </xdr:from>
    <xdr:ext cx="184731" cy="254557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FCFD544-843E-4EE4-AA16-84ED029A6B29}"/>
            </a:ext>
          </a:extLst>
        </xdr:cNvPr>
        <xdr:cNvSpPr txBox="1"/>
      </xdr:nvSpPr>
      <xdr:spPr>
        <a:xfrm flipH="1">
          <a:off x="11235481457" y="186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142</xdr:row>
      <xdr:rowOff>0</xdr:rowOff>
    </xdr:from>
    <xdr:ext cx="184731" cy="254557"/>
    <xdr:sp macro="" textlink="">
      <xdr:nvSpPr>
        <xdr:cNvPr id="20" name="TextBox 5">
          <a:extLst>
            <a:ext uri="{FF2B5EF4-FFF2-40B4-BE49-F238E27FC236}">
              <a16:creationId xmlns:a16="http://schemas.microsoft.com/office/drawing/2014/main" id="{7B377B77-DA4D-4DA4-BD48-885FFD2544CE}"/>
            </a:ext>
          </a:extLst>
        </xdr:cNvPr>
        <xdr:cNvSpPr txBox="1"/>
      </xdr:nvSpPr>
      <xdr:spPr>
        <a:xfrm flipH="1">
          <a:off x="11235481457" y="186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142</xdr:row>
      <xdr:rowOff>0</xdr:rowOff>
    </xdr:from>
    <xdr:ext cx="184731" cy="254557"/>
    <xdr:sp macro="" textlink="">
      <xdr:nvSpPr>
        <xdr:cNvPr id="21" name="TextBox 6">
          <a:extLst>
            <a:ext uri="{FF2B5EF4-FFF2-40B4-BE49-F238E27FC236}">
              <a16:creationId xmlns:a16="http://schemas.microsoft.com/office/drawing/2014/main" id="{6CA618EE-0107-42B9-8ADD-0E2B60D9D6BB}"/>
            </a:ext>
          </a:extLst>
        </xdr:cNvPr>
        <xdr:cNvSpPr txBox="1"/>
      </xdr:nvSpPr>
      <xdr:spPr>
        <a:xfrm flipH="1">
          <a:off x="11235481457" y="186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142</xdr:row>
      <xdr:rowOff>0</xdr:rowOff>
    </xdr:from>
    <xdr:ext cx="184731" cy="254557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750C21A2-DE3E-43CE-9B4D-03EA4A93BCA4}"/>
            </a:ext>
          </a:extLst>
        </xdr:cNvPr>
        <xdr:cNvSpPr txBox="1"/>
      </xdr:nvSpPr>
      <xdr:spPr>
        <a:xfrm flipH="1">
          <a:off x="11235481457" y="186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142</xdr:row>
      <xdr:rowOff>0</xdr:rowOff>
    </xdr:from>
    <xdr:ext cx="184731" cy="254557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DD81A259-1BFC-44BD-B905-B58CED1F1BF7}"/>
            </a:ext>
          </a:extLst>
        </xdr:cNvPr>
        <xdr:cNvSpPr txBox="1"/>
      </xdr:nvSpPr>
      <xdr:spPr>
        <a:xfrm flipH="1">
          <a:off x="11235481457" y="18659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twoCellAnchor editAs="oneCell">
    <xdr:from>
      <xdr:col>2</xdr:col>
      <xdr:colOff>1318299</xdr:colOff>
      <xdr:row>0</xdr:row>
      <xdr:rowOff>222724</xdr:rowOff>
    </xdr:from>
    <xdr:to>
      <xdr:col>2</xdr:col>
      <xdr:colOff>1908849</xdr:colOff>
      <xdr:row>4</xdr:row>
      <xdr:rowOff>55267</xdr:rowOff>
    </xdr:to>
    <xdr:pic>
      <xdr:nvPicPr>
        <xdr:cNvPr id="24" name="صورة 23">
          <a:extLst>
            <a:ext uri="{FF2B5EF4-FFF2-40B4-BE49-F238E27FC236}">
              <a16:creationId xmlns:a16="http://schemas.microsoft.com/office/drawing/2014/main" id="{B2281E32-2346-461D-9F12-E64DAEA79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1398045" y="222724"/>
          <a:ext cx="781050" cy="805309"/>
        </a:xfrm>
        <a:prstGeom prst="rect">
          <a:avLst/>
        </a:prstGeom>
      </xdr:spPr>
    </xdr:pic>
    <xdr:clientData/>
  </xdr:twoCellAnchor>
  <xdr:twoCellAnchor editAs="oneCell">
    <xdr:from>
      <xdr:col>17</xdr:col>
      <xdr:colOff>55934</xdr:colOff>
      <xdr:row>0</xdr:row>
      <xdr:rowOff>192526</xdr:rowOff>
    </xdr:from>
    <xdr:to>
      <xdr:col>18</xdr:col>
      <xdr:colOff>204927</xdr:colOff>
      <xdr:row>4</xdr:row>
      <xdr:rowOff>54342</xdr:rowOff>
    </xdr:to>
    <xdr:pic>
      <xdr:nvPicPr>
        <xdr:cNvPr id="25" name="صورة 24">
          <a:extLst>
            <a:ext uri="{FF2B5EF4-FFF2-40B4-BE49-F238E27FC236}">
              <a16:creationId xmlns:a16="http://schemas.microsoft.com/office/drawing/2014/main" id="{706E1708-893C-483A-B808-331B56B93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4507174" y="192526"/>
          <a:ext cx="817770" cy="834582"/>
        </a:xfrm>
        <a:prstGeom prst="rect">
          <a:avLst/>
        </a:prstGeom>
      </xdr:spPr>
    </xdr:pic>
    <xdr:clientData/>
  </xdr:two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" name="TextBox 2">
          <a:extLst>
            <a:ext uri="{FF2B5EF4-FFF2-40B4-BE49-F238E27FC236}">
              <a16:creationId xmlns:a16="http://schemas.microsoft.com/office/drawing/2014/main" id="{C68B21F2-31AF-4678-BD81-016442F39D37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5F58FA2F-8662-4E9F-BCBE-3BBE3A45DB4F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" name="TextBox 5">
          <a:extLst>
            <a:ext uri="{FF2B5EF4-FFF2-40B4-BE49-F238E27FC236}">
              <a16:creationId xmlns:a16="http://schemas.microsoft.com/office/drawing/2014/main" id="{19F1C1F0-90AE-4E56-8A15-60BD738EDF39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" name="TextBox 6">
          <a:extLst>
            <a:ext uri="{FF2B5EF4-FFF2-40B4-BE49-F238E27FC236}">
              <a16:creationId xmlns:a16="http://schemas.microsoft.com/office/drawing/2014/main" id="{510F88DD-717C-4354-B9D6-19E5C3C9F07D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FF52934-12D8-4566-802F-AF5C6586DA78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1342FF9-FEAA-4B83-AAB4-63EBBA58D124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" name="TextBox 2">
          <a:extLst>
            <a:ext uri="{FF2B5EF4-FFF2-40B4-BE49-F238E27FC236}">
              <a16:creationId xmlns:a16="http://schemas.microsoft.com/office/drawing/2014/main" id="{E198D554-2A3F-4534-A14E-CA30B1F1782B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E98366C4-D3F0-4831-86AC-61BB0E0CA3AC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" name="TextBox 5">
          <a:extLst>
            <a:ext uri="{FF2B5EF4-FFF2-40B4-BE49-F238E27FC236}">
              <a16:creationId xmlns:a16="http://schemas.microsoft.com/office/drawing/2014/main" id="{999E656D-E694-4C50-8A06-E70E642DF6E1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" name="TextBox 6">
          <a:extLst>
            <a:ext uri="{FF2B5EF4-FFF2-40B4-BE49-F238E27FC236}">
              <a16:creationId xmlns:a16="http://schemas.microsoft.com/office/drawing/2014/main" id="{958A762B-797E-4CED-9A33-86A67B794C51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03409FFF-5360-405C-BC5E-6EA532CC694C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302B2738-2244-4DD2-9804-5D9F211FCB02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" name="TextBox 2">
          <a:extLst>
            <a:ext uri="{FF2B5EF4-FFF2-40B4-BE49-F238E27FC236}">
              <a16:creationId xmlns:a16="http://schemas.microsoft.com/office/drawing/2014/main" id="{1B7147A5-BAD7-4EC8-B1C1-DF2D6E5A0996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6395FE1C-D545-4009-99D0-A7D3EC6C43BB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" name="TextBox 5">
          <a:extLst>
            <a:ext uri="{FF2B5EF4-FFF2-40B4-BE49-F238E27FC236}">
              <a16:creationId xmlns:a16="http://schemas.microsoft.com/office/drawing/2014/main" id="{E1BE1ECD-1706-4996-86E7-A8AF4D7CA71C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" name="TextBox 6">
          <a:extLst>
            <a:ext uri="{FF2B5EF4-FFF2-40B4-BE49-F238E27FC236}">
              <a16:creationId xmlns:a16="http://schemas.microsoft.com/office/drawing/2014/main" id="{CC046CB3-E7A9-4361-AE5E-F06D5C56F78C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29B890F2-AE5E-46DD-8F89-A9077D801181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D8E6BA69-BB20-401E-81BA-E4F9B439EA01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" name="TextBox 2">
          <a:extLst>
            <a:ext uri="{FF2B5EF4-FFF2-40B4-BE49-F238E27FC236}">
              <a16:creationId xmlns:a16="http://schemas.microsoft.com/office/drawing/2014/main" id="{A6905C15-9615-428B-AEC0-7B610DEA874F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B813254-F155-4165-A747-A786AC5FA9D7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" name="TextBox 5">
          <a:extLst>
            <a:ext uri="{FF2B5EF4-FFF2-40B4-BE49-F238E27FC236}">
              <a16:creationId xmlns:a16="http://schemas.microsoft.com/office/drawing/2014/main" id="{8BE8BD53-C5D3-429E-8513-731F24CB3620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" name="TextBox 6">
          <a:extLst>
            <a:ext uri="{FF2B5EF4-FFF2-40B4-BE49-F238E27FC236}">
              <a16:creationId xmlns:a16="http://schemas.microsoft.com/office/drawing/2014/main" id="{97ECC19A-5559-4CE3-9A47-3A83B24B97C6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0007BE12-DDC5-448F-A5A8-9B14543ACEFB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3522D50A-FB3F-4539-9DBD-F6147E70B5D4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" name="TextBox 2">
          <a:extLst>
            <a:ext uri="{FF2B5EF4-FFF2-40B4-BE49-F238E27FC236}">
              <a16:creationId xmlns:a16="http://schemas.microsoft.com/office/drawing/2014/main" id="{383DA56F-32C7-48B7-ADD0-09D029AF3A90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398E9E8-EE71-4457-96CF-E5A507EAA09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" name="TextBox 5">
          <a:extLst>
            <a:ext uri="{FF2B5EF4-FFF2-40B4-BE49-F238E27FC236}">
              <a16:creationId xmlns:a16="http://schemas.microsoft.com/office/drawing/2014/main" id="{99A25D2F-33E3-4026-9763-81F09D3A0E58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" name="TextBox 6">
          <a:extLst>
            <a:ext uri="{FF2B5EF4-FFF2-40B4-BE49-F238E27FC236}">
              <a16:creationId xmlns:a16="http://schemas.microsoft.com/office/drawing/2014/main" id="{5F21E309-80B2-42BE-833D-8DBF2580E3B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3C4BC1BA-2352-4509-810C-54D9FD4021A8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E3192B79-F943-422B-BD2F-05EADAE4824F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" name="TextBox 2">
          <a:extLst>
            <a:ext uri="{FF2B5EF4-FFF2-40B4-BE49-F238E27FC236}">
              <a16:creationId xmlns:a16="http://schemas.microsoft.com/office/drawing/2014/main" id="{7C9917B6-8502-4F7B-BAF2-13D76B7DF84B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3C0C1A06-ACDB-49E4-BC01-43A8247CB147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" name="TextBox 5">
          <a:extLst>
            <a:ext uri="{FF2B5EF4-FFF2-40B4-BE49-F238E27FC236}">
              <a16:creationId xmlns:a16="http://schemas.microsoft.com/office/drawing/2014/main" id="{D895CFCF-208C-47AF-8EF0-EBA65786F88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" name="TextBox 6">
          <a:extLst>
            <a:ext uri="{FF2B5EF4-FFF2-40B4-BE49-F238E27FC236}">
              <a16:creationId xmlns:a16="http://schemas.microsoft.com/office/drawing/2014/main" id="{0D3E18D2-EF7C-4F32-8951-08C88CFEEA6A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9331352C-8B39-438C-8DDF-112C106C160A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E3D9B0A6-F99B-4033-85B2-E3B9F5D29A90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" name="TextBox 2">
          <a:extLst>
            <a:ext uri="{FF2B5EF4-FFF2-40B4-BE49-F238E27FC236}">
              <a16:creationId xmlns:a16="http://schemas.microsoft.com/office/drawing/2014/main" id="{69F9E760-BFA4-4116-904E-5DB2E4048976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43A47EE-58E9-45F1-827E-EA5AC4DF1CC9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" name="TextBox 5">
          <a:extLst>
            <a:ext uri="{FF2B5EF4-FFF2-40B4-BE49-F238E27FC236}">
              <a16:creationId xmlns:a16="http://schemas.microsoft.com/office/drawing/2014/main" id="{E1EE36F2-D35A-453D-90F3-09FC7DB31044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" name="TextBox 6">
          <a:extLst>
            <a:ext uri="{FF2B5EF4-FFF2-40B4-BE49-F238E27FC236}">
              <a16:creationId xmlns:a16="http://schemas.microsoft.com/office/drawing/2014/main" id="{6366476F-1626-409E-AA0C-75BB81A379E6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751F42E6-1575-4B77-95AC-C25EFB66B6B9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359E2FC1-8FC0-4248-B737-039FEC22FA5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" name="TextBox 2">
          <a:extLst>
            <a:ext uri="{FF2B5EF4-FFF2-40B4-BE49-F238E27FC236}">
              <a16:creationId xmlns:a16="http://schemas.microsoft.com/office/drawing/2014/main" id="{7EFC5C8C-DC6C-4F09-AB51-EC4CCCC2A003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04AE1DA9-BA35-4BEC-A9AB-792DD176B1D1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" name="TextBox 5">
          <a:extLst>
            <a:ext uri="{FF2B5EF4-FFF2-40B4-BE49-F238E27FC236}">
              <a16:creationId xmlns:a16="http://schemas.microsoft.com/office/drawing/2014/main" id="{CABFA2FB-E3B0-4B64-9399-69DE8C95244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" name="TextBox 6">
          <a:extLst>
            <a:ext uri="{FF2B5EF4-FFF2-40B4-BE49-F238E27FC236}">
              <a16:creationId xmlns:a16="http://schemas.microsoft.com/office/drawing/2014/main" id="{C6D67BDD-75EE-47FC-97B3-D95EBDD9DFC8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53A6C062-2425-4D07-985C-D918287AFED7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CDD10897-DF04-411F-AB8E-6F877BB6440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" name="TextBox 2">
          <a:extLst>
            <a:ext uri="{FF2B5EF4-FFF2-40B4-BE49-F238E27FC236}">
              <a16:creationId xmlns:a16="http://schemas.microsoft.com/office/drawing/2014/main" id="{4D4977C3-F7F3-4F12-8728-2CCC0A28804A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4C2F1135-4B0A-433F-840B-1DD12AE33687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" name="TextBox 5">
          <a:extLst>
            <a:ext uri="{FF2B5EF4-FFF2-40B4-BE49-F238E27FC236}">
              <a16:creationId xmlns:a16="http://schemas.microsoft.com/office/drawing/2014/main" id="{28CE4ED5-B314-40E7-888B-618A734E8438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" name="TextBox 6">
          <a:extLst>
            <a:ext uri="{FF2B5EF4-FFF2-40B4-BE49-F238E27FC236}">
              <a16:creationId xmlns:a16="http://schemas.microsoft.com/office/drawing/2014/main" id="{71FB6978-EA48-4EE3-9CC0-DF7DF9DF5404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8A6E3630-3342-4F04-AA5A-8E5078F1510F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8740805F-721E-4C35-B768-11C13C78A492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" name="TextBox 2">
          <a:extLst>
            <a:ext uri="{FF2B5EF4-FFF2-40B4-BE49-F238E27FC236}">
              <a16:creationId xmlns:a16="http://schemas.microsoft.com/office/drawing/2014/main" id="{82382C18-3874-4F36-BA8D-4EA8520DE68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B41C25E6-749B-4607-8671-8914AF7AD682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" name="TextBox 5">
          <a:extLst>
            <a:ext uri="{FF2B5EF4-FFF2-40B4-BE49-F238E27FC236}">
              <a16:creationId xmlns:a16="http://schemas.microsoft.com/office/drawing/2014/main" id="{A993AD79-2C5F-471F-93BE-B2A79C1F23FD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" name="TextBox 6">
          <a:extLst>
            <a:ext uri="{FF2B5EF4-FFF2-40B4-BE49-F238E27FC236}">
              <a16:creationId xmlns:a16="http://schemas.microsoft.com/office/drawing/2014/main" id="{2AE398FD-1F29-47EE-BBA7-F40AA85F652F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EBF0F0E0-703B-44F3-B380-49C79F583FFA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C595CC35-3B0D-4601-8DAA-52C4992F4D32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" name="TextBox 2">
          <a:extLst>
            <a:ext uri="{FF2B5EF4-FFF2-40B4-BE49-F238E27FC236}">
              <a16:creationId xmlns:a16="http://schemas.microsoft.com/office/drawing/2014/main" id="{88DE3D93-774B-44C3-803C-45CD24E5AB74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CF73286-3D3D-42E3-97AF-7A9DAED09851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" name="TextBox 5">
          <a:extLst>
            <a:ext uri="{FF2B5EF4-FFF2-40B4-BE49-F238E27FC236}">
              <a16:creationId xmlns:a16="http://schemas.microsoft.com/office/drawing/2014/main" id="{D4159CF6-8C9F-431A-A66A-E65E91F3C115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" name="TextBox 6">
          <a:extLst>
            <a:ext uri="{FF2B5EF4-FFF2-40B4-BE49-F238E27FC236}">
              <a16:creationId xmlns:a16="http://schemas.microsoft.com/office/drawing/2014/main" id="{6974999A-54DE-4E0A-A6DA-523D0BD5E283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" name="TextBox 7">
          <a:extLst>
            <a:ext uri="{FF2B5EF4-FFF2-40B4-BE49-F238E27FC236}">
              <a16:creationId xmlns:a16="http://schemas.microsoft.com/office/drawing/2014/main" id="{57249827-3429-46D4-A37A-165A5CF4AD1C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" name="TextBox 8">
          <a:extLst>
            <a:ext uri="{FF2B5EF4-FFF2-40B4-BE49-F238E27FC236}">
              <a16:creationId xmlns:a16="http://schemas.microsoft.com/office/drawing/2014/main" id="{B5FD99B5-ACAF-4BB4-8073-B289137BB9A9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" name="TextBox 2">
          <a:extLst>
            <a:ext uri="{FF2B5EF4-FFF2-40B4-BE49-F238E27FC236}">
              <a16:creationId xmlns:a16="http://schemas.microsoft.com/office/drawing/2014/main" id="{C148B3A0-C5FA-458A-9404-0921D0007FBD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BAB1C76-7BB5-4C49-8923-FB56B113757A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" name="TextBox 5">
          <a:extLst>
            <a:ext uri="{FF2B5EF4-FFF2-40B4-BE49-F238E27FC236}">
              <a16:creationId xmlns:a16="http://schemas.microsoft.com/office/drawing/2014/main" id="{C98D6E84-FCC3-419A-B958-81650ADA061C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" name="TextBox 6">
          <a:extLst>
            <a:ext uri="{FF2B5EF4-FFF2-40B4-BE49-F238E27FC236}">
              <a16:creationId xmlns:a16="http://schemas.microsoft.com/office/drawing/2014/main" id="{DE476ECB-168B-4B6F-A6F3-2AEC9DEFD544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" name="TextBox 7">
          <a:extLst>
            <a:ext uri="{FF2B5EF4-FFF2-40B4-BE49-F238E27FC236}">
              <a16:creationId xmlns:a16="http://schemas.microsoft.com/office/drawing/2014/main" id="{067BB763-8CA9-470E-8D6D-A7248F0F65C1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" name="TextBox 8">
          <a:extLst>
            <a:ext uri="{FF2B5EF4-FFF2-40B4-BE49-F238E27FC236}">
              <a16:creationId xmlns:a16="http://schemas.microsoft.com/office/drawing/2014/main" id="{D97D6303-0CBC-450E-9AE9-878ACF79906D}"/>
            </a:ext>
          </a:extLst>
        </xdr:cNvPr>
        <xdr:cNvSpPr txBox="1"/>
      </xdr:nvSpPr>
      <xdr:spPr>
        <a:xfrm flipH="1">
          <a:off x="11235481457" y="6666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" name="TextBox 2">
          <a:extLst>
            <a:ext uri="{FF2B5EF4-FFF2-40B4-BE49-F238E27FC236}">
              <a16:creationId xmlns:a16="http://schemas.microsoft.com/office/drawing/2014/main" id="{7CB0C3EE-2E26-4857-BC09-FC1A025EEDDE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1A535890-05DD-4793-87AA-5ABE8BC5FE5E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" name="TextBox 5">
          <a:extLst>
            <a:ext uri="{FF2B5EF4-FFF2-40B4-BE49-F238E27FC236}">
              <a16:creationId xmlns:a16="http://schemas.microsoft.com/office/drawing/2014/main" id="{C1A15AC2-77F0-464A-9BAB-C1B764371C48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" name="TextBox 6">
          <a:extLst>
            <a:ext uri="{FF2B5EF4-FFF2-40B4-BE49-F238E27FC236}">
              <a16:creationId xmlns:a16="http://schemas.microsoft.com/office/drawing/2014/main" id="{0B93F31E-AF72-45DA-B2D1-87117EB258FD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" name="TextBox 7">
          <a:extLst>
            <a:ext uri="{FF2B5EF4-FFF2-40B4-BE49-F238E27FC236}">
              <a16:creationId xmlns:a16="http://schemas.microsoft.com/office/drawing/2014/main" id="{BDE3F302-4856-4CE6-90E3-ABF53FAE059B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" name="TextBox 8">
          <a:extLst>
            <a:ext uri="{FF2B5EF4-FFF2-40B4-BE49-F238E27FC236}">
              <a16:creationId xmlns:a16="http://schemas.microsoft.com/office/drawing/2014/main" id="{B9F7C17D-1553-43F7-96A9-E521225A6805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" name="TextBox 2">
          <a:extLst>
            <a:ext uri="{FF2B5EF4-FFF2-40B4-BE49-F238E27FC236}">
              <a16:creationId xmlns:a16="http://schemas.microsoft.com/office/drawing/2014/main" id="{E0DD8688-6311-4F4D-90F2-EFA0BA07F123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1584E8EB-601C-4B00-9877-099687949F8C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" name="TextBox 5">
          <a:extLst>
            <a:ext uri="{FF2B5EF4-FFF2-40B4-BE49-F238E27FC236}">
              <a16:creationId xmlns:a16="http://schemas.microsoft.com/office/drawing/2014/main" id="{B6C63AAA-0086-44F7-A8AD-91553C6F3E74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" name="TextBox 6">
          <a:extLst>
            <a:ext uri="{FF2B5EF4-FFF2-40B4-BE49-F238E27FC236}">
              <a16:creationId xmlns:a16="http://schemas.microsoft.com/office/drawing/2014/main" id="{7D1477A0-2DB4-4312-AC4C-6934756DAFF8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" name="TextBox 7">
          <a:extLst>
            <a:ext uri="{FF2B5EF4-FFF2-40B4-BE49-F238E27FC236}">
              <a16:creationId xmlns:a16="http://schemas.microsoft.com/office/drawing/2014/main" id="{6C5F02CC-AD33-4377-BD8B-ADA29838DB77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" name="TextBox 8">
          <a:extLst>
            <a:ext uri="{FF2B5EF4-FFF2-40B4-BE49-F238E27FC236}">
              <a16:creationId xmlns:a16="http://schemas.microsoft.com/office/drawing/2014/main" id="{2011AF83-7305-4D27-B8C9-BA1A4687BEFF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" name="TextBox 2">
          <a:extLst>
            <a:ext uri="{FF2B5EF4-FFF2-40B4-BE49-F238E27FC236}">
              <a16:creationId xmlns:a16="http://schemas.microsoft.com/office/drawing/2014/main" id="{9F3637C2-93B5-4431-8F6D-A08DE4783586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9BE08D2D-41FA-4E71-B9D8-FB7120B78CEE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" name="TextBox 5">
          <a:extLst>
            <a:ext uri="{FF2B5EF4-FFF2-40B4-BE49-F238E27FC236}">
              <a16:creationId xmlns:a16="http://schemas.microsoft.com/office/drawing/2014/main" id="{38E68247-07B0-4DE4-B433-EF254B8DDB1A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" name="TextBox 6">
          <a:extLst>
            <a:ext uri="{FF2B5EF4-FFF2-40B4-BE49-F238E27FC236}">
              <a16:creationId xmlns:a16="http://schemas.microsoft.com/office/drawing/2014/main" id="{0DE7FC8A-92C6-4917-ABC7-9F197EF325C2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" name="TextBox 7">
          <a:extLst>
            <a:ext uri="{FF2B5EF4-FFF2-40B4-BE49-F238E27FC236}">
              <a16:creationId xmlns:a16="http://schemas.microsoft.com/office/drawing/2014/main" id="{C368D94D-D993-41AF-8242-D1A0CE5001F2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" name="TextBox 8">
          <a:extLst>
            <a:ext uri="{FF2B5EF4-FFF2-40B4-BE49-F238E27FC236}">
              <a16:creationId xmlns:a16="http://schemas.microsoft.com/office/drawing/2014/main" id="{3A045B4F-EFED-4610-959C-1FB940D43B71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" name="TextBox 2">
          <a:extLst>
            <a:ext uri="{FF2B5EF4-FFF2-40B4-BE49-F238E27FC236}">
              <a16:creationId xmlns:a16="http://schemas.microsoft.com/office/drawing/2014/main" id="{7DEB1106-D34A-43FA-9D2B-FB6383449466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DBB5D0AC-909F-4761-BCA1-204239343398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" name="TextBox 5">
          <a:extLst>
            <a:ext uri="{FF2B5EF4-FFF2-40B4-BE49-F238E27FC236}">
              <a16:creationId xmlns:a16="http://schemas.microsoft.com/office/drawing/2014/main" id="{D0E15D3F-B9BE-43BA-A5B5-3FCD50B15CB9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" name="TextBox 6">
          <a:extLst>
            <a:ext uri="{FF2B5EF4-FFF2-40B4-BE49-F238E27FC236}">
              <a16:creationId xmlns:a16="http://schemas.microsoft.com/office/drawing/2014/main" id="{C376D859-8246-4690-8D2F-4D5347DE5B74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" name="TextBox 7">
          <a:extLst>
            <a:ext uri="{FF2B5EF4-FFF2-40B4-BE49-F238E27FC236}">
              <a16:creationId xmlns:a16="http://schemas.microsoft.com/office/drawing/2014/main" id="{F55832CA-E450-4C2B-B423-55263E03C14B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" name="TextBox 8">
          <a:extLst>
            <a:ext uri="{FF2B5EF4-FFF2-40B4-BE49-F238E27FC236}">
              <a16:creationId xmlns:a16="http://schemas.microsoft.com/office/drawing/2014/main" id="{45FFEA48-C454-47F2-A301-C7636258A125}"/>
            </a:ext>
          </a:extLst>
        </xdr:cNvPr>
        <xdr:cNvSpPr txBox="1"/>
      </xdr:nvSpPr>
      <xdr:spPr>
        <a:xfrm flipH="1">
          <a:off x="11235481457" y="10026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" name="TextBox 2">
          <a:extLst>
            <a:ext uri="{FF2B5EF4-FFF2-40B4-BE49-F238E27FC236}">
              <a16:creationId xmlns:a16="http://schemas.microsoft.com/office/drawing/2014/main" id="{DFE67A66-0508-4A6B-9B09-F9F35957A0AA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89FBB388-FB60-44A6-9AA0-D92880BECCBB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" name="TextBox 5">
          <a:extLst>
            <a:ext uri="{FF2B5EF4-FFF2-40B4-BE49-F238E27FC236}">
              <a16:creationId xmlns:a16="http://schemas.microsoft.com/office/drawing/2014/main" id="{FFFB89E0-8EC3-47B5-90C4-287DC27EF754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" name="TextBox 6">
          <a:extLst>
            <a:ext uri="{FF2B5EF4-FFF2-40B4-BE49-F238E27FC236}">
              <a16:creationId xmlns:a16="http://schemas.microsoft.com/office/drawing/2014/main" id="{D65CCA2F-3CD4-45B7-BB8A-C0F81E1E6E83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" name="TextBox 7">
          <a:extLst>
            <a:ext uri="{FF2B5EF4-FFF2-40B4-BE49-F238E27FC236}">
              <a16:creationId xmlns:a16="http://schemas.microsoft.com/office/drawing/2014/main" id="{C0793136-A93C-408F-A356-883723A55214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" name="TextBox 8">
          <a:extLst>
            <a:ext uri="{FF2B5EF4-FFF2-40B4-BE49-F238E27FC236}">
              <a16:creationId xmlns:a16="http://schemas.microsoft.com/office/drawing/2014/main" id="{6AFB23F7-853E-4CCE-B127-440F4150584C}"/>
            </a:ext>
          </a:extLst>
        </xdr:cNvPr>
        <xdr:cNvSpPr txBox="1"/>
      </xdr:nvSpPr>
      <xdr:spPr>
        <a:xfrm flipH="1">
          <a:off x="11235481457" y="135245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" name="TextBox 2">
          <a:extLst>
            <a:ext uri="{FF2B5EF4-FFF2-40B4-BE49-F238E27FC236}">
              <a16:creationId xmlns:a16="http://schemas.microsoft.com/office/drawing/2014/main" id="{4833EA51-C64F-4F80-8216-B5BE77C68084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97D9054E-225B-4886-8757-94FA1C2C4789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" name="TextBox 5">
          <a:extLst>
            <a:ext uri="{FF2B5EF4-FFF2-40B4-BE49-F238E27FC236}">
              <a16:creationId xmlns:a16="http://schemas.microsoft.com/office/drawing/2014/main" id="{152D15D5-568C-4E6C-88C2-A6E64920F8FD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" name="TextBox 6">
          <a:extLst>
            <a:ext uri="{FF2B5EF4-FFF2-40B4-BE49-F238E27FC236}">
              <a16:creationId xmlns:a16="http://schemas.microsoft.com/office/drawing/2014/main" id="{F0B1CBAB-7BC5-4DB5-A351-174670559BE8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" name="TextBox 7">
          <a:extLst>
            <a:ext uri="{FF2B5EF4-FFF2-40B4-BE49-F238E27FC236}">
              <a16:creationId xmlns:a16="http://schemas.microsoft.com/office/drawing/2014/main" id="{23D7E4A7-3B6D-4B97-8888-39DD240BB9E4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" name="TextBox 8">
          <a:extLst>
            <a:ext uri="{FF2B5EF4-FFF2-40B4-BE49-F238E27FC236}">
              <a16:creationId xmlns:a16="http://schemas.microsoft.com/office/drawing/2014/main" id="{6DCF8168-8D2E-4CE5-A30C-96160D74BF61}"/>
            </a:ext>
          </a:extLst>
        </xdr:cNvPr>
        <xdr:cNvSpPr txBox="1"/>
      </xdr:nvSpPr>
      <xdr:spPr>
        <a:xfrm flipH="1">
          <a:off x="11235481457" y="66436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98</xdr:row>
      <xdr:rowOff>0</xdr:rowOff>
    </xdr:from>
    <xdr:ext cx="184731" cy="254557"/>
    <xdr:sp macro="" textlink="">
      <xdr:nvSpPr>
        <xdr:cNvPr id="134" name="TextBox 2">
          <a:extLst>
            <a:ext uri="{FF2B5EF4-FFF2-40B4-BE49-F238E27FC236}">
              <a16:creationId xmlns:a16="http://schemas.microsoft.com/office/drawing/2014/main" id="{B0FB6927-546D-436B-8198-0693A73DD8E1}"/>
            </a:ext>
          </a:extLst>
        </xdr:cNvPr>
        <xdr:cNvSpPr txBox="1"/>
      </xdr:nvSpPr>
      <xdr:spPr>
        <a:xfrm flipH="1">
          <a:off x="11235481457" y="50892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98</xdr:row>
      <xdr:rowOff>0</xdr:rowOff>
    </xdr:from>
    <xdr:ext cx="184731" cy="254557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AA9F43DD-E2CD-4C03-9E24-27B9EFA5B9ED}"/>
            </a:ext>
          </a:extLst>
        </xdr:cNvPr>
        <xdr:cNvSpPr txBox="1"/>
      </xdr:nvSpPr>
      <xdr:spPr>
        <a:xfrm flipH="1">
          <a:off x="11235481457" y="50892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98</xdr:row>
      <xdr:rowOff>0</xdr:rowOff>
    </xdr:from>
    <xdr:ext cx="184731" cy="254557"/>
    <xdr:sp macro="" textlink="">
      <xdr:nvSpPr>
        <xdr:cNvPr id="136" name="TextBox 5">
          <a:extLst>
            <a:ext uri="{FF2B5EF4-FFF2-40B4-BE49-F238E27FC236}">
              <a16:creationId xmlns:a16="http://schemas.microsoft.com/office/drawing/2014/main" id="{E655CC28-11D1-4448-B143-5A17401F9FC0}"/>
            </a:ext>
          </a:extLst>
        </xdr:cNvPr>
        <xdr:cNvSpPr txBox="1"/>
      </xdr:nvSpPr>
      <xdr:spPr>
        <a:xfrm flipH="1">
          <a:off x="11235481457" y="50892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98</xdr:row>
      <xdr:rowOff>0</xdr:rowOff>
    </xdr:from>
    <xdr:ext cx="184731" cy="254557"/>
    <xdr:sp macro="" textlink="">
      <xdr:nvSpPr>
        <xdr:cNvPr id="137" name="TextBox 6">
          <a:extLst>
            <a:ext uri="{FF2B5EF4-FFF2-40B4-BE49-F238E27FC236}">
              <a16:creationId xmlns:a16="http://schemas.microsoft.com/office/drawing/2014/main" id="{91E16A98-849B-4B1B-A191-E7AE816B5FE4}"/>
            </a:ext>
          </a:extLst>
        </xdr:cNvPr>
        <xdr:cNvSpPr txBox="1"/>
      </xdr:nvSpPr>
      <xdr:spPr>
        <a:xfrm flipH="1">
          <a:off x="11235481457" y="50892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98</xdr:row>
      <xdr:rowOff>0</xdr:rowOff>
    </xdr:from>
    <xdr:ext cx="184731" cy="254557"/>
    <xdr:sp macro="" textlink="">
      <xdr:nvSpPr>
        <xdr:cNvPr id="138" name="TextBox 7">
          <a:extLst>
            <a:ext uri="{FF2B5EF4-FFF2-40B4-BE49-F238E27FC236}">
              <a16:creationId xmlns:a16="http://schemas.microsoft.com/office/drawing/2014/main" id="{3F6FBFCF-0DEF-4821-A1AD-E1C1C43D94BB}"/>
            </a:ext>
          </a:extLst>
        </xdr:cNvPr>
        <xdr:cNvSpPr txBox="1"/>
      </xdr:nvSpPr>
      <xdr:spPr>
        <a:xfrm flipH="1">
          <a:off x="11235481457" y="50892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98</xdr:row>
      <xdr:rowOff>0</xdr:rowOff>
    </xdr:from>
    <xdr:ext cx="184731" cy="254557"/>
    <xdr:sp macro="" textlink="">
      <xdr:nvSpPr>
        <xdr:cNvPr id="139" name="TextBox 8">
          <a:extLst>
            <a:ext uri="{FF2B5EF4-FFF2-40B4-BE49-F238E27FC236}">
              <a16:creationId xmlns:a16="http://schemas.microsoft.com/office/drawing/2014/main" id="{BA3EBBD7-E39E-4238-B405-E810AF69C83B}"/>
            </a:ext>
          </a:extLst>
        </xdr:cNvPr>
        <xdr:cNvSpPr txBox="1"/>
      </xdr:nvSpPr>
      <xdr:spPr>
        <a:xfrm flipH="1">
          <a:off x="11235481457" y="50892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170</xdr:row>
      <xdr:rowOff>0</xdr:rowOff>
    </xdr:from>
    <xdr:ext cx="184731" cy="254557"/>
    <xdr:sp macro="" textlink="">
      <xdr:nvSpPr>
        <xdr:cNvPr id="140" name="TextBox 2">
          <a:extLst>
            <a:ext uri="{FF2B5EF4-FFF2-40B4-BE49-F238E27FC236}">
              <a16:creationId xmlns:a16="http://schemas.microsoft.com/office/drawing/2014/main" id="{A9C177A6-1471-4C8F-9D7A-6CB2C5765A04}"/>
            </a:ext>
          </a:extLst>
        </xdr:cNvPr>
        <xdr:cNvSpPr txBox="1"/>
      </xdr:nvSpPr>
      <xdr:spPr>
        <a:xfrm flipH="1">
          <a:off x="11235481457" y="2200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170</xdr:row>
      <xdr:rowOff>0</xdr:rowOff>
    </xdr:from>
    <xdr:ext cx="184731" cy="254557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0D3FE60C-9AF0-4436-95D2-E67B812C4850}"/>
            </a:ext>
          </a:extLst>
        </xdr:cNvPr>
        <xdr:cNvSpPr txBox="1"/>
      </xdr:nvSpPr>
      <xdr:spPr>
        <a:xfrm flipH="1">
          <a:off x="11235481457" y="2200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170</xdr:row>
      <xdr:rowOff>0</xdr:rowOff>
    </xdr:from>
    <xdr:ext cx="184731" cy="254557"/>
    <xdr:sp macro="" textlink="">
      <xdr:nvSpPr>
        <xdr:cNvPr id="142" name="TextBox 5">
          <a:extLst>
            <a:ext uri="{FF2B5EF4-FFF2-40B4-BE49-F238E27FC236}">
              <a16:creationId xmlns:a16="http://schemas.microsoft.com/office/drawing/2014/main" id="{122A1B0C-C74D-4A35-8501-7894C773BE0E}"/>
            </a:ext>
          </a:extLst>
        </xdr:cNvPr>
        <xdr:cNvSpPr txBox="1"/>
      </xdr:nvSpPr>
      <xdr:spPr>
        <a:xfrm flipH="1">
          <a:off x="11235481457" y="2200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170</xdr:row>
      <xdr:rowOff>0</xdr:rowOff>
    </xdr:from>
    <xdr:ext cx="184731" cy="254557"/>
    <xdr:sp macro="" textlink="">
      <xdr:nvSpPr>
        <xdr:cNvPr id="143" name="TextBox 6">
          <a:extLst>
            <a:ext uri="{FF2B5EF4-FFF2-40B4-BE49-F238E27FC236}">
              <a16:creationId xmlns:a16="http://schemas.microsoft.com/office/drawing/2014/main" id="{AA73E2EF-814F-45F1-9CCE-3AA7BB545AC4}"/>
            </a:ext>
          </a:extLst>
        </xdr:cNvPr>
        <xdr:cNvSpPr txBox="1"/>
      </xdr:nvSpPr>
      <xdr:spPr>
        <a:xfrm flipH="1">
          <a:off x="11235481457" y="2200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170</xdr:row>
      <xdr:rowOff>0</xdr:rowOff>
    </xdr:from>
    <xdr:ext cx="184731" cy="254557"/>
    <xdr:sp macro="" textlink="">
      <xdr:nvSpPr>
        <xdr:cNvPr id="144" name="TextBox 7">
          <a:extLst>
            <a:ext uri="{FF2B5EF4-FFF2-40B4-BE49-F238E27FC236}">
              <a16:creationId xmlns:a16="http://schemas.microsoft.com/office/drawing/2014/main" id="{81BB8586-7B8D-4B63-A97E-097A3F07418B}"/>
            </a:ext>
          </a:extLst>
        </xdr:cNvPr>
        <xdr:cNvSpPr txBox="1"/>
      </xdr:nvSpPr>
      <xdr:spPr>
        <a:xfrm flipH="1">
          <a:off x="11235481457" y="2200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170</xdr:row>
      <xdr:rowOff>0</xdr:rowOff>
    </xdr:from>
    <xdr:ext cx="184731" cy="254557"/>
    <xdr:sp macro="" textlink="">
      <xdr:nvSpPr>
        <xdr:cNvPr id="145" name="TextBox 8">
          <a:extLst>
            <a:ext uri="{FF2B5EF4-FFF2-40B4-BE49-F238E27FC236}">
              <a16:creationId xmlns:a16="http://schemas.microsoft.com/office/drawing/2014/main" id="{9731A676-EE50-4E24-8A24-9ABBFA376BCA}"/>
            </a:ext>
          </a:extLst>
        </xdr:cNvPr>
        <xdr:cNvSpPr txBox="1"/>
      </xdr:nvSpPr>
      <xdr:spPr>
        <a:xfrm flipH="1">
          <a:off x="11235481457" y="2200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" name="TextBox 2">
          <a:extLst>
            <a:ext uri="{FF2B5EF4-FFF2-40B4-BE49-F238E27FC236}">
              <a16:creationId xmlns:a16="http://schemas.microsoft.com/office/drawing/2014/main" id="{0D0522B1-EC80-4AEF-97DD-EE26EBD2F4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D4D28897-8BFE-476E-867C-C4BAA75FDF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" name="TextBox 5">
          <a:extLst>
            <a:ext uri="{FF2B5EF4-FFF2-40B4-BE49-F238E27FC236}">
              <a16:creationId xmlns:a16="http://schemas.microsoft.com/office/drawing/2014/main" id="{B12BCD46-A73F-4F90-A737-6D47CB7A1B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" name="TextBox 6">
          <a:extLst>
            <a:ext uri="{FF2B5EF4-FFF2-40B4-BE49-F238E27FC236}">
              <a16:creationId xmlns:a16="http://schemas.microsoft.com/office/drawing/2014/main" id="{C3A032FD-B523-41C5-A157-865D5FEE57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" name="TextBox 7">
          <a:extLst>
            <a:ext uri="{FF2B5EF4-FFF2-40B4-BE49-F238E27FC236}">
              <a16:creationId xmlns:a16="http://schemas.microsoft.com/office/drawing/2014/main" id="{0DBD1749-A32D-4013-AA6A-24C1F0C5DF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" name="TextBox 8">
          <a:extLst>
            <a:ext uri="{FF2B5EF4-FFF2-40B4-BE49-F238E27FC236}">
              <a16:creationId xmlns:a16="http://schemas.microsoft.com/office/drawing/2014/main" id="{5FA1AFAF-74FF-4F22-BCE4-BE9071827D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" name="TextBox 2">
          <a:extLst>
            <a:ext uri="{FF2B5EF4-FFF2-40B4-BE49-F238E27FC236}">
              <a16:creationId xmlns:a16="http://schemas.microsoft.com/office/drawing/2014/main" id="{458E2E9E-1693-4676-9844-0B4D7BC40E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" name="TextBox 4">
          <a:extLst>
            <a:ext uri="{FF2B5EF4-FFF2-40B4-BE49-F238E27FC236}">
              <a16:creationId xmlns:a16="http://schemas.microsoft.com/office/drawing/2014/main" id="{A0C9D7BD-4C87-4BF2-AED2-156CE4E4B8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" name="TextBox 5">
          <a:extLst>
            <a:ext uri="{FF2B5EF4-FFF2-40B4-BE49-F238E27FC236}">
              <a16:creationId xmlns:a16="http://schemas.microsoft.com/office/drawing/2014/main" id="{D96F35A9-E656-49A3-9D03-34C3D18189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" name="TextBox 6">
          <a:extLst>
            <a:ext uri="{FF2B5EF4-FFF2-40B4-BE49-F238E27FC236}">
              <a16:creationId xmlns:a16="http://schemas.microsoft.com/office/drawing/2014/main" id="{9BAA77E5-6718-4031-A434-B8E528CF43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" name="TextBox 7">
          <a:extLst>
            <a:ext uri="{FF2B5EF4-FFF2-40B4-BE49-F238E27FC236}">
              <a16:creationId xmlns:a16="http://schemas.microsoft.com/office/drawing/2014/main" id="{916F3C4B-E62A-4453-9D0A-AA10C0BCE7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" name="TextBox 8">
          <a:extLst>
            <a:ext uri="{FF2B5EF4-FFF2-40B4-BE49-F238E27FC236}">
              <a16:creationId xmlns:a16="http://schemas.microsoft.com/office/drawing/2014/main" id="{CE2490D1-F556-438D-9487-E439B03825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" name="TextBox 2">
          <a:extLst>
            <a:ext uri="{FF2B5EF4-FFF2-40B4-BE49-F238E27FC236}">
              <a16:creationId xmlns:a16="http://schemas.microsoft.com/office/drawing/2014/main" id="{457DBFF0-55F2-4A32-B031-6DE58C82C7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0EDA36CA-7279-45BC-8A5C-9E1AC35554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" name="TextBox 5">
          <a:extLst>
            <a:ext uri="{FF2B5EF4-FFF2-40B4-BE49-F238E27FC236}">
              <a16:creationId xmlns:a16="http://schemas.microsoft.com/office/drawing/2014/main" id="{2156E07A-FD78-461B-AC40-631CA5EE76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" name="TextBox 6">
          <a:extLst>
            <a:ext uri="{FF2B5EF4-FFF2-40B4-BE49-F238E27FC236}">
              <a16:creationId xmlns:a16="http://schemas.microsoft.com/office/drawing/2014/main" id="{0F3428A1-17DA-409B-9714-3EC5F62FD7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" name="TextBox 7">
          <a:extLst>
            <a:ext uri="{FF2B5EF4-FFF2-40B4-BE49-F238E27FC236}">
              <a16:creationId xmlns:a16="http://schemas.microsoft.com/office/drawing/2014/main" id="{61676A02-22DF-409C-A34E-D34FB610CF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" name="TextBox 8">
          <a:extLst>
            <a:ext uri="{FF2B5EF4-FFF2-40B4-BE49-F238E27FC236}">
              <a16:creationId xmlns:a16="http://schemas.microsoft.com/office/drawing/2014/main" id="{ED2278A6-E2EF-42A5-9B17-EFE0C7186B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" name="TextBox 2">
          <a:extLst>
            <a:ext uri="{FF2B5EF4-FFF2-40B4-BE49-F238E27FC236}">
              <a16:creationId xmlns:a16="http://schemas.microsoft.com/office/drawing/2014/main" id="{F99A70C5-0C02-45FB-BB52-2C982992EA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" name="TextBox 4">
          <a:extLst>
            <a:ext uri="{FF2B5EF4-FFF2-40B4-BE49-F238E27FC236}">
              <a16:creationId xmlns:a16="http://schemas.microsoft.com/office/drawing/2014/main" id="{E40093FD-4F9C-4614-BCB6-C23B8C742A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" name="TextBox 5">
          <a:extLst>
            <a:ext uri="{FF2B5EF4-FFF2-40B4-BE49-F238E27FC236}">
              <a16:creationId xmlns:a16="http://schemas.microsoft.com/office/drawing/2014/main" id="{6EDC4E2C-E74A-484E-A280-976461FE7C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" name="TextBox 6">
          <a:extLst>
            <a:ext uri="{FF2B5EF4-FFF2-40B4-BE49-F238E27FC236}">
              <a16:creationId xmlns:a16="http://schemas.microsoft.com/office/drawing/2014/main" id="{C58A519F-BABB-4225-B381-80B4C724F2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" name="TextBox 7">
          <a:extLst>
            <a:ext uri="{FF2B5EF4-FFF2-40B4-BE49-F238E27FC236}">
              <a16:creationId xmlns:a16="http://schemas.microsoft.com/office/drawing/2014/main" id="{BE0495CD-E33E-45F6-A5E1-482D975A57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" name="TextBox 8">
          <a:extLst>
            <a:ext uri="{FF2B5EF4-FFF2-40B4-BE49-F238E27FC236}">
              <a16:creationId xmlns:a16="http://schemas.microsoft.com/office/drawing/2014/main" id="{19C2DB24-A990-44E8-B511-9259EF664D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" name="TextBox 2">
          <a:extLst>
            <a:ext uri="{FF2B5EF4-FFF2-40B4-BE49-F238E27FC236}">
              <a16:creationId xmlns:a16="http://schemas.microsoft.com/office/drawing/2014/main" id="{AEC4F3E1-CBF1-45F2-85A9-9EAB480134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" name="TextBox 4">
          <a:extLst>
            <a:ext uri="{FF2B5EF4-FFF2-40B4-BE49-F238E27FC236}">
              <a16:creationId xmlns:a16="http://schemas.microsoft.com/office/drawing/2014/main" id="{78D8A1F7-2B9B-4B8E-93EA-265E712EC3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" name="TextBox 5">
          <a:extLst>
            <a:ext uri="{FF2B5EF4-FFF2-40B4-BE49-F238E27FC236}">
              <a16:creationId xmlns:a16="http://schemas.microsoft.com/office/drawing/2014/main" id="{279D309A-6330-4892-8533-BA2A155274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" name="TextBox 6">
          <a:extLst>
            <a:ext uri="{FF2B5EF4-FFF2-40B4-BE49-F238E27FC236}">
              <a16:creationId xmlns:a16="http://schemas.microsoft.com/office/drawing/2014/main" id="{A26CA618-3A30-48AA-9A8D-BCF3CA4161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" name="TextBox 7">
          <a:extLst>
            <a:ext uri="{FF2B5EF4-FFF2-40B4-BE49-F238E27FC236}">
              <a16:creationId xmlns:a16="http://schemas.microsoft.com/office/drawing/2014/main" id="{387C7868-22D3-490A-BE42-4C904A1633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" name="TextBox 8">
          <a:extLst>
            <a:ext uri="{FF2B5EF4-FFF2-40B4-BE49-F238E27FC236}">
              <a16:creationId xmlns:a16="http://schemas.microsoft.com/office/drawing/2014/main" id="{F664B7A8-F5D2-4DCD-9A4E-E24B02F10B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" name="TextBox 2">
          <a:extLst>
            <a:ext uri="{FF2B5EF4-FFF2-40B4-BE49-F238E27FC236}">
              <a16:creationId xmlns:a16="http://schemas.microsoft.com/office/drawing/2014/main" id="{354C14B7-83AF-4412-A23B-A30B32A491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" name="TextBox 4">
          <a:extLst>
            <a:ext uri="{FF2B5EF4-FFF2-40B4-BE49-F238E27FC236}">
              <a16:creationId xmlns:a16="http://schemas.microsoft.com/office/drawing/2014/main" id="{77345FDB-89DD-4DB7-87A4-98F7E5D6F3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" name="TextBox 5">
          <a:extLst>
            <a:ext uri="{FF2B5EF4-FFF2-40B4-BE49-F238E27FC236}">
              <a16:creationId xmlns:a16="http://schemas.microsoft.com/office/drawing/2014/main" id="{76A86ED6-3C69-465C-B6B1-C9CB95D0A7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" name="TextBox 6">
          <a:extLst>
            <a:ext uri="{FF2B5EF4-FFF2-40B4-BE49-F238E27FC236}">
              <a16:creationId xmlns:a16="http://schemas.microsoft.com/office/drawing/2014/main" id="{394D9339-42CF-4811-BDFF-0E926C01BD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" name="TextBox 7">
          <a:extLst>
            <a:ext uri="{FF2B5EF4-FFF2-40B4-BE49-F238E27FC236}">
              <a16:creationId xmlns:a16="http://schemas.microsoft.com/office/drawing/2014/main" id="{DB784DE0-34C6-4C6F-8353-4F770A3F29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" name="TextBox 8">
          <a:extLst>
            <a:ext uri="{FF2B5EF4-FFF2-40B4-BE49-F238E27FC236}">
              <a16:creationId xmlns:a16="http://schemas.microsoft.com/office/drawing/2014/main" id="{CC2AFBEF-1E36-412E-B479-AD57410166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" name="TextBox 2">
          <a:extLst>
            <a:ext uri="{FF2B5EF4-FFF2-40B4-BE49-F238E27FC236}">
              <a16:creationId xmlns:a16="http://schemas.microsoft.com/office/drawing/2014/main" id="{1BB7FF0F-EF59-484E-A008-D8FE70E42AD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" name="TextBox 4">
          <a:extLst>
            <a:ext uri="{FF2B5EF4-FFF2-40B4-BE49-F238E27FC236}">
              <a16:creationId xmlns:a16="http://schemas.microsoft.com/office/drawing/2014/main" id="{17E432DD-6CBA-4B81-BCC6-91F64DFDCE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" name="TextBox 5">
          <a:extLst>
            <a:ext uri="{FF2B5EF4-FFF2-40B4-BE49-F238E27FC236}">
              <a16:creationId xmlns:a16="http://schemas.microsoft.com/office/drawing/2014/main" id="{66423ABD-F4B7-4B79-BDB1-7FE4BAAA27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" name="TextBox 6">
          <a:extLst>
            <a:ext uri="{FF2B5EF4-FFF2-40B4-BE49-F238E27FC236}">
              <a16:creationId xmlns:a16="http://schemas.microsoft.com/office/drawing/2014/main" id="{C695C838-6DCC-451A-AC30-F5174FEF5E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" name="TextBox 7">
          <a:extLst>
            <a:ext uri="{FF2B5EF4-FFF2-40B4-BE49-F238E27FC236}">
              <a16:creationId xmlns:a16="http://schemas.microsoft.com/office/drawing/2014/main" id="{7AF5A4AE-C691-46B1-B7BF-4323EFFECD1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" name="TextBox 8">
          <a:extLst>
            <a:ext uri="{FF2B5EF4-FFF2-40B4-BE49-F238E27FC236}">
              <a16:creationId xmlns:a16="http://schemas.microsoft.com/office/drawing/2014/main" id="{DDE4E786-F10A-4C96-8A62-817D3DE4AA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" name="TextBox 2">
          <a:extLst>
            <a:ext uri="{FF2B5EF4-FFF2-40B4-BE49-F238E27FC236}">
              <a16:creationId xmlns:a16="http://schemas.microsoft.com/office/drawing/2014/main" id="{5566F715-0933-4E57-A37A-0967F86A20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" name="TextBox 4">
          <a:extLst>
            <a:ext uri="{FF2B5EF4-FFF2-40B4-BE49-F238E27FC236}">
              <a16:creationId xmlns:a16="http://schemas.microsoft.com/office/drawing/2014/main" id="{9C3E7214-0059-48F8-8E7A-C2E5E33219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" name="TextBox 5">
          <a:extLst>
            <a:ext uri="{FF2B5EF4-FFF2-40B4-BE49-F238E27FC236}">
              <a16:creationId xmlns:a16="http://schemas.microsoft.com/office/drawing/2014/main" id="{9EFC1606-D2E1-49FA-8C7F-CE28825F12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" name="TextBox 6">
          <a:extLst>
            <a:ext uri="{FF2B5EF4-FFF2-40B4-BE49-F238E27FC236}">
              <a16:creationId xmlns:a16="http://schemas.microsoft.com/office/drawing/2014/main" id="{10E09FF1-8BAB-4E58-9F25-7DF5F4C27B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" name="TextBox 7">
          <a:extLst>
            <a:ext uri="{FF2B5EF4-FFF2-40B4-BE49-F238E27FC236}">
              <a16:creationId xmlns:a16="http://schemas.microsoft.com/office/drawing/2014/main" id="{68811374-F5DF-4B7A-8974-3A96856F35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" name="TextBox 8">
          <a:extLst>
            <a:ext uri="{FF2B5EF4-FFF2-40B4-BE49-F238E27FC236}">
              <a16:creationId xmlns:a16="http://schemas.microsoft.com/office/drawing/2014/main" id="{0132EB60-41AC-4963-B193-547DD7012A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" name="TextBox 2">
          <a:extLst>
            <a:ext uri="{FF2B5EF4-FFF2-40B4-BE49-F238E27FC236}">
              <a16:creationId xmlns:a16="http://schemas.microsoft.com/office/drawing/2014/main" id="{5A8F2095-69E4-4B9D-A709-920E4D4758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" name="TextBox 4">
          <a:extLst>
            <a:ext uri="{FF2B5EF4-FFF2-40B4-BE49-F238E27FC236}">
              <a16:creationId xmlns:a16="http://schemas.microsoft.com/office/drawing/2014/main" id="{D4BB4F14-7811-4102-94BA-AD5E68B1C7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" name="TextBox 5">
          <a:extLst>
            <a:ext uri="{FF2B5EF4-FFF2-40B4-BE49-F238E27FC236}">
              <a16:creationId xmlns:a16="http://schemas.microsoft.com/office/drawing/2014/main" id="{FE47F3C1-06CF-4A57-AED3-DF77E22080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" name="TextBox 6">
          <a:extLst>
            <a:ext uri="{FF2B5EF4-FFF2-40B4-BE49-F238E27FC236}">
              <a16:creationId xmlns:a16="http://schemas.microsoft.com/office/drawing/2014/main" id="{9275D2B1-E80F-49D5-9CE7-7CD1D2FC6C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" name="TextBox 7">
          <a:extLst>
            <a:ext uri="{FF2B5EF4-FFF2-40B4-BE49-F238E27FC236}">
              <a16:creationId xmlns:a16="http://schemas.microsoft.com/office/drawing/2014/main" id="{90B96C81-5109-4239-9489-FD56FF2F2A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" name="TextBox 8">
          <a:extLst>
            <a:ext uri="{FF2B5EF4-FFF2-40B4-BE49-F238E27FC236}">
              <a16:creationId xmlns:a16="http://schemas.microsoft.com/office/drawing/2014/main" id="{290D2127-66E1-4B2F-9726-09B63B7713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" name="TextBox 2">
          <a:extLst>
            <a:ext uri="{FF2B5EF4-FFF2-40B4-BE49-F238E27FC236}">
              <a16:creationId xmlns:a16="http://schemas.microsoft.com/office/drawing/2014/main" id="{33F08765-7508-4E3A-8246-5BAD676B30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" name="TextBox 4">
          <a:extLst>
            <a:ext uri="{FF2B5EF4-FFF2-40B4-BE49-F238E27FC236}">
              <a16:creationId xmlns:a16="http://schemas.microsoft.com/office/drawing/2014/main" id="{DFFFFED5-2A37-4144-82F6-C4E6DB235C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" name="TextBox 5">
          <a:extLst>
            <a:ext uri="{FF2B5EF4-FFF2-40B4-BE49-F238E27FC236}">
              <a16:creationId xmlns:a16="http://schemas.microsoft.com/office/drawing/2014/main" id="{EC57AA52-8679-4793-A633-0D28E649F0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" name="TextBox 6">
          <a:extLst>
            <a:ext uri="{FF2B5EF4-FFF2-40B4-BE49-F238E27FC236}">
              <a16:creationId xmlns:a16="http://schemas.microsoft.com/office/drawing/2014/main" id="{7688F972-6F28-4926-BA1D-71C0FBEF15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" name="TextBox 7">
          <a:extLst>
            <a:ext uri="{FF2B5EF4-FFF2-40B4-BE49-F238E27FC236}">
              <a16:creationId xmlns:a16="http://schemas.microsoft.com/office/drawing/2014/main" id="{67BA405C-9FE7-4BC8-A80E-7A869093FB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" name="TextBox 8">
          <a:extLst>
            <a:ext uri="{FF2B5EF4-FFF2-40B4-BE49-F238E27FC236}">
              <a16:creationId xmlns:a16="http://schemas.microsoft.com/office/drawing/2014/main" id="{02AAD681-9AA0-4B20-B161-C6B06ECD35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" name="TextBox 2">
          <a:extLst>
            <a:ext uri="{FF2B5EF4-FFF2-40B4-BE49-F238E27FC236}">
              <a16:creationId xmlns:a16="http://schemas.microsoft.com/office/drawing/2014/main" id="{700EEEEB-C856-4D7D-B15E-DFB859AD01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" name="TextBox 4">
          <a:extLst>
            <a:ext uri="{FF2B5EF4-FFF2-40B4-BE49-F238E27FC236}">
              <a16:creationId xmlns:a16="http://schemas.microsoft.com/office/drawing/2014/main" id="{0B945534-3AB3-46F5-AFFD-6481C9A419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" name="TextBox 5">
          <a:extLst>
            <a:ext uri="{FF2B5EF4-FFF2-40B4-BE49-F238E27FC236}">
              <a16:creationId xmlns:a16="http://schemas.microsoft.com/office/drawing/2014/main" id="{813EA0F4-1E13-4E0F-A424-C51CF5C3C79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" name="TextBox 6">
          <a:extLst>
            <a:ext uri="{FF2B5EF4-FFF2-40B4-BE49-F238E27FC236}">
              <a16:creationId xmlns:a16="http://schemas.microsoft.com/office/drawing/2014/main" id="{CB15422B-9CE8-476D-9168-9D6DC0069FD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" name="TextBox 7">
          <a:extLst>
            <a:ext uri="{FF2B5EF4-FFF2-40B4-BE49-F238E27FC236}">
              <a16:creationId xmlns:a16="http://schemas.microsoft.com/office/drawing/2014/main" id="{1460C46E-B298-4E47-BAC8-E1D477BBD2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" name="TextBox 8">
          <a:extLst>
            <a:ext uri="{FF2B5EF4-FFF2-40B4-BE49-F238E27FC236}">
              <a16:creationId xmlns:a16="http://schemas.microsoft.com/office/drawing/2014/main" id="{7FAEAF31-D0DF-434F-B244-B7425FF2C0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" name="TextBox 2">
          <a:extLst>
            <a:ext uri="{FF2B5EF4-FFF2-40B4-BE49-F238E27FC236}">
              <a16:creationId xmlns:a16="http://schemas.microsoft.com/office/drawing/2014/main" id="{AD0FB0CA-56EC-4A1E-8EAA-1D9A24AB9A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" name="TextBox 4">
          <a:extLst>
            <a:ext uri="{FF2B5EF4-FFF2-40B4-BE49-F238E27FC236}">
              <a16:creationId xmlns:a16="http://schemas.microsoft.com/office/drawing/2014/main" id="{38BFDD09-5A6F-4F64-BB57-0E6B9302C0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" name="TextBox 5">
          <a:extLst>
            <a:ext uri="{FF2B5EF4-FFF2-40B4-BE49-F238E27FC236}">
              <a16:creationId xmlns:a16="http://schemas.microsoft.com/office/drawing/2014/main" id="{4E10D57D-CDB5-4776-B941-7E3486A6F5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" name="TextBox 6">
          <a:extLst>
            <a:ext uri="{FF2B5EF4-FFF2-40B4-BE49-F238E27FC236}">
              <a16:creationId xmlns:a16="http://schemas.microsoft.com/office/drawing/2014/main" id="{BFE44E9B-7760-4CCA-BC0B-0944E1B9DA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" name="TextBox 7">
          <a:extLst>
            <a:ext uri="{FF2B5EF4-FFF2-40B4-BE49-F238E27FC236}">
              <a16:creationId xmlns:a16="http://schemas.microsoft.com/office/drawing/2014/main" id="{20FDC91F-0AF8-41B3-81D7-F3EC8B58C7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" name="TextBox 8">
          <a:extLst>
            <a:ext uri="{FF2B5EF4-FFF2-40B4-BE49-F238E27FC236}">
              <a16:creationId xmlns:a16="http://schemas.microsoft.com/office/drawing/2014/main" id="{E93EA2BB-1504-438A-8E42-9B07195127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" name="TextBox 2">
          <a:extLst>
            <a:ext uri="{FF2B5EF4-FFF2-40B4-BE49-F238E27FC236}">
              <a16:creationId xmlns:a16="http://schemas.microsoft.com/office/drawing/2014/main" id="{3C5ADF8B-AAC4-4227-81E2-61BDADE998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" name="TextBox 4">
          <a:extLst>
            <a:ext uri="{FF2B5EF4-FFF2-40B4-BE49-F238E27FC236}">
              <a16:creationId xmlns:a16="http://schemas.microsoft.com/office/drawing/2014/main" id="{3B81C830-451F-4899-967F-EAF3218FB9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" name="TextBox 5">
          <a:extLst>
            <a:ext uri="{FF2B5EF4-FFF2-40B4-BE49-F238E27FC236}">
              <a16:creationId xmlns:a16="http://schemas.microsoft.com/office/drawing/2014/main" id="{CCF73AD4-8079-4FAD-BE98-F3592D370D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" name="TextBox 6">
          <a:extLst>
            <a:ext uri="{FF2B5EF4-FFF2-40B4-BE49-F238E27FC236}">
              <a16:creationId xmlns:a16="http://schemas.microsoft.com/office/drawing/2014/main" id="{090AD362-A8C0-49F9-8A1B-C815A4335F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" name="TextBox 7">
          <a:extLst>
            <a:ext uri="{FF2B5EF4-FFF2-40B4-BE49-F238E27FC236}">
              <a16:creationId xmlns:a16="http://schemas.microsoft.com/office/drawing/2014/main" id="{80884428-4768-4E64-8C08-8039615F40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" name="TextBox 8">
          <a:extLst>
            <a:ext uri="{FF2B5EF4-FFF2-40B4-BE49-F238E27FC236}">
              <a16:creationId xmlns:a16="http://schemas.microsoft.com/office/drawing/2014/main" id="{561399F7-A4A1-46A3-8C36-5BB9C3F67A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" name="TextBox 2">
          <a:extLst>
            <a:ext uri="{FF2B5EF4-FFF2-40B4-BE49-F238E27FC236}">
              <a16:creationId xmlns:a16="http://schemas.microsoft.com/office/drawing/2014/main" id="{D8DE6135-4DCC-443D-85A2-8016015F3D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" name="TextBox 4">
          <a:extLst>
            <a:ext uri="{FF2B5EF4-FFF2-40B4-BE49-F238E27FC236}">
              <a16:creationId xmlns:a16="http://schemas.microsoft.com/office/drawing/2014/main" id="{EB80FB45-C665-4744-966E-2FF980D0D4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" name="TextBox 5">
          <a:extLst>
            <a:ext uri="{FF2B5EF4-FFF2-40B4-BE49-F238E27FC236}">
              <a16:creationId xmlns:a16="http://schemas.microsoft.com/office/drawing/2014/main" id="{E3C7A779-3053-46C2-884D-77F478E445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" name="TextBox 6">
          <a:extLst>
            <a:ext uri="{FF2B5EF4-FFF2-40B4-BE49-F238E27FC236}">
              <a16:creationId xmlns:a16="http://schemas.microsoft.com/office/drawing/2014/main" id="{23EF9C55-B17D-4DA2-BA60-7B60548478F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" name="TextBox 7">
          <a:extLst>
            <a:ext uri="{FF2B5EF4-FFF2-40B4-BE49-F238E27FC236}">
              <a16:creationId xmlns:a16="http://schemas.microsoft.com/office/drawing/2014/main" id="{6D51DB36-D160-43F7-A9BA-6EEBEEE127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" name="TextBox 8">
          <a:extLst>
            <a:ext uri="{FF2B5EF4-FFF2-40B4-BE49-F238E27FC236}">
              <a16:creationId xmlns:a16="http://schemas.microsoft.com/office/drawing/2014/main" id="{AC387C6E-6A2A-4844-A904-A060E191662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" name="TextBox 2">
          <a:extLst>
            <a:ext uri="{FF2B5EF4-FFF2-40B4-BE49-F238E27FC236}">
              <a16:creationId xmlns:a16="http://schemas.microsoft.com/office/drawing/2014/main" id="{1F99101C-AAFD-4A8D-BC79-B277C50FB7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" name="TextBox 4">
          <a:extLst>
            <a:ext uri="{FF2B5EF4-FFF2-40B4-BE49-F238E27FC236}">
              <a16:creationId xmlns:a16="http://schemas.microsoft.com/office/drawing/2014/main" id="{6039CF67-BE0D-4752-BF94-1B7DC154DA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" name="TextBox 5">
          <a:extLst>
            <a:ext uri="{FF2B5EF4-FFF2-40B4-BE49-F238E27FC236}">
              <a16:creationId xmlns:a16="http://schemas.microsoft.com/office/drawing/2014/main" id="{23B063C9-D91E-4E4F-ADE9-F5FECE1C59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" name="TextBox 6">
          <a:extLst>
            <a:ext uri="{FF2B5EF4-FFF2-40B4-BE49-F238E27FC236}">
              <a16:creationId xmlns:a16="http://schemas.microsoft.com/office/drawing/2014/main" id="{FB3EBA96-405B-4B6E-9CCE-BC8B2A6AB8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" name="TextBox 7">
          <a:extLst>
            <a:ext uri="{FF2B5EF4-FFF2-40B4-BE49-F238E27FC236}">
              <a16:creationId xmlns:a16="http://schemas.microsoft.com/office/drawing/2014/main" id="{AF7831B9-2C95-42C9-BCB0-1A9C87BA95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" name="TextBox 8">
          <a:extLst>
            <a:ext uri="{FF2B5EF4-FFF2-40B4-BE49-F238E27FC236}">
              <a16:creationId xmlns:a16="http://schemas.microsoft.com/office/drawing/2014/main" id="{36980EA8-4C3B-440D-A3C6-265AFB84F4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" name="TextBox 2">
          <a:extLst>
            <a:ext uri="{FF2B5EF4-FFF2-40B4-BE49-F238E27FC236}">
              <a16:creationId xmlns:a16="http://schemas.microsoft.com/office/drawing/2014/main" id="{0525B5C0-3E16-43E4-88DE-1887F0F765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" name="TextBox 4">
          <a:extLst>
            <a:ext uri="{FF2B5EF4-FFF2-40B4-BE49-F238E27FC236}">
              <a16:creationId xmlns:a16="http://schemas.microsoft.com/office/drawing/2014/main" id="{27BFE6EC-E15A-4819-89BB-743ADD0DC3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" name="TextBox 5">
          <a:extLst>
            <a:ext uri="{FF2B5EF4-FFF2-40B4-BE49-F238E27FC236}">
              <a16:creationId xmlns:a16="http://schemas.microsoft.com/office/drawing/2014/main" id="{1B392FF8-4A19-4CF2-ABAF-F22109B3E42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" name="TextBox 6">
          <a:extLst>
            <a:ext uri="{FF2B5EF4-FFF2-40B4-BE49-F238E27FC236}">
              <a16:creationId xmlns:a16="http://schemas.microsoft.com/office/drawing/2014/main" id="{3149B8A7-89EF-48CF-B908-C1EB39B2E3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" name="TextBox 7">
          <a:extLst>
            <a:ext uri="{FF2B5EF4-FFF2-40B4-BE49-F238E27FC236}">
              <a16:creationId xmlns:a16="http://schemas.microsoft.com/office/drawing/2014/main" id="{D2D3A847-DC69-4CEA-8C0F-8D171E2AE6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" name="TextBox 8">
          <a:extLst>
            <a:ext uri="{FF2B5EF4-FFF2-40B4-BE49-F238E27FC236}">
              <a16:creationId xmlns:a16="http://schemas.microsoft.com/office/drawing/2014/main" id="{008AD419-E0DA-4C70-924F-C8C5320D13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" name="TextBox 2">
          <a:extLst>
            <a:ext uri="{FF2B5EF4-FFF2-40B4-BE49-F238E27FC236}">
              <a16:creationId xmlns:a16="http://schemas.microsoft.com/office/drawing/2014/main" id="{937CA2A4-AB47-4CE5-B165-74AE89ABEB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" name="TextBox 4">
          <a:extLst>
            <a:ext uri="{FF2B5EF4-FFF2-40B4-BE49-F238E27FC236}">
              <a16:creationId xmlns:a16="http://schemas.microsoft.com/office/drawing/2014/main" id="{A61B35CB-68CE-4977-9766-FE702C231B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" name="TextBox 5">
          <a:extLst>
            <a:ext uri="{FF2B5EF4-FFF2-40B4-BE49-F238E27FC236}">
              <a16:creationId xmlns:a16="http://schemas.microsoft.com/office/drawing/2014/main" id="{6B128F05-CF04-428B-993B-1E7D1E3EA3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" name="TextBox 6">
          <a:extLst>
            <a:ext uri="{FF2B5EF4-FFF2-40B4-BE49-F238E27FC236}">
              <a16:creationId xmlns:a16="http://schemas.microsoft.com/office/drawing/2014/main" id="{B7113CCE-640A-4592-B0A1-D6F185CC6A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" name="TextBox 7">
          <a:extLst>
            <a:ext uri="{FF2B5EF4-FFF2-40B4-BE49-F238E27FC236}">
              <a16:creationId xmlns:a16="http://schemas.microsoft.com/office/drawing/2014/main" id="{F32149C6-C920-4080-911E-5E4D73D3E9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" name="TextBox 8">
          <a:extLst>
            <a:ext uri="{FF2B5EF4-FFF2-40B4-BE49-F238E27FC236}">
              <a16:creationId xmlns:a16="http://schemas.microsoft.com/office/drawing/2014/main" id="{34393EC4-2670-41E6-BDB6-ACF3274902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" name="TextBox 2">
          <a:extLst>
            <a:ext uri="{FF2B5EF4-FFF2-40B4-BE49-F238E27FC236}">
              <a16:creationId xmlns:a16="http://schemas.microsoft.com/office/drawing/2014/main" id="{0F0E630D-6462-4EEF-8143-51A2052654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" name="TextBox 4">
          <a:extLst>
            <a:ext uri="{FF2B5EF4-FFF2-40B4-BE49-F238E27FC236}">
              <a16:creationId xmlns:a16="http://schemas.microsoft.com/office/drawing/2014/main" id="{8B41E675-59A5-43EA-9596-38101591B5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" name="TextBox 5">
          <a:extLst>
            <a:ext uri="{FF2B5EF4-FFF2-40B4-BE49-F238E27FC236}">
              <a16:creationId xmlns:a16="http://schemas.microsoft.com/office/drawing/2014/main" id="{74F50418-D85C-4153-985F-87DCFE2955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" name="TextBox 6">
          <a:extLst>
            <a:ext uri="{FF2B5EF4-FFF2-40B4-BE49-F238E27FC236}">
              <a16:creationId xmlns:a16="http://schemas.microsoft.com/office/drawing/2014/main" id="{3145DDF9-4DAA-4A70-B66F-B3F087D6A9F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" name="TextBox 7">
          <a:extLst>
            <a:ext uri="{FF2B5EF4-FFF2-40B4-BE49-F238E27FC236}">
              <a16:creationId xmlns:a16="http://schemas.microsoft.com/office/drawing/2014/main" id="{191E1504-D48B-4FC1-A536-3F588FDD83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" name="TextBox 8">
          <a:extLst>
            <a:ext uri="{FF2B5EF4-FFF2-40B4-BE49-F238E27FC236}">
              <a16:creationId xmlns:a16="http://schemas.microsoft.com/office/drawing/2014/main" id="{AF71A93D-BC84-454D-B937-BE25A64842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" name="TextBox 2">
          <a:extLst>
            <a:ext uri="{FF2B5EF4-FFF2-40B4-BE49-F238E27FC236}">
              <a16:creationId xmlns:a16="http://schemas.microsoft.com/office/drawing/2014/main" id="{879792E2-893D-4A6E-8606-CFD30C1AA9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" name="TextBox 4">
          <a:extLst>
            <a:ext uri="{FF2B5EF4-FFF2-40B4-BE49-F238E27FC236}">
              <a16:creationId xmlns:a16="http://schemas.microsoft.com/office/drawing/2014/main" id="{87C3200E-D358-49FD-A001-CD7D1CDCCC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" name="TextBox 5">
          <a:extLst>
            <a:ext uri="{FF2B5EF4-FFF2-40B4-BE49-F238E27FC236}">
              <a16:creationId xmlns:a16="http://schemas.microsoft.com/office/drawing/2014/main" id="{0E9798BE-4569-46C7-98ED-D308917ECC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" name="TextBox 6">
          <a:extLst>
            <a:ext uri="{FF2B5EF4-FFF2-40B4-BE49-F238E27FC236}">
              <a16:creationId xmlns:a16="http://schemas.microsoft.com/office/drawing/2014/main" id="{D5EDFB9D-5EF3-4646-9FBF-5C3085EE99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" name="TextBox 7">
          <a:extLst>
            <a:ext uri="{FF2B5EF4-FFF2-40B4-BE49-F238E27FC236}">
              <a16:creationId xmlns:a16="http://schemas.microsoft.com/office/drawing/2014/main" id="{525E00A3-41E2-47F0-9295-CB3133B2E1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" name="TextBox 8">
          <a:extLst>
            <a:ext uri="{FF2B5EF4-FFF2-40B4-BE49-F238E27FC236}">
              <a16:creationId xmlns:a16="http://schemas.microsoft.com/office/drawing/2014/main" id="{4AFEA0E9-89EF-4370-9FB8-6EB5FF835C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" name="TextBox 2">
          <a:extLst>
            <a:ext uri="{FF2B5EF4-FFF2-40B4-BE49-F238E27FC236}">
              <a16:creationId xmlns:a16="http://schemas.microsoft.com/office/drawing/2014/main" id="{C59E44A1-4A75-4F08-B847-6713707B03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" name="TextBox 4">
          <a:extLst>
            <a:ext uri="{FF2B5EF4-FFF2-40B4-BE49-F238E27FC236}">
              <a16:creationId xmlns:a16="http://schemas.microsoft.com/office/drawing/2014/main" id="{2B2E6D77-A74B-4116-BE0E-638886B3DEE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" name="TextBox 5">
          <a:extLst>
            <a:ext uri="{FF2B5EF4-FFF2-40B4-BE49-F238E27FC236}">
              <a16:creationId xmlns:a16="http://schemas.microsoft.com/office/drawing/2014/main" id="{9981AF8D-42BF-495C-849C-4A3C30A296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" name="TextBox 6">
          <a:extLst>
            <a:ext uri="{FF2B5EF4-FFF2-40B4-BE49-F238E27FC236}">
              <a16:creationId xmlns:a16="http://schemas.microsoft.com/office/drawing/2014/main" id="{20118D4E-D14D-4B6E-881E-2BDE15D7AC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" name="TextBox 7">
          <a:extLst>
            <a:ext uri="{FF2B5EF4-FFF2-40B4-BE49-F238E27FC236}">
              <a16:creationId xmlns:a16="http://schemas.microsoft.com/office/drawing/2014/main" id="{F6DCFC8D-87F0-495E-B87C-F793A1ED0F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" name="TextBox 8">
          <a:extLst>
            <a:ext uri="{FF2B5EF4-FFF2-40B4-BE49-F238E27FC236}">
              <a16:creationId xmlns:a16="http://schemas.microsoft.com/office/drawing/2014/main" id="{F716AD3C-27F0-4368-9A3F-3BC09E1A30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" name="TextBox 2">
          <a:extLst>
            <a:ext uri="{FF2B5EF4-FFF2-40B4-BE49-F238E27FC236}">
              <a16:creationId xmlns:a16="http://schemas.microsoft.com/office/drawing/2014/main" id="{A7A03B5C-2C47-42E1-9968-E857B21E62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" name="TextBox 4">
          <a:extLst>
            <a:ext uri="{FF2B5EF4-FFF2-40B4-BE49-F238E27FC236}">
              <a16:creationId xmlns:a16="http://schemas.microsoft.com/office/drawing/2014/main" id="{EFF9D92B-19C4-43C4-9A50-E33D7E35E8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" name="TextBox 5">
          <a:extLst>
            <a:ext uri="{FF2B5EF4-FFF2-40B4-BE49-F238E27FC236}">
              <a16:creationId xmlns:a16="http://schemas.microsoft.com/office/drawing/2014/main" id="{A95B4130-AD12-4621-9393-CE8C8CF33E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" name="TextBox 6">
          <a:extLst>
            <a:ext uri="{FF2B5EF4-FFF2-40B4-BE49-F238E27FC236}">
              <a16:creationId xmlns:a16="http://schemas.microsoft.com/office/drawing/2014/main" id="{4DD814B0-CF56-470D-8C37-29B863372A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" name="TextBox 7">
          <a:extLst>
            <a:ext uri="{FF2B5EF4-FFF2-40B4-BE49-F238E27FC236}">
              <a16:creationId xmlns:a16="http://schemas.microsoft.com/office/drawing/2014/main" id="{9722A745-2B5F-4C93-9B7B-A38DEE2CA4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" name="TextBox 8">
          <a:extLst>
            <a:ext uri="{FF2B5EF4-FFF2-40B4-BE49-F238E27FC236}">
              <a16:creationId xmlns:a16="http://schemas.microsoft.com/office/drawing/2014/main" id="{D2A3262D-7E9B-44C0-B0BB-84997998DD7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" name="TextBox 2">
          <a:extLst>
            <a:ext uri="{FF2B5EF4-FFF2-40B4-BE49-F238E27FC236}">
              <a16:creationId xmlns:a16="http://schemas.microsoft.com/office/drawing/2014/main" id="{D9961E31-A4D8-411C-B428-9BB920B2BF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" name="TextBox 4">
          <a:extLst>
            <a:ext uri="{FF2B5EF4-FFF2-40B4-BE49-F238E27FC236}">
              <a16:creationId xmlns:a16="http://schemas.microsoft.com/office/drawing/2014/main" id="{1222B684-6D4B-4704-AEDB-332B592F3BB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" name="TextBox 5">
          <a:extLst>
            <a:ext uri="{FF2B5EF4-FFF2-40B4-BE49-F238E27FC236}">
              <a16:creationId xmlns:a16="http://schemas.microsoft.com/office/drawing/2014/main" id="{C3993882-0BF7-42BE-A560-0121861EBB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" name="TextBox 6">
          <a:extLst>
            <a:ext uri="{FF2B5EF4-FFF2-40B4-BE49-F238E27FC236}">
              <a16:creationId xmlns:a16="http://schemas.microsoft.com/office/drawing/2014/main" id="{CBFF2254-64A2-41B1-869E-5B51521AB5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" name="TextBox 7">
          <a:extLst>
            <a:ext uri="{FF2B5EF4-FFF2-40B4-BE49-F238E27FC236}">
              <a16:creationId xmlns:a16="http://schemas.microsoft.com/office/drawing/2014/main" id="{387B4AAC-2271-4DA6-9F2D-276F088FC5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" name="TextBox 8">
          <a:extLst>
            <a:ext uri="{FF2B5EF4-FFF2-40B4-BE49-F238E27FC236}">
              <a16:creationId xmlns:a16="http://schemas.microsoft.com/office/drawing/2014/main" id="{170AD689-2A1B-4FA0-B9D5-A902B2CD6C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" name="TextBox 2">
          <a:extLst>
            <a:ext uri="{FF2B5EF4-FFF2-40B4-BE49-F238E27FC236}">
              <a16:creationId xmlns:a16="http://schemas.microsoft.com/office/drawing/2014/main" id="{3E1ECB7B-F86A-41F5-8DB4-B4700BD859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" name="TextBox 4">
          <a:extLst>
            <a:ext uri="{FF2B5EF4-FFF2-40B4-BE49-F238E27FC236}">
              <a16:creationId xmlns:a16="http://schemas.microsoft.com/office/drawing/2014/main" id="{1568B34B-DBF3-4C41-8FFA-F3DD76D31F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" name="TextBox 5">
          <a:extLst>
            <a:ext uri="{FF2B5EF4-FFF2-40B4-BE49-F238E27FC236}">
              <a16:creationId xmlns:a16="http://schemas.microsoft.com/office/drawing/2014/main" id="{C6678E95-D36E-48B5-BAA9-2224596D0E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" name="TextBox 6">
          <a:extLst>
            <a:ext uri="{FF2B5EF4-FFF2-40B4-BE49-F238E27FC236}">
              <a16:creationId xmlns:a16="http://schemas.microsoft.com/office/drawing/2014/main" id="{3A65613F-E5B7-44CF-A46E-CF883FEF75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" name="TextBox 7">
          <a:extLst>
            <a:ext uri="{FF2B5EF4-FFF2-40B4-BE49-F238E27FC236}">
              <a16:creationId xmlns:a16="http://schemas.microsoft.com/office/drawing/2014/main" id="{2A1AE9B8-0100-4F1D-98AE-3CE86AD0B2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" name="TextBox 8">
          <a:extLst>
            <a:ext uri="{FF2B5EF4-FFF2-40B4-BE49-F238E27FC236}">
              <a16:creationId xmlns:a16="http://schemas.microsoft.com/office/drawing/2014/main" id="{F241C2DA-FE4C-4547-9628-85D355A465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" name="TextBox 2">
          <a:extLst>
            <a:ext uri="{FF2B5EF4-FFF2-40B4-BE49-F238E27FC236}">
              <a16:creationId xmlns:a16="http://schemas.microsoft.com/office/drawing/2014/main" id="{854684B3-D510-4724-9447-DD575758F5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" name="TextBox 4">
          <a:extLst>
            <a:ext uri="{FF2B5EF4-FFF2-40B4-BE49-F238E27FC236}">
              <a16:creationId xmlns:a16="http://schemas.microsoft.com/office/drawing/2014/main" id="{B1444866-0E23-42A5-96CA-42F2AF088E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" name="TextBox 5">
          <a:extLst>
            <a:ext uri="{FF2B5EF4-FFF2-40B4-BE49-F238E27FC236}">
              <a16:creationId xmlns:a16="http://schemas.microsoft.com/office/drawing/2014/main" id="{A57F2F6D-4620-4FA7-A6CD-2D3E89EF37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" name="TextBox 6">
          <a:extLst>
            <a:ext uri="{FF2B5EF4-FFF2-40B4-BE49-F238E27FC236}">
              <a16:creationId xmlns:a16="http://schemas.microsoft.com/office/drawing/2014/main" id="{64C8D0F4-AE3E-41A2-91E3-5D7F1B2063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" name="TextBox 7">
          <a:extLst>
            <a:ext uri="{FF2B5EF4-FFF2-40B4-BE49-F238E27FC236}">
              <a16:creationId xmlns:a16="http://schemas.microsoft.com/office/drawing/2014/main" id="{B94F7A9B-84A4-40AE-9410-2EC8AF7864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" name="TextBox 8">
          <a:extLst>
            <a:ext uri="{FF2B5EF4-FFF2-40B4-BE49-F238E27FC236}">
              <a16:creationId xmlns:a16="http://schemas.microsoft.com/office/drawing/2014/main" id="{9B41B3CC-C0A5-42A4-ADF4-70A5080BDF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" name="TextBox 2">
          <a:extLst>
            <a:ext uri="{FF2B5EF4-FFF2-40B4-BE49-F238E27FC236}">
              <a16:creationId xmlns:a16="http://schemas.microsoft.com/office/drawing/2014/main" id="{BF03757C-8F37-406A-872B-9191D1E761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" name="TextBox 4">
          <a:extLst>
            <a:ext uri="{FF2B5EF4-FFF2-40B4-BE49-F238E27FC236}">
              <a16:creationId xmlns:a16="http://schemas.microsoft.com/office/drawing/2014/main" id="{562A09D8-F235-4014-8BD2-619B376649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" name="TextBox 5">
          <a:extLst>
            <a:ext uri="{FF2B5EF4-FFF2-40B4-BE49-F238E27FC236}">
              <a16:creationId xmlns:a16="http://schemas.microsoft.com/office/drawing/2014/main" id="{DE21C56D-0D73-4124-9749-0BAD8E100D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" name="TextBox 6">
          <a:extLst>
            <a:ext uri="{FF2B5EF4-FFF2-40B4-BE49-F238E27FC236}">
              <a16:creationId xmlns:a16="http://schemas.microsoft.com/office/drawing/2014/main" id="{CE874282-912C-48D1-81FA-7388F6EBD0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" name="TextBox 7">
          <a:extLst>
            <a:ext uri="{FF2B5EF4-FFF2-40B4-BE49-F238E27FC236}">
              <a16:creationId xmlns:a16="http://schemas.microsoft.com/office/drawing/2014/main" id="{5306CE09-CF15-4071-B290-45DE827EE3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" name="TextBox 8">
          <a:extLst>
            <a:ext uri="{FF2B5EF4-FFF2-40B4-BE49-F238E27FC236}">
              <a16:creationId xmlns:a16="http://schemas.microsoft.com/office/drawing/2014/main" id="{59B3E476-65D1-455D-A7C1-660A808085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" name="TextBox 2">
          <a:extLst>
            <a:ext uri="{FF2B5EF4-FFF2-40B4-BE49-F238E27FC236}">
              <a16:creationId xmlns:a16="http://schemas.microsoft.com/office/drawing/2014/main" id="{A44FFC06-E457-4959-95AA-2A991CD580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" name="TextBox 4">
          <a:extLst>
            <a:ext uri="{FF2B5EF4-FFF2-40B4-BE49-F238E27FC236}">
              <a16:creationId xmlns:a16="http://schemas.microsoft.com/office/drawing/2014/main" id="{F432F445-4B76-49E3-B3A8-D4323F1F4F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" name="TextBox 5">
          <a:extLst>
            <a:ext uri="{FF2B5EF4-FFF2-40B4-BE49-F238E27FC236}">
              <a16:creationId xmlns:a16="http://schemas.microsoft.com/office/drawing/2014/main" id="{90CF8044-8D74-48FA-8BC2-D6EC9CA0AC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" name="TextBox 6">
          <a:extLst>
            <a:ext uri="{FF2B5EF4-FFF2-40B4-BE49-F238E27FC236}">
              <a16:creationId xmlns:a16="http://schemas.microsoft.com/office/drawing/2014/main" id="{CAD86A31-8936-459C-A0E2-B42B584573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" name="TextBox 7">
          <a:extLst>
            <a:ext uri="{FF2B5EF4-FFF2-40B4-BE49-F238E27FC236}">
              <a16:creationId xmlns:a16="http://schemas.microsoft.com/office/drawing/2014/main" id="{734B6481-DBE2-4812-8295-B941B67E84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" name="TextBox 8">
          <a:extLst>
            <a:ext uri="{FF2B5EF4-FFF2-40B4-BE49-F238E27FC236}">
              <a16:creationId xmlns:a16="http://schemas.microsoft.com/office/drawing/2014/main" id="{BF1604EA-C9A0-46D7-A269-119C932DF64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" name="TextBox 2">
          <a:extLst>
            <a:ext uri="{FF2B5EF4-FFF2-40B4-BE49-F238E27FC236}">
              <a16:creationId xmlns:a16="http://schemas.microsoft.com/office/drawing/2014/main" id="{E1C24C5D-567B-4014-91F2-B2FA98F9D0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" name="TextBox 4">
          <a:extLst>
            <a:ext uri="{FF2B5EF4-FFF2-40B4-BE49-F238E27FC236}">
              <a16:creationId xmlns:a16="http://schemas.microsoft.com/office/drawing/2014/main" id="{63AF70F3-34FF-4C99-B4FB-92B406DE4A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" name="TextBox 5">
          <a:extLst>
            <a:ext uri="{FF2B5EF4-FFF2-40B4-BE49-F238E27FC236}">
              <a16:creationId xmlns:a16="http://schemas.microsoft.com/office/drawing/2014/main" id="{988611E4-5D76-49FF-A64D-CA395E5483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" name="TextBox 6">
          <a:extLst>
            <a:ext uri="{FF2B5EF4-FFF2-40B4-BE49-F238E27FC236}">
              <a16:creationId xmlns:a16="http://schemas.microsoft.com/office/drawing/2014/main" id="{C36219A9-878C-44C5-983E-9B748826C8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" name="TextBox 7">
          <a:extLst>
            <a:ext uri="{FF2B5EF4-FFF2-40B4-BE49-F238E27FC236}">
              <a16:creationId xmlns:a16="http://schemas.microsoft.com/office/drawing/2014/main" id="{870C560E-966B-40E9-B5D9-D03F5668D1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" name="TextBox 8">
          <a:extLst>
            <a:ext uri="{FF2B5EF4-FFF2-40B4-BE49-F238E27FC236}">
              <a16:creationId xmlns:a16="http://schemas.microsoft.com/office/drawing/2014/main" id="{D653AC36-EF34-4027-B0D3-773A75EEC8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" name="TextBox 2">
          <a:extLst>
            <a:ext uri="{FF2B5EF4-FFF2-40B4-BE49-F238E27FC236}">
              <a16:creationId xmlns:a16="http://schemas.microsoft.com/office/drawing/2014/main" id="{866C72C2-9007-406A-BB1E-853E8AAD16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" name="TextBox 4">
          <a:extLst>
            <a:ext uri="{FF2B5EF4-FFF2-40B4-BE49-F238E27FC236}">
              <a16:creationId xmlns:a16="http://schemas.microsoft.com/office/drawing/2014/main" id="{41DD2FE0-47BC-4D12-8E6A-A7C6E92C64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" name="TextBox 5">
          <a:extLst>
            <a:ext uri="{FF2B5EF4-FFF2-40B4-BE49-F238E27FC236}">
              <a16:creationId xmlns:a16="http://schemas.microsoft.com/office/drawing/2014/main" id="{4FE356E3-86BB-49D8-9EEF-FC1028E5F7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" name="TextBox 6">
          <a:extLst>
            <a:ext uri="{FF2B5EF4-FFF2-40B4-BE49-F238E27FC236}">
              <a16:creationId xmlns:a16="http://schemas.microsoft.com/office/drawing/2014/main" id="{FF52F74F-CC8D-4FF1-94B9-9A7D6818F73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" name="TextBox 7">
          <a:extLst>
            <a:ext uri="{FF2B5EF4-FFF2-40B4-BE49-F238E27FC236}">
              <a16:creationId xmlns:a16="http://schemas.microsoft.com/office/drawing/2014/main" id="{08A96075-A31A-4D3F-AB90-14D8DDE250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" name="TextBox 8">
          <a:extLst>
            <a:ext uri="{FF2B5EF4-FFF2-40B4-BE49-F238E27FC236}">
              <a16:creationId xmlns:a16="http://schemas.microsoft.com/office/drawing/2014/main" id="{49418B00-9ACD-4D3F-987B-FA7BB16137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" name="TextBox 2">
          <a:extLst>
            <a:ext uri="{FF2B5EF4-FFF2-40B4-BE49-F238E27FC236}">
              <a16:creationId xmlns:a16="http://schemas.microsoft.com/office/drawing/2014/main" id="{83162616-B646-4403-A96C-788A30B43D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" name="TextBox 4">
          <a:extLst>
            <a:ext uri="{FF2B5EF4-FFF2-40B4-BE49-F238E27FC236}">
              <a16:creationId xmlns:a16="http://schemas.microsoft.com/office/drawing/2014/main" id="{45191035-91F8-4CC2-BE6D-CA66EFC36C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" name="TextBox 5">
          <a:extLst>
            <a:ext uri="{FF2B5EF4-FFF2-40B4-BE49-F238E27FC236}">
              <a16:creationId xmlns:a16="http://schemas.microsoft.com/office/drawing/2014/main" id="{5784FB46-E5CF-49E8-8FE5-FA51E6529E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" name="TextBox 6">
          <a:extLst>
            <a:ext uri="{FF2B5EF4-FFF2-40B4-BE49-F238E27FC236}">
              <a16:creationId xmlns:a16="http://schemas.microsoft.com/office/drawing/2014/main" id="{05B71502-225B-4FFC-8C79-B866C2DC6B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" name="TextBox 7">
          <a:extLst>
            <a:ext uri="{FF2B5EF4-FFF2-40B4-BE49-F238E27FC236}">
              <a16:creationId xmlns:a16="http://schemas.microsoft.com/office/drawing/2014/main" id="{F638BA85-FA70-4F57-89BE-28D145833F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" name="TextBox 8">
          <a:extLst>
            <a:ext uri="{FF2B5EF4-FFF2-40B4-BE49-F238E27FC236}">
              <a16:creationId xmlns:a16="http://schemas.microsoft.com/office/drawing/2014/main" id="{671E648A-E148-4F1A-B4E9-24F59E07379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" name="TextBox 2">
          <a:extLst>
            <a:ext uri="{FF2B5EF4-FFF2-40B4-BE49-F238E27FC236}">
              <a16:creationId xmlns:a16="http://schemas.microsoft.com/office/drawing/2014/main" id="{C6044F3B-823F-4254-AFF8-C7D2278A21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" name="TextBox 4">
          <a:extLst>
            <a:ext uri="{FF2B5EF4-FFF2-40B4-BE49-F238E27FC236}">
              <a16:creationId xmlns:a16="http://schemas.microsoft.com/office/drawing/2014/main" id="{0E74EC75-91EA-4E6F-B6F4-6764BD44B1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" name="TextBox 5">
          <a:extLst>
            <a:ext uri="{FF2B5EF4-FFF2-40B4-BE49-F238E27FC236}">
              <a16:creationId xmlns:a16="http://schemas.microsoft.com/office/drawing/2014/main" id="{677E24A1-44CA-4D56-A463-394B69C403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" name="TextBox 6">
          <a:extLst>
            <a:ext uri="{FF2B5EF4-FFF2-40B4-BE49-F238E27FC236}">
              <a16:creationId xmlns:a16="http://schemas.microsoft.com/office/drawing/2014/main" id="{AC0B5E81-9CAF-49FD-A7BD-4A0C47F301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" name="TextBox 7">
          <a:extLst>
            <a:ext uri="{FF2B5EF4-FFF2-40B4-BE49-F238E27FC236}">
              <a16:creationId xmlns:a16="http://schemas.microsoft.com/office/drawing/2014/main" id="{1985897C-12AD-41E0-AEE9-34E44D519D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" name="TextBox 8">
          <a:extLst>
            <a:ext uri="{FF2B5EF4-FFF2-40B4-BE49-F238E27FC236}">
              <a16:creationId xmlns:a16="http://schemas.microsoft.com/office/drawing/2014/main" id="{0394078C-72C6-4319-924B-29349F04C2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" name="TextBox 2">
          <a:extLst>
            <a:ext uri="{FF2B5EF4-FFF2-40B4-BE49-F238E27FC236}">
              <a16:creationId xmlns:a16="http://schemas.microsoft.com/office/drawing/2014/main" id="{AB968ADE-9771-426D-B988-1F7BADD0DD1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" name="TextBox 4">
          <a:extLst>
            <a:ext uri="{FF2B5EF4-FFF2-40B4-BE49-F238E27FC236}">
              <a16:creationId xmlns:a16="http://schemas.microsoft.com/office/drawing/2014/main" id="{11C31770-2B5B-4EB6-BB9E-AAB9E21FF3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" name="TextBox 5">
          <a:extLst>
            <a:ext uri="{FF2B5EF4-FFF2-40B4-BE49-F238E27FC236}">
              <a16:creationId xmlns:a16="http://schemas.microsoft.com/office/drawing/2014/main" id="{1E881E8E-9786-499A-9EF6-EA6FB808B3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" name="TextBox 6">
          <a:extLst>
            <a:ext uri="{FF2B5EF4-FFF2-40B4-BE49-F238E27FC236}">
              <a16:creationId xmlns:a16="http://schemas.microsoft.com/office/drawing/2014/main" id="{A0163EAD-E8B9-4FFB-B726-A56E6FECDC0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" name="TextBox 7">
          <a:extLst>
            <a:ext uri="{FF2B5EF4-FFF2-40B4-BE49-F238E27FC236}">
              <a16:creationId xmlns:a16="http://schemas.microsoft.com/office/drawing/2014/main" id="{2ECCFCAF-285B-43A2-8117-15D10C9DB3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" name="TextBox 8">
          <a:extLst>
            <a:ext uri="{FF2B5EF4-FFF2-40B4-BE49-F238E27FC236}">
              <a16:creationId xmlns:a16="http://schemas.microsoft.com/office/drawing/2014/main" id="{00AD8847-CE93-4988-ABA4-DE800694A6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" name="TextBox 2">
          <a:extLst>
            <a:ext uri="{FF2B5EF4-FFF2-40B4-BE49-F238E27FC236}">
              <a16:creationId xmlns:a16="http://schemas.microsoft.com/office/drawing/2014/main" id="{26FF7190-D699-4440-9BFB-63F1CE01DC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" name="TextBox 4">
          <a:extLst>
            <a:ext uri="{FF2B5EF4-FFF2-40B4-BE49-F238E27FC236}">
              <a16:creationId xmlns:a16="http://schemas.microsoft.com/office/drawing/2014/main" id="{F180D7C0-8804-4B6D-9D68-BEF8D1A4D9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" name="TextBox 5">
          <a:extLst>
            <a:ext uri="{FF2B5EF4-FFF2-40B4-BE49-F238E27FC236}">
              <a16:creationId xmlns:a16="http://schemas.microsoft.com/office/drawing/2014/main" id="{F26224ED-4565-4EC2-9A60-D3D97D2240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" name="TextBox 6">
          <a:extLst>
            <a:ext uri="{FF2B5EF4-FFF2-40B4-BE49-F238E27FC236}">
              <a16:creationId xmlns:a16="http://schemas.microsoft.com/office/drawing/2014/main" id="{2853BC52-CB64-4ADE-941D-CF40D199D4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" name="TextBox 7">
          <a:extLst>
            <a:ext uri="{FF2B5EF4-FFF2-40B4-BE49-F238E27FC236}">
              <a16:creationId xmlns:a16="http://schemas.microsoft.com/office/drawing/2014/main" id="{EBEF2659-2608-4285-8E72-D487F291B05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" name="TextBox 8">
          <a:extLst>
            <a:ext uri="{FF2B5EF4-FFF2-40B4-BE49-F238E27FC236}">
              <a16:creationId xmlns:a16="http://schemas.microsoft.com/office/drawing/2014/main" id="{9D665347-AA65-46FD-8E4E-2F96A4CBFC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" name="TextBox 2">
          <a:extLst>
            <a:ext uri="{FF2B5EF4-FFF2-40B4-BE49-F238E27FC236}">
              <a16:creationId xmlns:a16="http://schemas.microsoft.com/office/drawing/2014/main" id="{525481C1-E4CE-429E-9ED5-6A1E7AF597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" name="TextBox 4">
          <a:extLst>
            <a:ext uri="{FF2B5EF4-FFF2-40B4-BE49-F238E27FC236}">
              <a16:creationId xmlns:a16="http://schemas.microsoft.com/office/drawing/2014/main" id="{1EF41FE2-19A1-4E4F-9CA0-E1B774FD0A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" name="TextBox 5">
          <a:extLst>
            <a:ext uri="{FF2B5EF4-FFF2-40B4-BE49-F238E27FC236}">
              <a16:creationId xmlns:a16="http://schemas.microsoft.com/office/drawing/2014/main" id="{7D358250-D0F7-46C4-B3B4-3CE4EEE4F1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" name="TextBox 6">
          <a:extLst>
            <a:ext uri="{FF2B5EF4-FFF2-40B4-BE49-F238E27FC236}">
              <a16:creationId xmlns:a16="http://schemas.microsoft.com/office/drawing/2014/main" id="{DC2B6C98-6E34-447C-A94B-BBDF753FAD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" name="TextBox 7">
          <a:extLst>
            <a:ext uri="{FF2B5EF4-FFF2-40B4-BE49-F238E27FC236}">
              <a16:creationId xmlns:a16="http://schemas.microsoft.com/office/drawing/2014/main" id="{842F3075-6BE6-422C-B9D5-79418AC2EC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" name="TextBox 8">
          <a:extLst>
            <a:ext uri="{FF2B5EF4-FFF2-40B4-BE49-F238E27FC236}">
              <a16:creationId xmlns:a16="http://schemas.microsoft.com/office/drawing/2014/main" id="{34FA3E82-5459-4110-8715-BAFEAC6629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" name="TextBox 2">
          <a:extLst>
            <a:ext uri="{FF2B5EF4-FFF2-40B4-BE49-F238E27FC236}">
              <a16:creationId xmlns:a16="http://schemas.microsoft.com/office/drawing/2014/main" id="{76B21E28-2929-4B1A-8977-722DA9864C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" name="TextBox 4">
          <a:extLst>
            <a:ext uri="{FF2B5EF4-FFF2-40B4-BE49-F238E27FC236}">
              <a16:creationId xmlns:a16="http://schemas.microsoft.com/office/drawing/2014/main" id="{D3F0B357-87A0-4835-8E2E-CF32A75899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" name="TextBox 5">
          <a:extLst>
            <a:ext uri="{FF2B5EF4-FFF2-40B4-BE49-F238E27FC236}">
              <a16:creationId xmlns:a16="http://schemas.microsoft.com/office/drawing/2014/main" id="{E4FC74B9-A4A3-468E-83ED-6EC35A7202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" name="TextBox 6">
          <a:extLst>
            <a:ext uri="{FF2B5EF4-FFF2-40B4-BE49-F238E27FC236}">
              <a16:creationId xmlns:a16="http://schemas.microsoft.com/office/drawing/2014/main" id="{3AF1A148-9CCD-4AF1-A2D6-D2930E95CD3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" name="TextBox 7">
          <a:extLst>
            <a:ext uri="{FF2B5EF4-FFF2-40B4-BE49-F238E27FC236}">
              <a16:creationId xmlns:a16="http://schemas.microsoft.com/office/drawing/2014/main" id="{5EDD36E9-059C-4373-A470-47FEBF4BA4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" name="TextBox 8">
          <a:extLst>
            <a:ext uri="{FF2B5EF4-FFF2-40B4-BE49-F238E27FC236}">
              <a16:creationId xmlns:a16="http://schemas.microsoft.com/office/drawing/2014/main" id="{C70715C7-37A9-43FE-89F7-C28CA7B40F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" name="TextBox 2">
          <a:extLst>
            <a:ext uri="{FF2B5EF4-FFF2-40B4-BE49-F238E27FC236}">
              <a16:creationId xmlns:a16="http://schemas.microsoft.com/office/drawing/2014/main" id="{9CC5B887-BF6B-4F9C-A592-51315738F2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" name="TextBox 4">
          <a:extLst>
            <a:ext uri="{FF2B5EF4-FFF2-40B4-BE49-F238E27FC236}">
              <a16:creationId xmlns:a16="http://schemas.microsoft.com/office/drawing/2014/main" id="{1F8640C9-7C0A-44E8-A5D5-4FB04AD579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" name="TextBox 5">
          <a:extLst>
            <a:ext uri="{FF2B5EF4-FFF2-40B4-BE49-F238E27FC236}">
              <a16:creationId xmlns:a16="http://schemas.microsoft.com/office/drawing/2014/main" id="{7951CAFB-2878-4D85-AC44-3C6210C24D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" name="TextBox 6">
          <a:extLst>
            <a:ext uri="{FF2B5EF4-FFF2-40B4-BE49-F238E27FC236}">
              <a16:creationId xmlns:a16="http://schemas.microsoft.com/office/drawing/2014/main" id="{141D741B-246D-4A1D-B3CE-8B2D91E277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" name="TextBox 7">
          <a:extLst>
            <a:ext uri="{FF2B5EF4-FFF2-40B4-BE49-F238E27FC236}">
              <a16:creationId xmlns:a16="http://schemas.microsoft.com/office/drawing/2014/main" id="{0152F771-2EBE-42BA-82DF-8489A3A356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" name="TextBox 8">
          <a:extLst>
            <a:ext uri="{FF2B5EF4-FFF2-40B4-BE49-F238E27FC236}">
              <a16:creationId xmlns:a16="http://schemas.microsoft.com/office/drawing/2014/main" id="{FA3A46FC-7931-4B50-B466-5FE6BC2D4C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" name="TextBox 2">
          <a:extLst>
            <a:ext uri="{FF2B5EF4-FFF2-40B4-BE49-F238E27FC236}">
              <a16:creationId xmlns:a16="http://schemas.microsoft.com/office/drawing/2014/main" id="{0D54D2CA-C2B2-4BDD-9C73-C272071DBC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" name="TextBox 4">
          <a:extLst>
            <a:ext uri="{FF2B5EF4-FFF2-40B4-BE49-F238E27FC236}">
              <a16:creationId xmlns:a16="http://schemas.microsoft.com/office/drawing/2014/main" id="{2FEE624F-E6BD-40F3-A1A6-7F19F06A2E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" name="TextBox 5">
          <a:extLst>
            <a:ext uri="{FF2B5EF4-FFF2-40B4-BE49-F238E27FC236}">
              <a16:creationId xmlns:a16="http://schemas.microsoft.com/office/drawing/2014/main" id="{2FCD87B7-2CB3-49A0-8BAC-B91F5747AB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" name="TextBox 6">
          <a:extLst>
            <a:ext uri="{FF2B5EF4-FFF2-40B4-BE49-F238E27FC236}">
              <a16:creationId xmlns:a16="http://schemas.microsoft.com/office/drawing/2014/main" id="{417E23F1-D423-4A3E-B1AA-20734730F3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" name="TextBox 7">
          <a:extLst>
            <a:ext uri="{FF2B5EF4-FFF2-40B4-BE49-F238E27FC236}">
              <a16:creationId xmlns:a16="http://schemas.microsoft.com/office/drawing/2014/main" id="{0E1188B7-8BDA-4012-A7C3-1327FA3A44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" name="TextBox 8">
          <a:extLst>
            <a:ext uri="{FF2B5EF4-FFF2-40B4-BE49-F238E27FC236}">
              <a16:creationId xmlns:a16="http://schemas.microsoft.com/office/drawing/2014/main" id="{800A41D5-0E87-4877-8690-D8D3DD7600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" name="TextBox 2">
          <a:extLst>
            <a:ext uri="{FF2B5EF4-FFF2-40B4-BE49-F238E27FC236}">
              <a16:creationId xmlns:a16="http://schemas.microsoft.com/office/drawing/2014/main" id="{D04BCC04-50F1-4E54-BE11-ECF880F468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" name="TextBox 4">
          <a:extLst>
            <a:ext uri="{FF2B5EF4-FFF2-40B4-BE49-F238E27FC236}">
              <a16:creationId xmlns:a16="http://schemas.microsoft.com/office/drawing/2014/main" id="{2118D6FD-6583-49A0-A0AE-CB64CFCC10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" name="TextBox 5">
          <a:extLst>
            <a:ext uri="{FF2B5EF4-FFF2-40B4-BE49-F238E27FC236}">
              <a16:creationId xmlns:a16="http://schemas.microsoft.com/office/drawing/2014/main" id="{D4847B38-D491-451A-8569-C1155FFB89D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" name="TextBox 6">
          <a:extLst>
            <a:ext uri="{FF2B5EF4-FFF2-40B4-BE49-F238E27FC236}">
              <a16:creationId xmlns:a16="http://schemas.microsoft.com/office/drawing/2014/main" id="{6CFB8F00-8540-467F-9E4E-C5F90E2AEB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" name="TextBox 7">
          <a:extLst>
            <a:ext uri="{FF2B5EF4-FFF2-40B4-BE49-F238E27FC236}">
              <a16:creationId xmlns:a16="http://schemas.microsoft.com/office/drawing/2014/main" id="{97F19CC7-11B4-49DA-B53E-C59C1C37E6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" name="TextBox 8">
          <a:extLst>
            <a:ext uri="{FF2B5EF4-FFF2-40B4-BE49-F238E27FC236}">
              <a16:creationId xmlns:a16="http://schemas.microsoft.com/office/drawing/2014/main" id="{B0500065-B13C-4693-8C14-BCF4C86ACB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" name="TextBox 2">
          <a:extLst>
            <a:ext uri="{FF2B5EF4-FFF2-40B4-BE49-F238E27FC236}">
              <a16:creationId xmlns:a16="http://schemas.microsoft.com/office/drawing/2014/main" id="{FC19BC23-698E-4218-9EF8-1E9DBA3066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" name="TextBox 4">
          <a:extLst>
            <a:ext uri="{FF2B5EF4-FFF2-40B4-BE49-F238E27FC236}">
              <a16:creationId xmlns:a16="http://schemas.microsoft.com/office/drawing/2014/main" id="{7EEAE4AD-FEAB-4750-9371-FA2EB19B93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" name="TextBox 5">
          <a:extLst>
            <a:ext uri="{FF2B5EF4-FFF2-40B4-BE49-F238E27FC236}">
              <a16:creationId xmlns:a16="http://schemas.microsoft.com/office/drawing/2014/main" id="{2B38F22B-F99C-43D6-AE57-E35A33DF26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" name="TextBox 6">
          <a:extLst>
            <a:ext uri="{FF2B5EF4-FFF2-40B4-BE49-F238E27FC236}">
              <a16:creationId xmlns:a16="http://schemas.microsoft.com/office/drawing/2014/main" id="{3A0FB0F8-2BC0-409C-B05A-D55FF9DC97E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" name="TextBox 7">
          <a:extLst>
            <a:ext uri="{FF2B5EF4-FFF2-40B4-BE49-F238E27FC236}">
              <a16:creationId xmlns:a16="http://schemas.microsoft.com/office/drawing/2014/main" id="{D4554C0F-CA45-41BE-9DA3-E8C6A3623F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" name="TextBox 8">
          <a:extLst>
            <a:ext uri="{FF2B5EF4-FFF2-40B4-BE49-F238E27FC236}">
              <a16:creationId xmlns:a16="http://schemas.microsoft.com/office/drawing/2014/main" id="{C64C5ABA-A408-402A-BC4A-9BC492DCA74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" name="TextBox 2">
          <a:extLst>
            <a:ext uri="{FF2B5EF4-FFF2-40B4-BE49-F238E27FC236}">
              <a16:creationId xmlns:a16="http://schemas.microsoft.com/office/drawing/2014/main" id="{24FBEA5D-0363-4FB3-A89D-736AB28264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" name="TextBox 4">
          <a:extLst>
            <a:ext uri="{FF2B5EF4-FFF2-40B4-BE49-F238E27FC236}">
              <a16:creationId xmlns:a16="http://schemas.microsoft.com/office/drawing/2014/main" id="{E534803B-BD3F-413E-8A45-4F815B5F9F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" name="TextBox 5">
          <a:extLst>
            <a:ext uri="{FF2B5EF4-FFF2-40B4-BE49-F238E27FC236}">
              <a16:creationId xmlns:a16="http://schemas.microsoft.com/office/drawing/2014/main" id="{66031992-B342-4B60-A089-4D65A62B08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" name="TextBox 6">
          <a:extLst>
            <a:ext uri="{FF2B5EF4-FFF2-40B4-BE49-F238E27FC236}">
              <a16:creationId xmlns:a16="http://schemas.microsoft.com/office/drawing/2014/main" id="{4B5F6330-94A8-4CB6-8DC4-C62DDEA2C4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" name="TextBox 7">
          <a:extLst>
            <a:ext uri="{FF2B5EF4-FFF2-40B4-BE49-F238E27FC236}">
              <a16:creationId xmlns:a16="http://schemas.microsoft.com/office/drawing/2014/main" id="{50F73F8B-61F1-477D-8D4E-410DD794D2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" name="TextBox 8">
          <a:extLst>
            <a:ext uri="{FF2B5EF4-FFF2-40B4-BE49-F238E27FC236}">
              <a16:creationId xmlns:a16="http://schemas.microsoft.com/office/drawing/2014/main" id="{93B36F22-D055-4C0F-B27B-7838C7FCCB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" name="TextBox 2">
          <a:extLst>
            <a:ext uri="{FF2B5EF4-FFF2-40B4-BE49-F238E27FC236}">
              <a16:creationId xmlns:a16="http://schemas.microsoft.com/office/drawing/2014/main" id="{B5175447-1F21-4191-ABDC-A8D03E4298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" name="TextBox 4">
          <a:extLst>
            <a:ext uri="{FF2B5EF4-FFF2-40B4-BE49-F238E27FC236}">
              <a16:creationId xmlns:a16="http://schemas.microsoft.com/office/drawing/2014/main" id="{D6199386-5F76-4EBB-87E9-21DA44E7FC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" name="TextBox 5">
          <a:extLst>
            <a:ext uri="{FF2B5EF4-FFF2-40B4-BE49-F238E27FC236}">
              <a16:creationId xmlns:a16="http://schemas.microsoft.com/office/drawing/2014/main" id="{00892893-B3B7-4FF6-BA4A-06E910B071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" name="TextBox 6">
          <a:extLst>
            <a:ext uri="{FF2B5EF4-FFF2-40B4-BE49-F238E27FC236}">
              <a16:creationId xmlns:a16="http://schemas.microsoft.com/office/drawing/2014/main" id="{2A72376B-6725-4617-B382-E302B724D7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" name="TextBox 7">
          <a:extLst>
            <a:ext uri="{FF2B5EF4-FFF2-40B4-BE49-F238E27FC236}">
              <a16:creationId xmlns:a16="http://schemas.microsoft.com/office/drawing/2014/main" id="{4CAA0919-03BD-441D-9C6A-B1590D91DF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" name="TextBox 8">
          <a:extLst>
            <a:ext uri="{FF2B5EF4-FFF2-40B4-BE49-F238E27FC236}">
              <a16:creationId xmlns:a16="http://schemas.microsoft.com/office/drawing/2014/main" id="{8A505BA8-3885-4D63-A3F4-D40D4495D3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" name="TextBox 2">
          <a:extLst>
            <a:ext uri="{FF2B5EF4-FFF2-40B4-BE49-F238E27FC236}">
              <a16:creationId xmlns:a16="http://schemas.microsoft.com/office/drawing/2014/main" id="{A6EDAAEB-667A-4308-BFD5-A376600388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" name="TextBox 4">
          <a:extLst>
            <a:ext uri="{FF2B5EF4-FFF2-40B4-BE49-F238E27FC236}">
              <a16:creationId xmlns:a16="http://schemas.microsoft.com/office/drawing/2014/main" id="{9509E4E8-4927-489B-9C39-898AF4EF6B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" name="TextBox 5">
          <a:extLst>
            <a:ext uri="{FF2B5EF4-FFF2-40B4-BE49-F238E27FC236}">
              <a16:creationId xmlns:a16="http://schemas.microsoft.com/office/drawing/2014/main" id="{6D1A2310-634B-46CB-8F45-CF989BCA9B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" name="TextBox 6">
          <a:extLst>
            <a:ext uri="{FF2B5EF4-FFF2-40B4-BE49-F238E27FC236}">
              <a16:creationId xmlns:a16="http://schemas.microsoft.com/office/drawing/2014/main" id="{C3728467-4368-40F3-AF00-AC88E35556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" name="TextBox 7">
          <a:extLst>
            <a:ext uri="{FF2B5EF4-FFF2-40B4-BE49-F238E27FC236}">
              <a16:creationId xmlns:a16="http://schemas.microsoft.com/office/drawing/2014/main" id="{836EAB3C-FB14-48C1-88AD-FD8855D2A4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" name="TextBox 8">
          <a:extLst>
            <a:ext uri="{FF2B5EF4-FFF2-40B4-BE49-F238E27FC236}">
              <a16:creationId xmlns:a16="http://schemas.microsoft.com/office/drawing/2014/main" id="{9587F839-2422-4E38-84EA-F342FD9824A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" name="TextBox 2">
          <a:extLst>
            <a:ext uri="{FF2B5EF4-FFF2-40B4-BE49-F238E27FC236}">
              <a16:creationId xmlns:a16="http://schemas.microsoft.com/office/drawing/2014/main" id="{929B1936-26F9-40A0-A6F0-CC95F8A696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" name="TextBox 4">
          <a:extLst>
            <a:ext uri="{FF2B5EF4-FFF2-40B4-BE49-F238E27FC236}">
              <a16:creationId xmlns:a16="http://schemas.microsoft.com/office/drawing/2014/main" id="{DFC94E6B-8E5F-44A9-B127-180E1EB2C2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" name="TextBox 5">
          <a:extLst>
            <a:ext uri="{FF2B5EF4-FFF2-40B4-BE49-F238E27FC236}">
              <a16:creationId xmlns:a16="http://schemas.microsoft.com/office/drawing/2014/main" id="{929345DB-0A4D-46B1-B6B4-BF0AD4F96F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" name="TextBox 6">
          <a:extLst>
            <a:ext uri="{FF2B5EF4-FFF2-40B4-BE49-F238E27FC236}">
              <a16:creationId xmlns:a16="http://schemas.microsoft.com/office/drawing/2014/main" id="{EA0B3A9D-7B6E-4071-BA30-D8AF875519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" name="TextBox 7">
          <a:extLst>
            <a:ext uri="{FF2B5EF4-FFF2-40B4-BE49-F238E27FC236}">
              <a16:creationId xmlns:a16="http://schemas.microsoft.com/office/drawing/2014/main" id="{C93CB830-8134-4861-82AC-53D7768089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" name="TextBox 8">
          <a:extLst>
            <a:ext uri="{FF2B5EF4-FFF2-40B4-BE49-F238E27FC236}">
              <a16:creationId xmlns:a16="http://schemas.microsoft.com/office/drawing/2014/main" id="{A837A400-BA51-44B6-89D6-E4303EB2525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" name="TextBox 2">
          <a:extLst>
            <a:ext uri="{FF2B5EF4-FFF2-40B4-BE49-F238E27FC236}">
              <a16:creationId xmlns:a16="http://schemas.microsoft.com/office/drawing/2014/main" id="{7E598417-750B-42CA-86AC-5ADA17E7C2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" name="TextBox 4">
          <a:extLst>
            <a:ext uri="{FF2B5EF4-FFF2-40B4-BE49-F238E27FC236}">
              <a16:creationId xmlns:a16="http://schemas.microsoft.com/office/drawing/2014/main" id="{0ED13B32-7D63-4A93-BB19-3CA08E791F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" name="TextBox 5">
          <a:extLst>
            <a:ext uri="{FF2B5EF4-FFF2-40B4-BE49-F238E27FC236}">
              <a16:creationId xmlns:a16="http://schemas.microsoft.com/office/drawing/2014/main" id="{E5F1EA40-5C42-4343-BCDB-4FDBA1E69F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" name="TextBox 6">
          <a:extLst>
            <a:ext uri="{FF2B5EF4-FFF2-40B4-BE49-F238E27FC236}">
              <a16:creationId xmlns:a16="http://schemas.microsoft.com/office/drawing/2014/main" id="{F4A00082-2479-4007-8614-E1A1E2044EF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" name="TextBox 7">
          <a:extLst>
            <a:ext uri="{FF2B5EF4-FFF2-40B4-BE49-F238E27FC236}">
              <a16:creationId xmlns:a16="http://schemas.microsoft.com/office/drawing/2014/main" id="{70E6DBA0-3861-4CD0-B9EA-80A5DF861A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" name="TextBox 8">
          <a:extLst>
            <a:ext uri="{FF2B5EF4-FFF2-40B4-BE49-F238E27FC236}">
              <a16:creationId xmlns:a16="http://schemas.microsoft.com/office/drawing/2014/main" id="{A9CC52AC-5B43-49E9-9F70-F4860F611D9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" name="TextBox 2">
          <a:extLst>
            <a:ext uri="{FF2B5EF4-FFF2-40B4-BE49-F238E27FC236}">
              <a16:creationId xmlns:a16="http://schemas.microsoft.com/office/drawing/2014/main" id="{C06D4020-EE2A-4668-B02A-FE17133702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" name="TextBox 4">
          <a:extLst>
            <a:ext uri="{FF2B5EF4-FFF2-40B4-BE49-F238E27FC236}">
              <a16:creationId xmlns:a16="http://schemas.microsoft.com/office/drawing/2014/main" id="{7C034DB8-9751-4643-B970-11ABF7872A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" name="TextBox 5">
          <a:extLst>
            <a:ext uri="{FF2B5EF4-FFF2-40B4-BE49-F238E27FC236}">
              <a16:creationId xmlns:a16="http://schemas.microsoft.com/office/drawing/2014/main" id="{9A1DF567-5FE6-4C69-930F-84476304D1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" name="TextBox 6">
          <a:extLst>
            <a:ext uri="{FF2B5EF4-FFF2-40B4-BE49-F238E27FC236}">
              <a16:creationId xmlns:a16="http://schemas.microsoft.com/office/drawing/2014/main" id="{B7E4B50D-C7B5-4125-93A6-09BFA13D9D5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" name="TextBox 7">
          <a:extLst>
            <a:ext uri="{FF2B5EF4-FFF2-40B4-BE49-F238E27FC236}">
              <a16:creationId xmlns:a16="http://schemas.microsoft.com/office/drawing/2014/main" id="{7522BBFD-A3EB-45EE-9128-CBD6437FF5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" name="TextBox 8">
          <a:extLst>
            <a:ext uri="{FF2B5EF4-FFF2-40B4-BE49-F238E27FC236}">
              <a16:creationId xmlns:a16="http://schemas.microsoft.com/office/drawing/2014/main" id="{03497B00-844B-459D-A083-8153826604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" name="TextBox 2">
          <a:extLst>
            <a:ext uri="{FF2B5EF4-FFF2-40B4-BE49-F238E27FC236}">
              <a16:creationId xmlns:a16="http://schemas.microsoft.com/office/drawing/2014/main" id="{17247A7F-C118-4AB4-B087-63ACF0D81A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" name="TextBox 4">
          <a:extLst>
            <a:ext uri="{FF2B5EF4-FFF2-40B4-BE49-F238E27FC236}">
              <a16:creationId xmlns:a16="http://schemas.microsoft.com/office/drawing/2014/main" id="{D58E7660-B078-4659-ADBD-3FFE55E6B4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" name="TextBox 5">
          <a:extLst>
            <a:ext uri="{FF2B5EF4-FFF2-40B4-BE49-F238E27FC236}">
              <a16:creationId xmlns:a16="http://schemas.microsoft.com/office/drawing/2014/main" id="{D189A7B4-FD06-4896-9404-B45B88E611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" name="TextBox 6">
          <a:extLst>
            <a:ext uri="{FF2B5EF4-FFF2-40B4-BE49-F238E27FC236}">
              <a16:creationId xmlns:a16="http://schemas.microsoft.com/office/drawing/2014/main" id="{85E65A65-BEEA-4F7D-93E8-E4023F4E41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" name="TextBox 7">
          <a:extLst>
            <a:ext uri="{FF2B5EF4-FFF2-40B4-BE49-F238E27FC236}">
              <a16:creationId xmlns:a16="http://schemas.microsoft.com/office/drawing/2014/main" id="{CA069FC1-43B4-490D-9BE8-06737FFED1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" name="TextBox 8">
          <a:extLst>
            <a:ext uri="{FF2B5EF4-FFF2-40B4-BE49-F238E27FC236}">
              <a16:creationId xmlns:a16="http://schemas.microsoft.com/office/drawing/2014/main" id="{2753EC13-83C0-4B59-BAF3-8D783FA9F1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" name="TextBox 2">
          <a:extLst>
            <a:ext uri="{FF2B5EF4-FFF2-40B4-BE49-F238E27FC236}">
              <a16:creationId xmlns:a16="http://schemas.microsoft.com/office/drawing/2014/main" id="{A49EC987-751E-4E5F-A32B-2064927B1C2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" name="TextBox 4">
          <a:extLst>
            <a:ext uri="{FF2B5EF4-FFF2-40B4-BE49-F238E27FC236}">
              <a16:creationId xmlns:a16="http://schemas.microsoft.com/office/drawing/2014/main" id="{A6AAF7F0-3FC1-4C90-B68F-59FD44FE8E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" name="TextBox 5">
          <a:extLst>
            <a:ext uri="{FF2B5EF4-FFF2-40B4-BE49-F238E27FC236}">
              <a16:creationId xmlns:a16="http://schemas.microsoft.com/office/drawing/2014/main" id="{D667C906-C7A9-4D2D-8CA0-C73EB72EBC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" name="TextBox 6">
          <a:extLst>
            <a:ext uri="{FF2B5EF4-FFF2-40B4-BE49-F238E27FC236}">
              <a16:creationId xmlns:a16="http://schemas.microsoft.com/office/drawing/2014/main" id="{631A4E9C-A542-4156-9F8E-4A0CDD94B8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" name="TextBox 7">
          <a:extLst>
            <a:ext uri="{FF2B5EF4-FFF2-40B4-BE49-F238E27FC236}">
              <a16:creationId xmlns:a16="http://schemas.microsoft.com/office/drawing/2014/main" id="{C6D0213D-7A62-4727-BF76-71BF2DF8BE7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" name="TextBox 8">
          <a:extLst>
            <a:ext uri="{FF2B5EF4-FFF2-40B4-BE49-F238E27FC236}">
              <a16:creationId xmlns:a16="http://schemas.microsoft.com/office/drawing/2014/main" id="{10024D8D-C6D9-4094-9397-D5D286A894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" name="TextBox 2">
          <a:extLst>
            <a:ext uri="{FF2B5EF4-FFF2-40B4-BE49-F238E27FC236}">
              <a16:creationId xmlns:a16="http://schemas.microsoft.com/office/drawing/2014/main" id="{A9B6988B-1CBD-459C-91B0-9B27DCFBE2F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" name="TextBox 4">
          <a:extLst>
            <a:ext uri="{FF2B5EF4-FFF2-40B4-BE49-F238E27FC236}">
              <a16:creationId xmlns:a16="http://schemas.microsoft.com/office/drawing/2014/main" id="{51106C1D-10EF-497F-A280-A1FC26E5ED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" name="TextBox 5">
          <a:extLst>
            <a:ext uri="{FF2B5EF4-FFF2-40B4-BE49-F238E27FC236}">
              <a16:creationId xmlns:a16="http://schemas.microsoft.com/office/drawing/2014/main" id="{4CE4822F-0138-4A62-8177-2E73EF537B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" name="TextBox 6">
          <a:extLst>
            <a:ext uri="{FF2B5EF4-FFF2-40B4-BE49-F238E27FC236}">
              <a16:creationId xmlns:a16="http://schemas.microsoft.com/office/drawing/2014/main" id="{2F97753D-2C85-4AD3-9034-089667663D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" name="TextBox 7">
          <a:extLst>
            <a:ext uri="{FF2B5EF4-FFF2-40B4-BE49-F238E27FC236}">
              <a16:creationId xmlns:a16="http://schemas.microsoft.com/office/drawing/2014/main" id="{25CDABEB-BDCC-421A-87DF-C54BB5BBD4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" name="TextBox 8">
          <a:extLst>
            <a:ext uri="{FF2B5EF4-FFF2-40B4-BE49-F238E27FC236}">
              <a16:creationId xmlns:a16="http://schemas.microsoft.com/office/drawing/2014/main" id="{90090970-E3C7-4E23-901A-F46175F837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" name="TextBox 2">
          <a:extLst>
            <a:ext uri="{FF2B5EF4-FFF2-40B4-BE49-F238E27FC236}">
              <a16:creationId xmlns:a16="http://schemas.microsoft.com/office/drawing/2014/main" id="{6B76D1C5-9A60-4212-9394-AFBB31C28B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" name="TextBox 4">
          <a:extLst>
            <a:ext uri="{FF2B5EF4-FFF2-40B4-BE49-F238E27FC236}">
              <a16:creationId xmlns:a16="http://schemas.microsoft.com/office/drawing/2014/main" id="{A86EC898-57F3-47E8-9E31-03D482D0D8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" name="TextBox 5">
          <a:extLst>
            <a:ext uri="{FF2B5EF4-FFF2-40B4-BE49-F238E27FC236}">
              <a16:creationId xmlns:a16="http://schemas.microsoft.com/office/drawing/2014/main" id="{4928D3A4-8F47-41A7-8433-6B9732AB40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" name="TextBox 6">
          <a:extLst>
            <a:ext uri="{FF2B5EF4-FFF2-40B4-BE49-F238E27FC236}">
              <a16:creationId xmlns:a16="http://schemas.microsoft.com/office/drawing/2014/main" id="{7E3C449D-B712-4A91-A183-AC08A2172A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" name="TextBox 7">
          <a:extLst>
            <a:ext uri="{FF2B5EF4-FFF2-40B4-BE49-F238E27FC236}">
              <a16:creationId xmlns:a16="http://schemas.microsoft.com/office/drawing/2014/main" id="{7B15DE50-8081-4FE5-B448-F35E3B12CDA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" name="TextBox 8">
          <a:extLst>
            <a:ext uri="{FF2B5EF4-FFF2-40B4-BE49-F238E27FC236}">
              <a16:creationId xmlns:a16="http://schemas.microsoft.com/office/drawing/2014/main" id="{22058197-147F-4DA9-BB22-A0A0AABD894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" name="TextBox 2">
          <a:extLst>
            <a:ext uri="{FF2B5EF4-FFF2-40B4-BE49-F238E27FC236}">
              <a16:creationId xmlns:a16="http://schemas.microsoft.com/office/drawing/2014/main" id="{2626F686-3AEF-46BC-9C2A-AFA84A3677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" name="TextBox 4">
          <a:extLst>
            <a:ext uri="{FF2B5EF4-FFF2-40B4-BE49-F238E27FC236}">
              <a16:creationId xmlns:a16="http://schemas.microsoft.com/office/drawing/2014/main" id="{1D873F07-5AA8-4AA4-9EDF-8660D40704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" name="TextBox 5">
          <a:extLst>
            <a:ext uri="{FF2B5EF4-FFF2-40B4-BE49-F238E27FC236}">
              <a16:creationId xmlns:a16="http://schemas.microsoft.com/office/drawing/2014/main" id="{E7EA3728-0F8B-4F94-90A6-C6A4B0C3C2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" name="TextBox 6">
          <a:extLst>
            <a:ext uri="{FF2B5EF4-FFF2-40B4-BE49-F238E27FC236}">
              <a16:creationId xmlns:a16="http://schemas.microsoft.com/office/drawing/2014/main" id="{70E5A300-D365-4957-B51C-B2E0547EC51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" name="TextBox 7">
          <a:extLst>
            <a:ext uri="{FF2B5EF4-FFF2-40B4-BE49-F238E27FC236}">
              <a16:creationId xmlns:a16="http://schemas.microsoft.com/office/drawing/2014/main" id="{64D21FDE-AFAC-4D6B-828E-36E61B802D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" name="TextBox 8">
          <a:extLst>
            <a:ext uri="{FF2B5EF4-FFF2-40B4-BE49-F238E27FC236}">
              <a16:creationId xmlns:a16="http://schemas.microsoft.com/office/drawing/2014/main" id="{8016BC69-E469-4CC4-82B6-EEC714C86D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" name="TextBox 2">
          <a:extLst>
            <a:ext uri="{FF2B5EF4-FFF2-40B4-BE49-F238E27FC236}">
              <a16:creationId xmlns:a16="http://schemas.microsoft.com/office/drawing/2014/main" id="{DD452497-8E6D-45CB-9062-CA6CF36F80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" name="TextBox 4">
          <a:extLst>
            <a:ext uri="{FF2B5EF4-FFF2-40B4-BE49-F238E27FC236}">
              <a16:creationId xmlns:a16="http://schemas.microsoft.com/office/drawing/2014/main" id="{E1BDA06E-EA80-4F63-BDBA-613A57D40B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" name="TextBox 5">
          <a:extLst>
            <a:ext uri="{FF2B5EF4-FFF2-40B4-BE49-F238E27FC236}">
              <a16:creationId xmlns:a16="http://schemas.microsoft.com/office/drawing/2014/main" id="{2DDC4BE8-A787-4147-9E4A-5F54546546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" name="TextBox 6">
          <a:extLst>
            <a:ext uri="{FF2B5EF4-FFF2-40B4-BE49-F238E27FC236}">
              <a16:creationId xmlns:a16="http://schemas.microsoft.com/office/drawing/2014/main" id="{B084A503-211F-42AE-949C-6D46398A22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" name="TextBox 7">
          <a:extLst>
            <a:ext uri="{FF2B5EF4-FFF2-40B4-BE49-F238E27FC236}">
              <a16:creationId xmlns:a16="http://schemas.microsoft.com/office/drawing/2014/main" id="{5397F290-FF06-4452-9C12-BEDCE9D5CF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" name="TextBox 8">
          <a:extLst>
            <a:ext uri="{FF2B5EF4-FFF2-40B4-BE49-F238E27FC236}">
              <a16:creationId xmlns:a16="http://schemas.microsoft.com/office/drawing/2014/main" id="{B642B1D9-C0C2-460D-AAC8-AE99817437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" name="TextBox 2">
          <a:extLst>
            <a:ext uri="{FF2B5EF4-FFF2-40B4-BE49-F238E27FC236}">
              <a16:creationId xmlns:a16="http://schemas.microsoft.com/office/drawing/2014/main" id="{25BDAA24-F3EF-4682-AFB7-45D704BC59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" name="TextBox 4">
          <a:extLst>
            <a:ext uri="{FF2B5EF4-FFF2-40B4-BE49-F238E27FC236}">
              <a16:creationId xmlns:a16="http://schemas.microsoft.com/office/drawing/2014/main" id="{E162DBA9-B88A-4E29-99D2-342110711D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" name="TextBox 5">
          <a:extLst>
            <a:ext uri="{FF2B5EF4-FFF2-40B4-BE49-F238E27FC236}">
              <a16:creationId xmlns:a16="http://schemas.microsoft.com/office/drawing/2014/main" id="{D08A8FD0-77B1-4C14-86D8-852AD06389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" name="TextBox 6">
          <a:extLst>
            <a:ext uri="{FF2B5EF4-FFF2-40B4-BE49-F238E27FC236}">
              <a16:creationId xmlns:a16="http://schemas.microsoft.com/office/drawing/2014/main" id="{9B8D1DE0-42B7-411B-BB64-9F8C72AB46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" name="TextBox 7">
          <a:extLst>
            <a:ext uri="{FF2B5EF4-FFF2-40B4-BE49-F238E27FC236}">
              <a16:creationId xmlns:a16="http://schemas.microsoft.com/office/drawing/2014/main" id="{63B6175E-3625-47CE-84AA-D32216D0B8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" name="TextBox 8">
          <a:extLst>
            <a:ext uri="{FF2B5EF4-FFF2-40B4-BE49-F238E27FC236}">
              <a16:creationId xmlns:a16="http://schemas.microsoft.com/office/drawing/2014/main" id="{D1CC8A55-FBF7-4882-832A-8F1B1F6CC5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" name="TextBox 2">
          <a:extLst>
            <a:ext uri="{FF2B5EF4-FFF2-40B4-BE49-F238E27FC236}">
              <a16:creationId xmlns:a16="http://schemas.microsoft.com/office/drawing/2014/main" id="{150B8993-841A-454B-B10D-E85B0E7620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" name="TextBox 4">
          <a:extLst>
            <a:ext uri="{FF2B5EF4-FFF2-40B4-BE49-F238E27FC236}">
              <a16:creationId xmlns:a16="http://schemas.microsoft.com/office/drawing/2014/main" id="{43079473-E215-4C7D-B699-83E1084B97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" name="TextBox 5">
          <a:extLst>
            <a:ext uri="{FF2B5EF4-FFF2-40B4-BE49-F238E27FC236}">
              <a16:creationId xmlns:a16="http://schemas.microsoft.com/office/drawing/2014/main" id="{766FBF22-77FE-4336-9D6E-8CCE279916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" name="TextBox 6">
          <a:extLst>
            <a:ext uri="{FF2B5EF4-FFF2-40B4-BE49-F238E27FC236}">
              <a16:creationId xmlns:a16="http://schemas.microsoft.com/office/drawing/2014/main" id="{EC047320-3026-48ED-BC7E-3E5EF3BB5E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" name="TextBox 7">
          <a:extLst>
            <a:ext uri="{FF2B5EF4-FFF2-40B4-BE49-F238E27FC236}">
              <a16:creationId xmlns:a16="http://schemas.microsoft.com/office/drawing/2014/main" id="{7E55D5DA-F087-48CA-BE89-B0EA09CD69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" name="TextBox 8">
          <a:extLst>
            <a:ext uri="{FF2B5EF4-FFF2-40B4-BE49-F238E27FC236}">
              <a16:creationId xmlns:a16="http://schemas.microsoft.com/office/drawing/2014/main" id="{E8B0F81B-A862-406E-93E8-EF2F6A8496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" name="TextBox 2">
          <a:extLst>
            <a:ext uri="{FF2B5EF4-FFF2-40B4-BE49-F238E27FC236}">
              <a16:creationId xmlns:a16="http://schemas.microsoft.com/office/drawing/2014/main" id="{99E010A5-9912-445B-8072-9A9F32182D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" name="TextBox 4">
          <a:extLst>
            <a:ext uri="{FF2B5EF4-FFF2-40B4-BE49-F238E27FC236}">
              <a16:creationId xmlns:a16="http://schemas.microsoft.com/office/drawing/2014/main" id="{CB710190-E763-4918-BAD8-BA8D15317F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" name="TextBox 5">
          <a:extLst>
            <a:ext uri="{FF2B5EF4-FFF2-40B4-BE49-F238E27FC236}">
              <a16:creationId xmlns:a16="http://schemas.microsoft.com/office/drawing/2014/main" id="{EF1A99D2-B277-4295-A8D6-54F5E71AF2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" name="TextBox 6">
          <a:extLst>
            <a:ext uri="{FF2B5EF4-FFF2-40B4-BE49-F238E27FC236}">
              <a16:creationId xmlns:a16="http://schemas.microsoft.com/office/drawing/2014/main" id="{E3E43794-E29C-4206-91B8-FECC8D56D1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" name="TextBox 7">
          <a:extLst>
            <a:ext uri="{FF2B5EF4-FFF2-40B4-BE49-F238E27FC236}">
              <a16:creationId xmlns:a16="http://schemas.microsoft.com/office/drawing/2014/main" id="{6BE3A9BE-7C2E-4488-B2E5-76B91150B0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" name="TextBox 8">
          <a:extLst>
            <a:ext uri="{FF2B5EF4-FFF2-40B4-BE49-F238E27FC236}">
              <a16:creationId xmlns:a16="http://schemas.microsoft.com/office/drawing/2014/main" id="{876B41BF-62A7-4225-8937-B9DD8F696B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" name="TextBox 2">
          <a:extLst>
            <a:ext uri="{FF2B5EF4-FFF2-40B4-BE49-F238E27FC236}">
              <a16:creationId xmlns:a16="http://schemas.microsoft.com/office/drawing/2014/main" id="{DB2331F4-30FD-4C19-A8FB-14FF7BBE38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" name="TextBox 4">
          <a:extLst>
            <a:ext uri="{FF2B5EF4-FFF2-40B4-BE49-F238E27FC236}">
              <a16:creationId xmlns:a16="http://schemas.microsoft.com/office/drawing/2014/main" id="{CE8A8EE4-9ACB-4C20-BF7E-A0177F718B2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" name="TextBox 5">
          <a:extLst>
            <a:ext uri="{FF2B5EF4-FFF2-40B4-BE49-F238E27FC236}">
              <a16:creationId xmlns:a16="http://schemas.microsoft.com/office/drawing/2014/main" id="{AE1EBFCF-34DA-4483-B403-37AC049206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" name="TextBox 6">
          <a:extLst>
            <a:ext uri="{FF2B5EF4-FFF2-40B4-BE49-F238E27FC236}">
              <a16:creationId xmlns:a16="http://schemas.microsoft.com/office/drawing/2014/main" id="{80A8E824-4B17-4725-9A47-F22C05A1B9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" name="TextBox 7">
          <a:extLst>
            <a:ext uri="{FF2B5EF4-FFF2-40B4-BE49-F238E27FC236}">
              <a16:creationId xmlns:a16="http://schemas.microsoft.com/office/drawing/2014/main" id="{A749D185-73C0-4EF3-B58E-2F130CA40DC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" name="TextBox 8">
          <a:extLst>
            <a:ext uri="{FF2B5EF4-FFF2-40B4-BE49-F238E27FC236}">
              <a16:creationId xmlns:a16="http://schemas.microsoft.com/office/drawing/2014/main" id="{5904A693-7DB6-46CC-AB20-4D878D6D13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" name="TextBox 2">
          <a:extLst>
            <a:ext uri="{FF2B5EF4-FFF2-40B4-BE49-F238E27FC236}">
              <a16:creationId xmlns:a16="http://schemas.microsoft.com/office/drawing/2014/main" id="{2D5AE9E9-7393-4A9F-8676-04B059B594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" name="TextBox 4">
          <a:extLst>
            <a:ext uri="{FF2B5EF4-FFF2-40B4-BE49-F238E27FC236}">
              <a16:creationId xmlns:a16="http://schemas.microsoft.com/office/drawing/2014/main" id="{B7254203-87C3-46ED-B293-6E2193D04F7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" name="TextBox 5">
          <a:extLst>
            <a:ext uri="{FF2B5EF4-FFF2-40B4-BE49-F238E27FC236}">
              <a16:creationId xmlns:a16="http://schemas.microsoft.com/office/drawing/2014/main" id="{832D0EFD-F019-46BC-8F7A-AF4AFAC4A4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" name="TextBox 6">
          <a:extLst>
            <a:ext uri="{FF2B5EF4-FFF2-40B4-BE49-F238E27FC236}">
              <a16:creationId xmlns:a16="http://schemas.microsoft.com/office/drawing/2014/main" id="{90749318-D3A4-40F9-85D6-9EC4C2C49E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" name="TextBox 7">
          <a:extLst>
            <a:ext uri="{FF2B5EF4-FFF2-40B4-BE49-F238E27FC236}">
              <a16:creationId xmlns:a16="http://schemas.microsoft.com/office/drawing/2014/main" id="{1CB8E13B-4862-403A-A633-EFE1271862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" name="TextBox 8">
          <a:extLst>
            <a:ext uri="{FF2B5EF4-FFF2-40B4-BE49-F238E27FC236}">
              <a16:creationId xmlns:a16="http://schemas.microsoft.com/office/drawing/2014/main" id="{C1E224BD-73C1-48C5-B6FC-A874CB89E3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" name="TextBox 2">
          <a:extLst>
            <a:ext uri="{FF2B5EF4-FFF2-40B4-BE49-F238E27FC236}">
              <a16:creationId xmlns:a16="http://schemas.microsoft.com/office/drawing/2014/main" id="{6C3F6B5F-94D9-42D9-9B1A-0CD3CF0098B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" name="TextBox 4">
          <a:extLst>
            <a:ext uri="{FF2B5EF4-FFF2-40B4-BE49-F238E27FC236}">
              <a16:creationId xmlns:a16="http://schemas.microsoft.com/office/drawing/2014/main" id="{7C635D91-9C71-4017-AF00-6DEE7763BD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" name="TextBox 5">
          <a:extLst>
            <a:ext uri="{FF2B5EF4-FFF2-40B4-BE49-F238E27FC236}">
              <a16:creationId xmlns:a16="http://schemas.microsoft.com/office/drawing/2014/main" id="{3A85BA14-98B3-4D8C-A998-B8255223E2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" name="TextBox 6">
          <a:extLst>
            <a:ext uri="{FF2B5EF4-FFF2-40B4-BE49-F238E27FC236}">
              <a16:creationId xmlns:a16="http://schemas.microsoft.com/office/drawing/2014/main" id="{E5E9A48E-43BD-4509-A84C-64D91B81A3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" name="TextBox 7">
          <a:extLst>
            <a:ext uri="{FF2B5EF4-FFF2-40B4-BE49-F238E27FC236}">
              <a16:creationId xmlns:a16="http://schemas.microsoft.com/office/drawing/2014/main" id="{8DA531DC-9CA8-4167-AB38-3E929CA4AF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" name="TextBox 8">
          <a:extLst>
            <a:ext uri="{FF2B5EF4-FFF2-40B4-BE49-F238E27FC236}">
              <a16:creationId xmlns:a16="http://schemas.microsoft.com/office/drawing/2014/main" id="{0D81A37F-E286-477F-9562-470E699A88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" name="TextBox 2">
          <a:extLst>
            <a:ext uri="{FF2B5EF4-FFF2-40B4-BE49-F238E27FC236}">
              <a16:creationId xmlns:a16="http://schemas.microsoft.com/office/drawing/2014/main" id="{7C28D6B1-765A-4ED0-978E-8E62C017F1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" name="TextBox 4">
          <a:extLst>
            <a:ext uri="{FF2B5EF4-FFF2-40B4-BE49-F238E27FC236}">
              <a16:creationId xmlns:a16="http://schemas.microsoft.com/office/drawing/2014/main" id="{5A9681B7-6C5E-4993-BA09-E0622BEA72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" name="TextBox 5">
          <a:extLst>
            <a:ext uri="{FF2B5EF4-FFF2-40B4-BE49-F238E27FC236}">
              <a16:creationId xmlns:a16="http://schemas.microsoft.com/office/drawing/2014/main" id="{DFDC5FD9-1B78-47D8-9882-06336BB6CD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" name="TextBox 6">
          <a:extLst>
            <a:ext uri="{FF2B5EF4-FFF2-40B4-BE49-F238E27FC236}">
              <a16:creationId xmlns:a16="http://schemas.microsoft.com/office/drawing/2014/main" id="{0573B263-B806-4B3F-B2C5-0352C1BC76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" name="TextBox 7">
          <a:extLst>
            <a:ext uri="{FF2B5EF4-FFF2-40B4-BE49-F238E27FC236}">
              <a16:creationId xmlns:a16="http://schemas.microsoft.com/office/drawing/2014/main" id="{1E7393F7-16D6-49B1-8275-695A371F4B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" name="TextBox 8">
          <a:extLst>
            <a:ext uri="{FF2B5EF4-FFF2-40B4-BE49-F238E27FC236}">
              <a16:creationId xmlns:a16="http://schemas.microsoft.com/office/drawing/2014/main" id="{6E2114DF-E334-44F1-9A1B-8FE1E580D2D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" name="TextBox 2">
          <a:extLst>
            <a:ext uri="{FF2B5EF4-FFF2-40B4-BE49-F238E27FC236}">
              <a16:creationId xmlns:a16="http://schemas.microsoft.com/office/drawing/2014/main" id="{366C0454-9EE4-4CBA-81A4-18E35F402F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" name="TextBox 4">
          <a:extLst>
            <a:ext uri="{FF2B5EF4-FFF2-40B4-BE49-F238E27FC236}">
              <a16:creationId xmlns:a16="http://schemas.microsoft.com/office/drawing/2014/main" id="{F9918339-5805-49EA-A47E-22947A41EE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" name="TextBox 5">
          <a:extLst>
            <a:ext uri="{FF2B5EF4-FFF2-40B4-BE49-F238E27FC236}">
              <a16:creationId xmlns:a16="http://schemas.microsoft.com/office/drawing/2014/main" id="{3772AEF5-1312-4520-9F02-A80BB978C8E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" name="TextBox 6">
          <a:extLst>
            <a:ext uri="{FF2B5EF4-FFF2-40B4-BE49-F238E27FC236}">
              <a16:creationId xmlns:a16="http://schemas.microsoft.com/office/drawing/2014/main" id="{30CAD450-B17E-41A0-AB63-5A111AB91C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" name="TextBox 7">
          <a:extLst>
            <a:ext uri="{FF2B5EF4-FFF2-40B4-BE49-F238E27FC236}">
              <a16:creationId xmlns:a16="http://schemas.microsoft.com/office/drawing/2014/main" id="{D37D3F5B-3D2D-4BD3-8B20-0BC396150B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" name="TextBox 8">
          <a:extLst>
            <a:ext uri="{FF2B5EF4-FFF2-40B4-BE49-F238E27FC236}">
              <a16:creationId xmlns:a16="http://schemas.microsoft.com/office/drawing/2014/main" id="{0AA9E7DE-5BD4-4F25-8B55-CE2C181406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" name="TextBox 2">
          <a:extLst>
            <a:ext uri="{FF2B5EF4-FFF2-40B4-BE49-F238E27FC236}">
              <a16:creationId xmlns:a16="http://schemas.microsoft.com/office/drawing/2014/main" id="{1B7CA4C7-F4DB-46B3-B3CA-E3017C6953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" name="TextBox 4">
          <a:extLst>
            <a:ext uri="{FF2B5EF4-FFF2-40B4-BE49-F238E27FC236}">
              <a16:creationId xmlns:a16="http://schemas.microsoft.com/office/drawing/2014/main" id="{E42FE22E-47B8-4877-9036-A71E3775B1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" name="TextBox 5">
          <a:extLst>
            <a:ext uri="{FF2B5EF4-FFF2-40B4-BE49-F238E27FC236}">
              <a16:creationId xmlns:a16="http://schemas.microsoft.com/office/drawing/2014/main" id="{4BF618CE-092C-4F0D-BA76-BA2C5A03E3F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" name="TextBox 6">
          <a:extLst>
            <a:ext uri="{FF2B5EF4-FFF2-40B4-BE49-F238E27FC236}">
              <a16:creationId xmlns:a16="http://schemas.microsoft.com/office/drawing/2014/main" id="{561F499C-1A46-49FF-A683-4FA7111553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" name="TextBox 7">
          <a:extLst>
            <a:ext uri="{FF2B5EF4-FFF2-40B4-BE49-F238E27FC236}">
              <a16:creationId xmlns:a16="http://schemas.microsoft.com/office/drawing/2014/main" id="{2468ECD7-E247-463B-ABCD-E0785456BF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" name="TextBox 8">
          <a:extLst>
            <a:ext uri="{FF2B5EF4-FFF2-40B4-BE49-F238E27FC236}">
              <a16:creationId xmlns:a16="http://schemas.microsoft.com/office/drawing/2014/main" id="{17F607CE-32ED-45FE-8BDB-F879A4D896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" name="TextBox 2">
          <a:extLst>
            <a:ext uri="{FF2B5EF4-FFF2-40B4-BE49-F238E27FC236}">
              <a16:creationId xmlns:a16="http://schemas.microsoft.com/office/drawing/2014/main" id="{F1006C74-0E15-45C8-B465-A35788B06F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" name="TextBox 4">
          <a:extLst>
            <a:ext uri="{FF2B5EF4-FFF2-40B4-BE49-F238E27FC236}">
              <a16:creationId xmlns:a16="http://schemas.microsoft.com/office/drawing/2014/main" id="{9EE65EC1-DE0C-4AB7-BBA8-8189E9F493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" name="TextBox 5">
          <a:extLst>
            <a:ext uri="{FF2B5EF4-FFF2-40B4-BE49-F238E27FC236}">
              <a16:creationId xmlns:a16="http://schemas.microsoft.com/office/drawing/2014/main" id="{5F854B5D-9ACD-4CF8-9ADC-E2567801CE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" name="TextBox 6">
          <a:extLst>
            <a:ext uri="{FF2B5EF4-FFF2-40B4-BE49-F238E27FC236}">
              <a16:creationId xmlns:a16="http://schemas.microsoft.com/office/drawing/2014/main" id="{2E74926E-1016-4CCB-9DD1-3CCF6438F9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" name="TextBox 7">
          <a:extLst>
            <a:ext uri="{FF2B5EF4-FFF2-40B4-BE49-F238E27FC236}">
              <a16:creationId xmlns:a16="http://schemas.microsoft.com/office/drawing/2014/main" id="{B356D4C4-0807-4DE8-BE5C-BEEA32451B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" name="TextBox 8">
          <a:extLst>
            <a:ext uri="{FF2B5EF4-FFF2-40B4-BE49-F238E27FC236}">
              <a16:creationId xmlns:a16="http://schemas.microsoft.com/office/drawing/2014/main" id="{65B8F347-3043-4321-8E7B-52F77324AD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" name="TextBox 2">
          <a:extLst>
            <a:ext uri="{FF2B5EF4-FFF2-40B4-BE49-F238E27FC236}">
              <a16:creationId xmlns:a16="http://schemas.microsoft.com/office/drawing/2014/main" id="{4C2F4191-1741-4BB6-87BA-74212534CE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" name="TextBox 4">
          <a:extLst>
            <a:ext uri="{FF2B5EF4-FFF2-40B4-BE49-F238E27FC236}">
              <a16:creationId xmlns:a16="http://schemas.microsoft.com/office/drawing/2014/main" id="{94944955-98F7-4251-8105-E5D456D081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" name="TextBox 5">
          <a:extLst>
            <a:ext uri="{FF2B5EF4-FFF2-40B4-BE49-F238E27FC236}">
              <a16:creationId xmlns:a16="http://schemas.microsoft.com/office/drawing/2014/main" id="{ED422D2B-E056-478F-AB80-8297D12413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" name="TextBox 6">
          <a:extLst>
            <a:ext uri="{FF2B5EF4-FFF2-40B4-BE49-F238E27FC236}">
              <a16:creationId xmlns:a16="http://schemas.microsoft.com/office/drawing/2014/main" id="{8DA8F86E-E314-44E6-A83F-CAD786A4B6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" name="TextBox 7">
          <a:extLst>
            <a:ext uri="{FF2B5EF4-FFF2-40B4-BE49-F238E27FC236}">
              <a16:creationId xmlns:a16="http://schemas.microsoft.com/office/drawing/2014/main" id="{0656556C-6C5F-4459-B83A-ADE037E736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" name="TextBox 8">
          <a:extLst>
            <a:ext uri="{FF2B5EF4-FFF2-40B4-BE49-F238E27FC236}">
              <a16:creationId xmlns:a16="http://schemas.microsoft.com/office/drawing/2014/main" id="{38672759-54D2-42EF-8786-55A1A3EFB4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" name="TextBox 2">
          <a:extLst>
            <a:ext uri="{FF2B5EF4-FFF2-40B4-BE49-F238E27FC236}">
              <a16:creationId xmlns:a16="http://schemas.microsoft.com/office/drawing/2014/main" id="{09850060-A103-4CEC-9E6C-2C19ABBB58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" name="TextBox 4">
          <a:extLst>
            <a:ext uri="{FF2B5EF4-FFF2-40B4-BE49-F238E27FC236}">
              <a16:creationId xmlns:a16="http://schemas.microsoft.com/office/drawing/2014/main" id="{8A8600F8-F34F-46B1-B727-EA52D8D90A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" name="TextBox 5">
          <a:extLst>
            <a:ext uri="{FF2B5EF4-FFF2-40B4-BE49-F238E27FC236}">
              <a16:creationId xmlns:a16="http://schemas.microsoft.com/office/drawing/2014/main" id="{92EA21A6-52EC-42B3-9C24-582D19587B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" name="TextBox 6">
          <a:extLst>
            <a:ext uri="{FF2B5EF4-FFF2-40B4-BE49-F238E27FC236}">
              <a16:creationId xmlns:a16="http://schemas.microsoft.com/office/drawing/2014/main" id="{8AB33FD7-99AA-4D4E-83DD-279247ABD62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" name="TextBox 7">
          <a:extLst>
            <a:ext uri="{FF2B5EF4-FFF2-40B4-BE49-F238E27FC236}">
              <a16:creationId xmlns:a16="http://schemas.microsoft.com/office/drawing/2014/main" id="{7E76F107-D1E0-42CC-AB23-6494738C86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" name="TextBox 8">
          <a:extLst>
            <a:ext uri="{FF2B5EF4-FFF2-40B4-BE49-F238E27FC236}">
              <a16:creationId xmlns:a16="http://schemas.microsoft.com/office/drawing/2014/main" id="{76CB6A35-EA58-401A-B419-450F05F867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" name="TextBox 2">
          <a:extLst>
            <a:ext uri="{FF2B5EF4-FFF2-40B4-BE49-F238E27FC236}">
              <a16:creationId xmlns:a16="http://schemas.microsoft.com/office/drawing/2014/main" id="{1FCAFAA0-8416-4950-A020-2496B78E3B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" name="TextBox 4">
          <a:extLst>
            <a:ext uri="{FF2B5EF4-FFF2-40B4-BE49-F238E27FC236}">
              <a16:creationId xmlns:a16="http://schemas.microsoft.com/office/drawing/2014/main" id="{9AF60853-AA56-4EF1-B8F9-6336F47D89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" name="TextBox 5">
          <a:extLst>
            <a:ext uri="{FF2B5EF4-FFF2-40B4-BE49-F238E27FC236}">
              <a16:creationId xmlns:a16="http://schemas.microsoft.com/office/drawing/2014/main" id="{7F8ACC5B-5E58-40DC-A364-08A9DFEBA1A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" name="TextBox 6">
          <a:extLst>
            <a:ext uri="{FF2B5EF4-FFF2-40B4-BE49-F238E27FC236}">
              <a16:creationId xmlns:a16="http://schemas.microsoft.com/office/drawing/2014/main" id="{90B76E72-F21E-4DF8-A134-379D524F30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" name="TextBox 7">
          <a:extLst>
            <a:ext uri="{FF2B5EF4-FFF2-40B4-BE49-F238E27FC236}">
              <a16:creationId xmlns:a16="http://schemas.microsoft.com/office/drawing/2014/main" id="{834DC744-3690-40E7-AD49-208094A680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" name="TextBox 8">
          <a:extLst>
            <a:ext uri="{FF2B5EF4-FFF2-40B4-BE49-F238E27FC236}">
              <a16:creationId xmlns:a16="http://schemas.microsoft.com/office/drawing/2014/main" id="{B25CF40B-6D2D-4F8E-BBE0-5D1A8D3492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" name="TextBox 2">
          <a:extLst>
            <a:ext uri="{FF2B5EF4-FFF2-40B4-BE49-F238E27FC236}">
              <a16:creationId xmlns:a16="http://schemas.microsoft.com/office/drawing/2014/main" id="{91B547F3-A044-4C3D-B7FC-E07AACE35D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" name="TextBox 4">
          <a:extLst>
            <a:ext uri="{FF2B5EF4-FFF2-40B4-BE49-F238E27FC236}">
              <a16:creationId xmlns:a16="http://schemas.microsoft.com/office/drawing/2014/main" id="{D24BB2F3-1BF5-4527-BFA2-CB6111B313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" name="TextBox 5">
          <a:extLst>
            <a:ext uri="{FF2B5EF4-FFF2-40B4-BE49-F238E27FC236}">
              <a16:creationId xmlns:a16="http://schemas.microsoft.com/office/drawing/2014/main" id="{88993E10-9E89-4424-8703-4E64EE5C67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" name="TextBox 6">
          <a:extLst>
            <a:ext uri="{FF2B5EF4-FFF2-40B4-BE49-F238E27FC236}">
              <a16:creationId xmlns:a16="http://schemas.microsoft.com/office/drawing/2014/main" id="{85D47443-E90D-43C7-B750-DF08191303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" name="TextBox 7">
          <a:extLst>
            <a:ext uri="{FF2B5EF4-FFF2-40B4-BE49-F238E27FC236}">
              <a16:creationId xmlns:a16="http://schemas.microsoft.com/office/drawing/2014/main" id="{EA96F685-D7A9-419C-BCBA-CF95F2832BC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" name="TextBox 8">
          <a:extLst>
            <a:ext uri="{FF2B5EF4-FFF2-40B4-BE49-F238E27FC236}">
              <a16:creationId xmlns:a16="http://schemas.microsoft.com/office/drawing/2014/main" id="{DEC3C85A-4B16-40D2-8543-7656A4A947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" name="TextBox 2">
          <a:extLst>
            <a:ext uri="{FF2B5EF4-FFF2-40B4-BE49-F238E27FC236}">
              <a16:creationId xmlns:a16="http://schemas.microsoft.com/office/drawing/2014/main" id="{D2AAE024-790E-48FA-8481-EFCD7E49E4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" name="TextBox 4">
          <a:extLst>
            <a:ext uri="{FF2B5EF4-FFF2-40B4-BE49-F238E27FC236}">
              <a16:creationId xmlns:a16="http://schemas.microsoft.com/office/drawing/2014/main" id="{D0460393-9567-40A0-889C-759F8CC9F1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" name="TextBox 5">
          <a:extLst>
            <a:ext uri="{FF2B5EF4-FFF2-40B4-BE49-F238E27FC236}">
              <a16:creationId xmlns:a16="http://schemas.microsoft.com/office/drawing/2014/main" id="{438FD472-1AFB-40E0-A736-ACFFAE30AC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" name="TextBox 6">
          <a:extLst>
            <a:ext uri="{FF2B5EF4-FFF2-40B4-BE49-F238E27FC236}">
              <a16:creationId xmlns:a16="http://schemas.microsoft.com/office/drawing/2014/main" id="{00691434-198D-4261-B31E-2208568DC5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" name="TextBox 7">
          <a:extLst>
            <a:ext uri="{FF2B5EF4-FFF2-40B4-BE49-F238E27FC236}">
              <a16:creationId xmlns:a16="http://schemas.microsoft.com/office/drawing/2014/main" id="{3DF09CB0-EE73-4683-911F-D0A1DDB393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" name="TextBox 8">
          <a:extLst>
            <a:ext uri="{FF2B5EF4-FFF2-40B4-BE49-F238E27FC236}">
              <a16:creationId xmlns:a16="http://schemas.microsoft.com/office/drawing/2014/main" id="{1B4000EA-1F37-41D8-87F6-11C16F605B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" name="TextBox 2">
          <a:extLst>
            <a:ext uri="{FF2B5EF4-FFF2-40B4-BE49-F238E27FC236}">
              <a16:creationId xmlns:a16="http://schemas.microsoft.com/office/drawing/2014/main" id="{799B5B55-39D7-49F6-9C38-91B1943C6A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" name="TextBox 4">
          <a:extLst>
            <a:ext uri="{FF2B5EF4-FFF2-40B4-BE49-F238E27FC236}">
              <a16:creationId xmlns:a16="http://schemas.microsoft.com/office/drawing/2014/main" id="{D02F5B4B-D2EE-4F94-8DFA-E3FE6A11B3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" name="TextBox 5">
          <a:extLst>
            <a:ext uri="{FF2B5EF4-FFF2-40B4-BE49-F238E27FC236}">
              <a16:creationId xmlns:a16="http://schemas.microsoft.com/office/drawing/2014/main" id="{3EA3AB04-9561-419A-9271-FB7B9272501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" name="TextBox 6">
          <a:extLst>
            <a:ext uri="{FF2B5EF4-FFF2-40B4-BE49-F238E27FC236}">
              <a16:creationId xmlns:a16="http://schemas.microsoft.com/office/drawing/2014/main" id="{ADF2791A-3670-43F6-9A1F-0EA2A79ADF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" name="TextBox 7">
          <a:extLst>
            <a:ext uri="{FF2B5EF4-FFF2-40B4-BE49-F238E27FC236}">
              <a16:creationId xmlns:a16="http://schemas.microsoft.com/office/drawing/2014/main" id="{0FD00ECD-44D8-42F0-A98D-B870461AC8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" name="TextBox 8">
          <a:extLst>
            <a:ext uri="{FF2B5EF4-FFF2-40B4-BE49-F238E27FC236}">
              <a16:creationId xmlns:a16="http://schemas.microsoft.com/office/drawing/2014/main" id="{E8163F68-7B72-4BB0-B714-32E9B1E73E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" name="TextBox 2">
          <a:extLst>
            <a:ext uri="{FF2B5EF4-FFF2-40B4-BE49-F238E27FC236}">
              <a16:creationId xmlns:a16="http://schemas.microsoft.com/office/drawing/2014/main" id="{CEC153C2-7C34-4463-A831-9445EA07D1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" name="TextBox 4">
          <a:extLst>
            <a:ext uri="{FF2B5EF4-FFF2-40B4-BE49-F238E27FC236}">
              <a16:creationId xmlns:a16="http://schemas.microsoft.com/office/drawing/2014/main" id="{1860B9C5-809C-42E7-BB35-2E91795118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" name="TextBox 5">
          <a:extLst>
            <a:ext uri="{FF2B5EF4-FFF2-40B4-BE49-F238E27FC236}">
              <a16:creationId xmlns:a16="http://schemas.microsoft.com/office/drawing/2014/main" id="{E9353BEE-9914-48FE-9CC9-E31084D3F9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" name="TextBox 6">
          <a:extLst>
            <a:ext uri="{FF2B5EF4-FFF2-40B4-BE49-F238E27FC236}">
              <a16:creationId xmlns:a16="http://schemas.microsoft.com/office/drawing/2014/main" id="{237F6828-5696-47EB-BD21-FB95D1473B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" name="TextBox 7">
          <a:extLst>
            <a:ext uri="{FF2B5EF4-FFF2-40B4-BE49-F238E27FC236}">
              <a16:creationId xmlns:a16="http://schemas.microsoft.com/office/drawing/2014/main" id="{79EC3C02-024F-4ACB-BAC7-EA266837FA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" name="TextBox 8">
          <a:extLst>
            <a:ext uri="{FF2B5EF4-FFF2-40B4-BE49-F238E27FC236}">
              <a16:creationId xmlns:a16="http://schemas.microsoft.com/office/drawing/2014/main" id="{2E7F39A6-17F2-414E-BC18-BDBE633A54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" name="TextBox 2">
          <a:extLst>
            <a:ext uri="{FF2B5EF4-FFF2-40B4-BE49-F238E27FC236}">
              <a16:creationId xmlns:a16="http://schemas.microsoft.com/office/drawing/2014/main" id="{038EEA06-79FF-4633-9411-378283A828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" name="TextBox 4">
          <a:extLst>
            <a:ext uri="{FF2B5EF4-FFF2-40B4-BE49-F238E27FC236}">
              <a16:creationId xmlns:a16="http://schemas.microsoft.com/office/drawing/2014/main" id="{87DFD5E4-F10A-4A6D-8234-62F26BACEF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" name="TextBox 5">
          <a:extLst>
            <a:ext uri="{FF2B5EF4-FFF2-40B4-BE49-F238E27FC236}">
              <a16:creationId xmlns:a16="http://schemas.microsoft.com/office/drawing/2014/main" id="{1908C7DB-06D3-454A-A994-9F4592ED38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" name="TextBox 6">
          <a:extLst>
            <a:ext uri="{FF2B5EF4-FFF2-40B4-BE49-F238E27FC236}">
              <a16:creationId xmlns:a16="http://schemas.microsoft.com/office/drawing/2014/main" id="{64149629-D71E-4C61-9FDB-F71503B32F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" name="TextBox 7">
          <a:extLst>
            <a:ext uri="{FF2B5EF4-FFF2-40B4-BE49-F238E27FC236}">
              <a16:creationId xmlns:a16="http://schemas.microsoft.com/office/drawing/2014/main" id="{38295A2D-CA8A-4102-AE84-A2BDB7F5C3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" name="TextBox 8">
          <a:extLst>
            <a:ext uri="{FF2B5EF4-FFF2-40B4-BE49-F238E27FC236}">
              <a16:creationId xmlns:a16="http://schemas.microsoft.com/office/drawing/2014/main" id="{6AF94141-A4C9-4923-8F6E-60D56A3086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" name="TextBox 2">
          <a:extLst>
            <a:ext uri="{FF2B5EF4-FFF2-40B4-BE49-F238E27FC236}">
              <a16:creationId xmlns:a16="http://schemas.microsoft.com/office/drawing/2014/main" id="{DD8A9C6A-746B-4DAD-B6F6-24AB066EAB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" name="TextBox 4">
          <a:extLst>
            <a:ext uri="{FF2B5EF4-FFF2-40B4-BE49-F238E27FC236}">
              <a16:creationId xmlns:a16="http://schemas.microsoft.com/office/drawing/2014/main" id="{E9D52D07-C580-4AFE-B3A9-04D5078E1C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" name="TextBox 5">
          <a:extLst>
            <a:ext uri="{FF2B5EF4-FFF2-40B4-BE49-F238E27FC236}">
              <a16:creationId xmlns:a16="http://schemas.microsoft.com/office/drawing/2014/main" id="{E3BE3BFA-8C79-47E5-B4E2-4B28852433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" name="TextBox 6">
          <a:extLst>
            <a:ext uri="{FF2B5EF4-FFF2-40B4-BE49-F238E27FC236}">
              <a16:creationId xmlns:a16="http://schemas.microsoft.com/office/drawing/2014/main" id="{BCE6F746-C1E6-4A5D-8A68-CDFCFDD1F1D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" name="TextBox 7">
          <a:extLst>
            <a:ext uri="{FF2B5EF4-FFF2-40B4-BE49-F238E27FC236}">
              <a16:creationId xmlns:a16="http://schemas.microsoft.com/office/drawing/2014/main" id="{244B5F39-062F-4E29-AC6A-1CCA65BF580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" name="TextBox 8">
          <a:extLst>
            <a:ext uri="{FF2B5EF4-FFF2-40B4-BE49-F238E27FC236}">
              <a16:creationId xmlns:a16="http://schemas.microsoft.com/office/drawing/2014/main" id="{98995332-7634-41E5-8EB7-D029E0BF8B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" name="TextBox 2">
          <a:extLst>
            <a:ext uri="{FF2B5EF4-FFF2-40B4-BE49-F238E27FC236}">
              <a16:creationId xmlns:a16="http://schemas.microsoft.com/office/drawing/2014/main" id="{F229FF5A-2D00-4FB0-AA6D-7DD244966F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" name="TextBox 4">
          <a:extLst>
            <a:ext uri="{FF2B5EF4-FFF2-40B4-BE49-F238E27FC236}">
              <a16:creationId xmlns:a16="http://schemas.microsoft.com/office/drawing/2014/main" id="{7434A7CA-78BF-4DED-A446-687A0C06D1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" name="TextBox 5">
          <a:extLst>
            <a:ext uri="{FF2B5EF4-FFF2-40B4-BE49-F238E27FC236}">
              <a16:creationId xmlns:a16="http://schemas.microsoft.com/office/drawing/2014/main" id="{A77A487A-1EC2-4F00-AE59-46140F3930E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" name="TextBox 6">
          <a:extLst>
            <a:ext uri="{FF2B5EF4-FFF2-40B4-BE49-F238E27FC236}">
              <a16:creationId xmlns:a16="http://schemas.microsoft.com/office/drawing/2014/main" id="{E709B7E3-E7B7-4599-BC84-75C904C4B5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" name="TextBox 7">
          <a:extLst>
            <a:ext uri="{FF2B5EF4-FFF2-40B4-BE49-F238E27FC236}">
              <a16:creationId xmlns:a16="http://schemas.microsoft.com/office/drawing/2014/main" id="{F3549618-DAA2-4C02-BC79-DF3F823E3C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" name="TextBox 8">
          <a:extLst>
            <a:ext uri="{FF2B5EF4-FFF2-40B4-BE49-F238E27FC236}">
              <a16:creationId xmlns:a16="http://schemas.microsoft.com/office/drawing/2014/main" id="{F106C29D-AC28-459F-AE09-39E2449A5F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" name="TextBox 2">
          <a:extLst>
            <a:ext uri="{FF2B5EF4-FFF2-40B4-BE49-F238E27FC236}">
              <a16:creationId xmlns:a16="http://schemas.microsoft.com/office/drawing/2014/main" id="{EBE1669C-0E0E-41F2-A9B2-49ADB02613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" name="TextBox 4">
          <a:extLst>
            <a:ext uri="{FF2B5EF4-FFF2-40B4-BE49-F238E27FC236}">
              <a16:creationId xmlns:a16="http://schemas.microsoft.com/office/drawing/2014/main" id="{FE2CFBC1-6817-49F3-928B-067EB040D7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" name="TextBox 5">
          <a:extLst>
            <a:ext uri="{FF2B5EF4-FFF2-40B4-BE49-F238E27FC236}">
              <a16:creationId xmlns:a16="http://schemas.microsoft.com/office/drawing/2014/main" id="{6884AF9A-C621-45F3-8CBB-A1F89D2371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" name="TextBox 6">
          <a:extLst>
            <a:ext uri="{FF2B5EF4-FFF2-40B4-BE49-F238E27FC236}">
              <a16:creationId xmlns:a16="http://schemas.microsoft.com/office/drawing/2014/main" id="{CC34B852-35FA-4CAE-B691-1E57275AC9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" name="TextBox 7">
          <a:extLst>
            <a:ext uri="{FF2B5EF4-FFF2-40B4-BE49-F238E27FC236}">
              <a16:creationId xmlns:a16="http://schemas.microsoft.com/office/drawing/2014/main" id="{FECEFBD4-78BB-4FCE-8F1A-8D02B77807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" name="TextBox 8">
          <a:extLst>
            <a:ext uri="{FF2B5EF4-FFF2-40B4-BE49-F238E27FC236}">
              <a16:creationId xmlns:a16="http://schemas.microsoft.com/office/drawing/2014/main" id="{8577D02E-55F9-46DB-8454-B0D091A749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" name="TextBox 2">
          <a:extLst>
            <a:ext uri="{FF2B5EF4-FFF2-40B4-BE49-F238E27FC236}">
              <a16:creationId xmlns:a16="http://schemas.microsoft.com/office/drawing/2014/main" id="{B9AD5B0F-0CAA-4333-9698-ED892379B7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" name="TextBox 4">
          <a:extLst>
            <a:ext uri="{FF2B5EF4-FFF2-40B4-BE49-F238E27FC236}">
              <a16:creationId xmlns:a16="http://schemas.microsoft.com/office/drawing/2014/main" id="{8F0F0B16-E3A1-4A11-9A59-4CBBD80B45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" name="TextBox 5">
          <a:extLst>
            <a:ext uri="{FF2B5EF4-FFF2-40B4-BE49-F238E27FC236}">
              <a16:creationId xmlns:a16="http://schemas.microsoft.com/office/drawing/2014/main" id="{401810FA-4A8B-4803-A3B2-1457406818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" name="TextBox 6">
          <a:extLst>
            <a:ext uri="{FF2B5EF4-FFF2-40B4-BE49-F238E27FC236}">
              <a16:creationId xmlns:a16="http://schemas.microsoft.com/office/drawing/2014/main" id="{75253C89-D97C-46A7-B6C9-7C7245FCEB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" name="TextBox 7">
          <a:extLst>
            <a:ext uri="{FF2B5EF4-FFF2-40B4-BE49-F238E27FC236}">
              <a16:creationId xmlns:a16="http://schemas.microsoft.com/office/drawing/2014/main" id="{3FE8614C-C8AD-4EDF-BB1D-6A1AC93D53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" name="TextBox 8">
          <a:extLst>
            <a:ext uri="{FF2B5EF4-FFF2-40B4-BE49-F238E27FC236}">
              <a16:creationId xmlns:a16="http://schemas.microsoft.com/office/drawing/2014/main" id="{2BB26BF3-E096-473D-B541-FFC4607F44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" name="TextBox 2">
          <a:extLst>
            <a:ext uri="{FF2B5EF4-FFF2-40B4-BE49-F238E27FC236}">
              <a16:creationId xmlns:a16="http://schemas.microsoft.com/office/drawing/2014/main" id="{3DB4E798-63DE-46E1-A3BE-D46DCD2E00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" name="TextBox 4">
          <a:extLst>
            <a:ext uri="{FF2B5EF4-FFF2-40B4-BE49-F238E27FC236}">
              <a16:creationId xmlns:a16="http://schemas.microsoft.com/office/drawing/2014/main" id="{D799E01A-A3C0-45B0-A04B-5FEE246C80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" name="TextBox 5">
          <a:extLst>
            <a:ext uri="{FF2B5EF4-FFF2-40B4-BE49-F238E27FC236}">
              <a16:creationId xmlns:a16="http://schemas.microsoft.com/office/drawing/2014/main" id="{2068C238-ED8D-44D1-83B8-F97A2AC8CD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" name="TextBox 6">
          <a:extLst>
            <a:ext uri="{FF2B5EF4-FFF2-40B4-BE49-F238E27FC236}">
              <a16:creationId xmlns:a16="http://schemas.microsoft.com/office/drawing/2014/main" id="{53435FFD-7DF5-4AD6-8694-AA629E4F36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" name="TextBox 7">
          <a:extLst>
            <a:ext uri="{FF2B5EF4-FFF2-40B4-BE49-F238E27FC236}">
              <a16:creationId xmlns:a16="http://schemas.microsoft.com/office/drawing/2014/main" id="{0D982ED9-716B-485D-9530-F25423573A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" name="TextBox 8">
          <a:extLst>
            <a:ext uri="{FF2B5EF4-FFF2-40B4-BE49-F238E27FC236}">
              <a16:creationId xmlns:a16="http://schemas.microsoft.com/office/drawing/2014/main" id="{35253231-6A0E-4B76-8A05-7148D6C99B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" name="TextBox 2">
          <a:extLst>
            <a:ext uri="{FF2B5EF4-FFF2-40B4-BE49-F238E27FC236}">
              <a16:creationId xmlns:a16="http://schemas.microsoft.com/office/drawing/2014/main" id="{06727278-32FD-491F-AAAE-0CFD1642F6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" name="TextBox 4">
          <a:extLst>
            <a:ext uri="{FF2B5EF4-FFF2-40B4-BE49-F238E27FC236}">
              <a16:creationId xmlns:a16="http://schemas.microsoft.com/office/drawing/2014/main" id="{20C46411-1B36-49EF-8132-AC0F41E2C4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" name="TextBox 5">
          <a:extLst>
            <a:ext uri="{FF2B5EF4-FFF2-40B4-BE49-F238E27FC236}">
              <a16:creationId xmlns:a16="http://schemas.microsoft.com/office/drawing/2014/main" id="{278EE4F5-BFA4-40F5-A612-C7AC9F7CA2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" name="TextBox 6">
          <a:extLst>
            <a:ext uri="{FF2B5EF4-FFF2-40B4-BE49-F238E27FC236}">
              <a16:creationId xmlns:a16="http://schemas.microsoft.com/office/drawing/2014/main" id="{7B964D92-8D57-4BBB-B947-49FF45A31B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" name="TextBox 7">
          <a:extLst>
            <a:ext uri="{FF2B5EF4-FFF2-40B4-BE49-F238E27FC236}">
              <a16:creationId xmlns:a16="http://schemas.microsoft.com/office/drawing/2014/main" id="{CEF03C7D-CD29-4ED3-97F6-FEE57B19C6B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" name="TextBox 8">
          <a:extLst>
            <a:ext uri="{FF2B5EF4-FFF2-40B4-BE49-F238E27FC236}">
              <a16:creationId xmlns:a16="http://schemas.microsoft.com/office/drawing/2014/main" id="{72FA7667-502C-45A6-AE6B-AEF9031F0A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" name="TextBox 2">
          <a:extLst>
            <a:ext uri="{FF2B5EF4-FFF2-40B4-BE49-F238E27FC236}">
              <a16:creationId xmlns:a16="http://schemas.microsoft.com/office/drawing/2014/main" id="{4B187583-4656-4C72-AC7E-8228FBE702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" name="TextBox 4">
          <a:extLst>
            <a:ext uri="{FF2B5EF4-FFF2-40B4-BE49-F238E27FC236}">
              <a16:creationId xmlns:a16="http://schemas.microsoft.com/office/drawing/2014/main" id="{8C669D8C-292B-4D24-9D3B-42DBC84C65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" name="TextBox 5">
          <a:extLst>
            <a:ext uri="{FF2B5EF4-FFF2-40B4-BE49-F238E27FC236}">
              <a16:creationId xmlns:a16="http://schemas.microsoft.com/office/drawing/2014/main" id="{E5B9E4F2-5EB0-4F3C-9BBF-421B24F328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" name="TextBox 6">
          <a:extLst>
            <a:ext uri="{FF2B5EF4-FFF2-40B4-BE49-F238E27FC236}">
              <a16:creationId xmlns:a16="http://schemas.microsoft.com/office/drawing/2014/main" id="{29B08520-F79A-4810-A4AC-FC8F37A7A4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" name="TextBox 7">
          <a:extLst>
            <a:ext uri="{FF2B5EF4-FFF2-40B4-BE49-F238E27FC236}">
              <a16:creationId xmlns:a16="http://schemas.microsoft.com/office/drawing/2014/main" id="{9C37DCDE-4A3A-4AF7-893C-1CE7BBF8A1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" name="TextBox 8">
          <a:extLst>
            <a:ext uri="{FF2B5EF4-FFF2-40B4-BE49-F238E27FC236}">
              <a16:creationId xmlns:a16="http://schemas.microsoft.com/office/drawing/2014/main" id="{E647B392-C969-4DB1-AB6C-5AAB26D4AF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" name="TextBox 2">
          <a:extLst>
            <a:ext uri="{FF2B5EF4-FFF2-40B4-BE49-F238E27FC236}">
              <a16:creationId xmlns:a16="http://schemas.microsoft.com/office/drawing/2014/main" id="{6FFE49AA-94E0-42DA-8A0F-E245821477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" name="TextBox 4">
          <a:extLst>
            <a:ext uri="{FF2B5EF4-FFF2-40B4-BE49-F238E27FC236}">
              <a16:creationId xmlns:a16="http://schemas.microsoft.com/office/drawing/2014/main" id="{76AAAFE5-1E8B-477F-B3E2-57C7D557C4C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" name="TextBox 5">
          <a:extLst>
            <a:ext uri="{FF2B5EF4-FFF2-40B4-BE49-F238E27FC236}">
              <a16:creationId xmlns:a16="http://schemas.microsoft.com/office/drawing/2014/main" id="{39C47BC5-F675-4A57-A20B-900F3F6D47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" name="TextBox 6">
          <a:extLst>
            <a:ext uri="{FF2B5EF4-FFF2-40B4-BE49-F238E27FC236}">
              <a16:creationId xmlns:a16="http://schemas.microsoft.com/office/drawing/2014/main" id="{C6A264F3-B6C7-45C7-B341-2E97D1E293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" name="TextBox 7">
          <a:extLst>
            <a:ext uri="{FF2B5EF4-FFF2-40B4-BE49-F238E27FC236}">
              <a16:creationId xmlns:a16="http://schemas.microsoft.com/office/drawing/2014/main" id="{184FE49C-91A0-4C3E-B757-1CBF76E656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" name="TextBox 8">
          <a:extLst>
            <a:ext uri="{FF2B5EF4-FFF2-40B4-BE49-F238E27FC236}">
              <a16:creationId xmlns:a16="http://schemas.microsoft.com/office/drawing/2014/main" id="{66A8F88D-491C-473C-A5FB-38D59B1F9A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" name="TextBox 2">
          <a:extLst>
            <a:ext uri="{FF2B5EF4-FFF2-40B4-BE49-F238E27FC236}">
              <a16:creationId xmlns:a16="http://schemas.microsoft.com/office/drawing/2014/main" id="{79059A85-944F-4529-8219-F662C18AFE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" name="TextBox 4">
          <a:extLst>
            <a:ext uri="{FF2B5EF4-FFF2-40B4-BE49-F238E27FC236}">
              <a16:creationId xmlns:a16="http://schemas.microsoft.com/office/drawing/2014/main" id="{0339238C-3BF8-4C4E-B69A-26F80055E2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" name="TextBox 5">
          <a:extLst>
            <a:ext uri="{FF2B5EF4-FFF2-40B4-BE49-F238E27FC236}">
              <a16:creationId xmlns:a16="http://schemas.microsoft.com/office/drawing/2014/main" id="{4480417C-78EF-4946-87EF-50D38360D7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" name="TextBox 6">
          <a:extLst>
            <a:ext uri="{FF2B5EF4-FFF2-40B4-BE49-F238E27FC236}">
              <a16:creationId xmlns:a16="http://schemas.microsoft.com/office/drawing/2014/main" id="{5018B35F-2C3B-4A83-8FD5-5F530D9DF5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" name="TextBox 7">
          <a:extLst>
            <a:ext uri="{FF2B5EF4-FFF2-40B4-BE49-F238E27FC236}">
              <a16:creationId xmlns:a16="http://schemas.microsoft.com/office/drawing/2014/main" id="{9BDAE124-8ED8-43A6-90FA-E22C49E329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" name="TextBox 8">
          <a:extLst>
            <a:ext uri="{FF2B5EF4-FFF2-40B4-BE49-F238E27FC236}">
              <a16:creationId xmlns:a16="http://schemas.microsoft.com/office/drawing/2014/main" id="{98082531-676A-4517-9C07-8B35E0C07E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" name="TextBox 2">
          <a:extLst>
            <a:ext uri="{FF2B5EF4-FFF2-40B4-BE49-F238E27FC236}">
              <a16:creationId xmlns:a16="http://schemas.microsoft.com/office/drawing/2014/main" id="{1B941D3A-C4E6-4885-A1D6-BF61415BAA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" name="TextBox 4">
          <a:extLst>
            <a:ext uri="{FF2B5EF4-FFF2-40B4-BE49-F238E27FC236}">
              <a16:creationId xmlns:a16="http://schemas.microsoft.com/office/drawing/2014/main" id="{0A7F238A-A3DA-46F5-9B06-0BF553DDB2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" name="TextBox 5">
          <a:extLst>
            <a:ext uri="{FF2B5EF4-FFF2-40B4-BE49-F238E27FC236}">
              <a16:creationId xmlns:a16="http://schemas.microsoft.com/office/drawing/2014/main" id="{3E7FDBAD-D907-48BC-9796-0EB386DBD8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" name="TextBox 6">
          <a:extLst>
            <a:ext uri="{FF2B5EF4-FFF2-40B4-BE49-F238E27FC236}">
              <a16:creationId xmlns:a16="http://schemas.microsoft.com/office/drawing/2014/main" id="{0562DBA8-5FC3-4EF1-8F0B-C614D65515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" name="TextBox 7">
          <a:extLst>
            <a:ext uri="{FF2B5EF4-FFF2-40B4-BE49-F238E27FC236}">
              <a16:creationId xmlns:a16="http://schemas.microsoft.com/office/drawing/2014/main" id="{4BDBDAA8-FDEC-48A2-9A5B-941C43BB72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" name="TextBox 8">
          <a:extLst>
            <a:ext uri="{FF2B5EF4-FFF2-40B4-BE49-F238E27FC236}">
              <a16:creationId xmlns:a16="http://schemas.microsoft.com/office/drawing/2014/main" id="{CCB62A66-EE4A-447F-952A-6B9E06AAEC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" name="TextBox 2">
          <a:extLst>
            <a:ext uri="{FF2B5EF4-FFF2-40B4-BE49-F238E27FC236}">
              <a16:creationId xmlns:a16="http://schemas.microsoft.com/office/drawing/2014/main" id="{EEAF975D-4BA7-4C82-A482-7266A3893B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" name="TextBox 4">
          <a:extLst>
            <a:ext uri="{FF2B5EF4-FFF2-40B4-BE49-F238E27FC236}">
              <a16:creationId xmlns:a16="http://schemas.microsoft.com/office/drawing/2014/main" id="{7277928C-68AC-4903-AC39-2758FCF601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" name="TextBox 5">
          <a:extLst>
            <a:ext uri="{FF2B5EF4-FFF2-40B4-BE49-F238E27FC236}">
              <a16:creationId xmlns:a16="http://schemas.microsoft.com/office/drawing/2014/main" id="{B165D78F-739B-4052-AA84-6DB1B8BE84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" name="TextBox 6">
          <a:extLst>
            <a:ext uri="{FF2B5EF4-FFF2-40B4-BE49-F238E27FC236}">
              <a16:creationId xmlns:a16="http://schemas.microsoft.com/office/drawing/2014/main" id="{6CD1642F-7B83-4E0D-9EE7-3FC5261BF7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" name="TextBox 7">
          <a:extLst>
            <a:ext uri="{FF2B5EF4-FFF2-40B4-BE49-F238E27FC236}">
              <a16:creationId xmlns:a16="http://schemas.microsoft.com/office/drawing/2014/main" id="{068AAE8C-295A-40DD-A312-FEE1DB45A9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" name="TextBox 8">
          <a:extLst>
            <a:ext uri="{FF2B5EF4-FFF2-40B4-BE49-F238E27FC236}">
              <a16:creationId xmlns:a16="http://schemas.microsoft.com/office/drawing/2014/main" id="{1C71D4A9-F9E7-45EE-8192-28A92B8A4E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" name="TextBox 2">
          <a:extLst>
            <a:ext uri="{FF2B5EF4-FFF2-40B4-BE49-F238E27FC236}">
              <a16:creationId xmlns:a16="http://schemas.microsoft.com/office/drawing/2014/main" id="{157C906E-6A35-47ED-BEBF-E049B96BF9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" name="TextBox 4">
          <a:extLst>
            <a:ext uri="{FF2B5EF4-FFF2-40B4-BE49-F238E27FC236}">
              <a16:creationId xmlns:a16="http://schemas.microsoft.com/office/drawing/2014/main" id="{488C5A65-8FCA-4040-86CB-C5D6A65888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" name="TextBox 5">
          <a:extLst>
            <a:ext uri="{FF2B5EF4-FFF2-40B4-BE49-F238E27FC236}">
              <a16:creationId xmlns:a16="http://schemas.microsoft.com/office/drawing/2014/main" id="{101E64B7-E1DF-4F2C-A81C-4FD5F99742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" name="TextBox 6">
          <a:extLst>
            <a:ext uri="{FF2B5EF4-FFF2-40B4-BE49-F238E27FC236}">
              <a16:creationId xmlns:a16="http://schemas.microsoft.com/office/drawing/2014/main" id="{3B0ED9D4-64C7-414B-B379-BA06303BE0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" name="TextBox 7">
          <a:extLst>
            <a:ext uri="{FF2B5EF4-FFF2-40B4-BE49-F238E27FC236}">
              <a16:creationId xmlns:a16="http://schemas.microsoft.com/office/drawing/2014/main" id="{A22885B7-03F9-4814-8D53-3F9AC933BB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" name="TextBox 8">
          <a:extLst>
            <a:ext uri="{FF2B5EF4-FFF2-40B4-BE49-F238E27FC236}">
              <a16:creationId xmlns:a16="http://schemas.microsoft.com/office/drawing/2014/main" id="{39E87542-75BC-4A78-8BE4-5DA4FABAF4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" name="TextBox 2">
          <a:extLst>
            <a:ext uri="{FF2B5EF4-FFF2-40B4-BE49-F238E27FC236}">
              <a16:creationId xmlns:a16="http://schemas.microsoft.com/office/drawing/2014/main" id="{26177786-D1DF-4E3D-A5E0-7936981DFA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" name="TextBox 4">
          <a:extLst>
            <a:ext uri="{FF2B5EF4-FFF2-40B4-BE49-F238E27FC236}">
              <a16:creationId xmlns:a16="http://schemas.microsoft.com/office/drawing/2014/main" id="{981D9F31-F70E-499F-8D42-49DC086379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" name="TextBox 5">
          <a:extLst>
            <a:ext uri="{FF2B5EF4-FFF2-40B4-BE49-F238E27FC236}">
              <a16:creationId xmlns:a16="http://schemas.microsoft.com/office/drawing/2014/main" id="{F4EE898D-E27D-4E69-98D5-30F7A6AF59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" name="TextBox 6">
          <a:extLst>
            <a:ext uri="{FF2B5EF4-FFF2-40B4-BE49-F238E27FC236}">
              <a16:creationId xmlns:a16="http://schemas.microsoft.com/office/drawing/2014/main" id="{177E4307-B3A0-492B-AE79-DEC90DB7B3F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" name="TextBox 7">
          <a:extLst>
            <a:ext uri="{FF2B5EF4-FFF2-40B4-BE49-F238E27FC236}">
              <a16:creationId xmlns:a16="http://schemas.microsoft.com/office/drawing/2014/main" id="{2A00C0C6-DC3F-4B13-AC40-AC16617CF9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" name="TextBox 8">
          <a:extLst>
            <a:ext uri="{FF2B5EF4-FFF2-40B4-BE49-F238E27FC236}">
              <a16:creationId xmlns:a16="http://schemas.microsoft.com/office/drawing/2014/main" id="{6AD8F3A0-7A71-4DB2-8762-094B2C24AD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" name="TextBox 2">
          <a:extLst>
            <a:ext uri="{FF2B5EF4-FFF2-40B4-BE49-F238E27FC236}">
              <a16:creationId xmlns:a16="http://schemas.microsoft.com/office/drawing/2014/main" id="{80CA6C95-70C9-4112-A351-41BC42CCAF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" name="TextBox 4">
          <a:extLst>
            <a:ext uri="{FF2B5EF4-FFF2-40B4-BE49-F238E27FC236}">
              <a16:creationId xmlns:a16="http://schemas.microsoft.com/office/drawing/2014/main" id="{B1412623-C33B-42A0-8405-31BA2428473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" name="TextBox 5">
          <a:extLst>
            <a:ext uri="{FF2B5EF4-FFF2-40B4-BE49-F238E27FC236}">
              <a16:creationId xmlns:a16="http://schemas.microsoft.com/office/drawing/2014/main" id="{0F1CE5DC-5D92-4069-B2BA-744CC44F4C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" name="TextBox 6">
          <a:extLst>
            <a:ext uri="{FF2B5EF4-FFF2-40B4-BE49-F238E27FC236}">
              <a16:creationId xmlns:a16="http://schemas.microsoft.com/office/drawing/2014/main" id="{C01FFD3C-4A63-4D75-9F51-5A8191F76C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" name="TextBox 7">
          <a:extLst>
            <a:ext uri="{FF2B5EF4-FFF2-40B4-BE49-F238E27FC236}">
              <a16:creationId xmlns:a16="http://schemas.microsoft.com/office/drawing/2014/main" id="{4134CADC-992D-4AFF-B3A5-B22353E67F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" name="TextBox 8">
          <a:extLst>
            <a:ext uri="{FF2B5EF4-FFF2-40B4-BE49-F238E27FC236}">
              <a16:creationId xmlns:a16="http://schemas.microsoft.com/office/drawing/2014/main" id="{7326269D-891C-4B54-9B58-2D57C53ABF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" name="TextBox 2">
          <a:extLst>
            <a:ext uri="{FF2B5EF4-FFF2-40B4-BE49-F238E27FC236}">
              <a16:creationId xmlns:a16="http://schemas.microsoft.com/office/drawing/2014/main" id="{75B1D503-379E-4A5D-9284-371908D9E9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" name="TextBox 4">
          <a:extLst>
            <a:ext uri="{FF2B5EF4-FFF2-40B4-BE49-F238E27FC236}">
              <a16:creationId xmlns:a16="http://schemas.microsoft.com/office/drawing/2014/main" id="{8AC0BC2A-54E2-43F3-BB59-FEBAB228C6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" name="TextBox 5">
          <a:extLst>
            <a:ext uri="{FF2B5EF4-FFF2-40B4-BE49-F238E27FC236}">
              <a16:creationId xmlns:a16="http://schemas.microsoft.com/office/drawing/2014/main" id="{49438C4D-4F29-4630-B692-BE41EF7958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" name="TextBox 6">
          <a:extLst>
            <a:ext uri="{FF2B5EF4-FFF2-40B4-BE49-F238E27FC236}">
              <a16:creationId xmlns:a16="http://schemas.microsoft.com/office/drawing/2014/main" id="{85935AAE-AF38-4F41-AD9C-E43D6A6FCF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" name="TextBox 7">
          <a:extLst>
            <a:ext uri="{FF2B5EF4-FFF2-40B4-BE49-F238E27FC236}">
              <a16:creationId xmlns:a16="http://schemas.microsoft.com/office/drawing/2014/main" id="{997B6BD2-40B1-44D4-92DF-EDB7E71ABD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" name="TextBox 8">
          <a:extLst>
            <a:ext uri="{FF2B5EF4-FFF2-40B4-BE49-F238E27FC236}">
              <a16:creationId xmlns:a16="http://schemas.microsoft.com/office/drawing/2014/main" id="{1A358CEE-A013-4ECD-8238-92AAE3887F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" name="TextBox 2">
          <a:extLst>
            <a:ext uri="{FF2B5EF4-FFF2-40B4-BE49-F238E27FC236}">
              <a16:creationId xmlns:a16="http://schemas.microsoft.com/office/drawing/2014/main" id="{9139929A-FA2C-4558-AA86-ECEC6BB5AD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" name="TextBox 4">
          <a:extLst>
            <a:ext uri="{FF2B5EF4-FFF2-40B4-BE49-F238E27FC236}">
              <a16:creationId xmlns:a16="http://schemas.microsoft.com/office/drawing/2014/main" id="{ACA10258-BD15-4117-B95E-078E5975B0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" name="TextBox 5">
          <a:extLst>
            <a:ext uri="{FF2B5EF4-FFF2-40B4-BE49-F238E27FC236}">
              <a16:creationId xmlns:a16="http://schemas.microsoft.com/office/drawing/2014/main" id="{18F410DD-96D3-4A77-A817-4546EB7829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" name="TextBox 6">
          <a:extLst>
            <a:ext uri="{FF2B5EF4-FFF2-40B4-BE49-F238E27FC236}">
              <a16:creationId xmlns:a16="http://schemas.microsoft.com/office/drawing/2014/main" id="{2A6D5F48-0819-4A53-9131-9F1EB2F88E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" name="TextBox 7">
          <a:extLst>
            <a:ext uri="{FF2B5EF4-FFF2-40B4-BE49-F238E27FC236}">
              <a16:creationId xmlns:a16="http://schemas.microsoft.com/office/drawing/2014/main" id="{1EBAEE29-9D2C-47C0-9D6C-044DF94287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" name="TextBox 8">
          <a:extLst>
            <a:ext uri="{FF2B5EF4-FFF2-40B4-BE49-F238E27FC236}">
              <a16:creationId xmlns:a16="http://schemas.microsoft.com/office/drawing/2014/main" id="{F32642CE-EDE8-4F21-8994-CE5DF05DA0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" name="TextBox 2">
          <a:extLst>
            <a:ext uri="{FF2B5EF4-FFF2-40B4-BE49-F238E27FC236}">
              <a16:creationId xmlns:a16="http://schemas.microsoft.com/office/drawing/2014/main" id="{E055F6DE-2C5A-423F-9DF5-BFDCA4B41A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" name="TextBox 4">
          <a:extLst>
            <a:ext uri="{FF2B5EF4-FFF2-40B4-BE49-F238E27FC236}">
              <a16:creationId xmlns:a16="http://schemas.microsoft.com/office/drawing/2014/main" id="{CE3EE158-FE28-418F-A0C3-2F1050DDAA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" name="TextBox 5">
          <a:extLst>
            <a:ext uri="{FF2B5EF4-FFF2-40B4-BE49-F238E27FC236}">
              <a16:creationId xmlns:a16="http://schemas.microsoft.com/office/drawing/2014/main" id="{D189E894-AA0F-46D8-A6E8-A889163C921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" name="TextBox 6">
          <a:extLst>
            <a:ext uri="{FF2B5EF4-FFF2-40B4-BE49-F238E27FC236}">
              <a16:creationId xmlns:a16="http://schemas.microsoft.com/office/drawing/2014/main" id="{F5376E14-FCFE-452A-8712-6C7CD7FAA7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" name="TextBox 7">
          <a:extLst>
            <a:ext uri="{FF2B5EF4-FFF2-40B4-BE49-F238E27FC236}">
              <a16:creationId xmlns:a16="http://schemas.microsoft.com/office/drawing/2014/main" id="{0AB093FF-F3FC-4E2A-B065-52FE2BDA43D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" name="TextBox 8">
          <a:extLst>
            <a:ext uri="{FF2B5EF4-FFF2-40B4-BE49-F238E27FC236}">
              <a16:creationId xmlns:a16="http://schemas.microsoft.com/office/drawing/2014/main" id="{9BB11AA9-2BEC-49C4-B2B4-E27865DBE0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" name="TextBox 2">
          <a:extLst>
            <a:ext uri="{FF2B5EF4-FFF2-40B4-BE49-F238E27FC236}">
              <a16:creationId xmlns:a16="http://schemas.microsoft.com/office/drawing/2014/main" id="{A5E53AA5-2FF3-4B0E-8FAC-2FE25D9C95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" name="TextBox 4">
          <a:extLst>
            <a:ext uri="{FF2B5EF4-FFF2-40B4-BE49-F238E27FC236}">
              <a16:creationId xmlns:a16="http://schemas.microsoft.com/office/drawing/2014/main" id="{A77D3888-5084-441D-B33C-11EE8E4584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" name="TextBox 5">
          <a:extLst>
            <a:ext uri="{FF2B5EF4-FFF2-40B4-BE49-F238E27FC236}">
              <a16:creationId xmlns:a16="http://schemas.microsoft.com/office/drawing/2014/main" id="{ADEF3DE5-75EF-47E9-8A0E-CF64CE5952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" name="TextBox 6">
          <a:extLst>
            <a:ext uri="{FF2B5EF4-FFF2-40B4-BE49-F238E27FC236}">
              <a16:creationId xmlns:a16="http://schemas.microsoft.com/office/drawing/2014/main" id="{C9AFB3FD-FA8E-42D2-8BA3-B2ACE38C4C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" name="TextBox 7">
          <a:extLst>
            <a:ext uri="{FF2B5EF4-FFF2-40B4-BE49-F238E27FC236}">
              <a16:creationId xmlns:a16="http://schemas.microsoft.com/office/drawing/2014/main" id="{EDFE6CCA-58ED-48CD-AAC5-A95E59C3BB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" name="TextBox 8">
          <a:extLst>
            <a:ext uri="{FF2B5EF4-FFF2-40B4-BE49-F238E27FC236}">
              <a16:creationId xmlns:a16="http://schemas.microsoft.com/office/drawing/2014/main" id="{2790646E-5E2C-4CC8-825A-D6625F553F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" name="TextBox 2">
          <a:extLst>
            <a:ext uri="{FF2B5EF4-FFF2-40B4-BE49-F238E27FC236}">
              <a16:creationId xmlns:a16="http://schemas.microsoft.com/office/drawing/2014/main" id="{0B46DAA7-605C-4293-8178-49BA3A9C8E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" name="TextBox 4">
          <a:extLst>
            <a:ext uri="{FF2B5EF4-FFF2-40B4-BE49-F238E27FC236}">
              <a16:creationId xmlns:a16="http://schemas.microsoft.com/office/drawing/2014/main" id="{3890A305-EC17-40E6-922B-08AA154E74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" name="TextBox 5">
          <a:extLst>
            <a:ext uri="{FF2B5EF4-FFF2-40B4-BE49-F238E27FC236}">
              <a16:creationId xmlns:a16="http://schemas.microsoft.com/office/drawing/2014/main" id="{654B59C0-FF1E-4CAF-8324-4CA9816068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" name="TextBox 6">
          <a:extLst>
            <a:ext uri="{FF2B5EF4-FFF2-40B4-BE49-F238E27FC236}">
              <a16:creationId xmlns:a16="http://schemas.microsoft.com/office/drawing/2014/main" id="{C5E29E77-F94C-484C-9D54-F4587C39ABE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" name="TextBox 7">
          <a:extLst>
            <a:ext uri="{FF2B5EF4-FFF2-40B4-BE49-F238E27FC236}">
              <a16:creationId xmlns:a16="http://schemas.microsoft.com/office/drawing/2014/main" id="{E06B17CF-A208-4AB3-AB97-9C04FB72A9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" name="TextBox 8">
          <a:extLst>
            <a:ext uri="{FF2B5EF4-FFF2-40B4-BE49-F238E27FC236}">
              <a16:creationId xmlns:a16="http://schemas.microsoft.com/office/drawing/2014/main" id="{BD9BE2E8-72F9-4DFB-A139-06BEDF54B3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" name="TextBox 2">
          <a:extLst>
            <a:ext uri="{FF2B5EF4-FFF2-40B4-BE49-F238E27FC236}">
              <a16:creationId xmlns:a16="http://schemas.microsoft.com/office/drawing/2014/main" id="{E1BC7991-AF40-44E9-809E-88B1FD3F12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" name="TextBox 4">
          <a:extLst>
            <a:ext uri="{FF2B5EF4-FFF2-40B4-BE49-F238E27FC236}">
              <a16:creationId xmlns:a16="http://schemas.microsoft.com/office/drawing/2014/main" id="{53E90337-E3E8-43EF-915F-5DA81C9AFB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" name="TextBox 5">
          <a:extLst>
            <a:ext uri="{FF2B5EF4-FFF2-40B4-BE49-F238E27FC236}">
              <a16:creationId xmlns:a16="http://schemas.microsoft.com/office/drawing/2014/main" id="{6C372952-031A-478B-AD67-2C423ADABE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" name="TextBox 6">
          <a:extLst>
            <a:ext uri="{FF2B5EF4-FFF2-40B4-BE49-F238E27FC236}">
              <a16:creationId xmlns:a16="http://schemas.microsoft.com/office/drawing/2014/main" id="{0396BDE5-4696-43AC-BB4F-EC5008D392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" name="TextBox 7">
          <a:extLst>
            <a:ext uri="{FF2B5EF4-FFF2-40B4-BE49-F238E27FC236}">
              <a16:creationId xmlns:a16="http://schemas.microsoft.com/office/drawing/2014/main" id="{34542E58-2B01-46A0-9F13-BEA473AA6C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" name="TextBox 8">
          <a:extLst>
            <a:ext uri="{FF2B5EF4-FFF2-40B4-BE49-F238E27FC236}">
              <a16:creationId xmlns:a16="http://schemas.microsoft.com/office/drawing/2014/main" id="{F5565D4F-6948-4285-ABBA-2527690EA7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" name="TextBox 2">
          <a:extLst>
            <a:ext uri="{FF2B5EF4-FFF2-40B4-BE49-F238E27FC236}">
              <a16:creationId xmlns:a16="http://schemas.microsoft.com/office/drawing/2014/main" id="{25F1A81F-850D-443F-9E6D-6C483F7D28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" name="TextBox 4">
          <a:extLst>
            <a:ext uri="{FF2B5EF4-FFF2-40B4-BE49-F238E27FC236}">
              <a16:creationId xmlns:a16="http://schemas.microsoft.com/office/drawing/2014/main" id="{B32D455C-1596-4DF5-A960-F9B028FA80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" name="TextBox 5">
          <a:extLst>
            <a:ext uri="{FF2B5EF4-FFF2-40B4-BE49-F238E27FC236}">
              <a16:creationId xmlns:a16="http://schemas.microsoft.com/office/drawing/2014/main" id="{2D42B994-C98D-4A60-99BF-24FAB02443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" name="TextBox 6">
          <a:extLst>
            <a:ext uri="{FF2B5EF4-FFF2-40B4-BE49-F238E27FC236}">
              <a16:creationId xmlns:a16="http://schemas.microsoft.com/office/drawing/2014/main" id="{A7E112F0-C245-4918-B1BC-5F2EA0672F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" name="TextBox 7">
          <a:extLst>
            <a:ext uri="{FF2B5EF4-FFF2-40B4-BE49-F238E27FC236}">
              <a16:creationId xmlns:a16="http://schemas.microsoft.com/office/drawing/2014/main" id="{DC00D3F6-B2E2-4E7A-AC62-B6AF5F093B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" name="TextBox 8">
          <a:extLst>
            <a:ext uri="{FF2B5EF4-FFF2-40B4-BE49-F238E27FC236}">
              <a16:creationId xmlns:a16="http://schemas.microsoft.com/office/drawing/2014/main" id="{DB00092D-8377-46C3-9C7E-9E230A4556E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" name="TextBox 2">
          <a:extLst>
            <a:ext uri="{FF2B5EF4-FFF2-40B4-BE49-F238E27FC236}">
              <a16:creationId xmlns:a16="http://schemas.microsoft.com/office/drawing/2014/main" id="{4796999C-49C1-4206-A539-D0F19CF524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" name="TextBox 4">
          <a:extLst>
            <a:ext uri="{FF2B5EF4-FFF2-40B4-BE49-F238E27FC236}">
              <a16:creationId xmlns:a16="http://schemas.microsoft.com/office/drawing/2014/main" id="{FBA0EB84-AB66-4B91-ACD6-043920CC1A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" name="TextBox 5">
          <a:extLst>
            <a:ext uri="{FF2B5EF4-FFF2-40B4-BE49-F238E27FC236}">
              <a16:creationId xmlns:a16="http://schemas.microsoft.com/office/drawing/2014/main" id="{82040490-5FCB-4202-9F68-4226E014DA3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" name="TextBox 6">
          <a:extLst>
            <a:ext uri="{FF2B5EF4-FFF2-40B4-BE49-F238E27FC236}">
              <a16:creationId xmlns:a16="http://schemas.microsoft.com/office/drawing/2014/main" id="{F7030F4C-287D-4A77-8ED9-439672BEE9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" name="TextBox 7">
          <a:extLst>
            <a:ext uri="{FF2B5EF4-FFF2-40B4-BE49-F238E27FC236}">
              <a16:creationId xmlns:a16="http://schemas.microsoft.com/office/drawing/2014/main" id="{E409B660-B102-41FE-8732-B5B4DA9DCF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" name="TextBox 8">
          <a:extLst>
            <a:ext uri="{FF2B5EF4-FFF2-40B4-BE49-F238E27FC236}">
              <a16:creationId xmlns:a16="http://schemas.microsoft.com/office/drawing/2014/main" id="{4C985232-F016-4AE9-A5FB-AA9D1E9836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" name="TextBox 2">
          <a:extLst>
            <a:ext uri="{FF2B5EF4-FFF2-40B4-BE49-F238E27FC236}">
              <a16:creationId xmlns:a16="http://schemas.microsoft.com/office/drawing/2014/main" id="{6DEF6ACD-9F2D-4E8F-88FC-0763D0B42C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" name="TextBox 4">
          <a:extLst>
            <a:ext uri="{FF2B5EF4-FFF2-40B4-BE49-F238E27FC236}">
              <a16:creationId xmlns:a16="http://schemas.microsoft.com/office/drawing/2014/main" id="{03ED8AE9-6DD0-4FC3-A241-08F62745DD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" name="TextBox 5">
          <a:extLst>
            <a:ext uri="{FF2B5EF4-FFF2-40B4-BE49-F238E27FC236}">
              <a16:creationId xmlns:a16="http://schemas.microsoft.com/office/drawing/2014/main" id="{8BDB942A-BEFB-42DC-B1AC-04DF172556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" name="TextBox 6">
          <a:extLst>
            <a:ext uri="{FF2B5EF4-FFF2-40B4-BE49-F238E27FC236}">
              <a16:creationId xmlns:a16="http://schemas.microsoft.com/office/drawing/2014/main" id="{7FC1514F-05FF-4FBC-8AE2-561FD111A1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" name="TextBox 7">
          <a:extLst>
            <a:ext uri="{FF2B5EF4-FFF2-40B4-BE49-F238E27FC236}">
              <a16:creationId xmlns:a16="http://schemas.microsoft.com/office/drawing/2014/main" id="{C20B0356-C08D-474A-8BC6-87AF8422D4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" name="TextBox 8">
          <a:extLst>
            <a:ext uri="{FF2B5EF4-FFF2-40B4-BE49-F238E27FC236}">
              <a16:creationId xmlns:a16="http://schemas.microsoft.com/office/drawing/2014/main" id="{68AA968A-6FC0-4C59-8915-0514239EB3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" name="TextBox 2">
          <a:extLst>
            <a:ext uri="{FF2B5EF4-FFF2-40B4-BE49-F238E27FC236}">
              <a16:creationId xmlns:a16="http://schemas.microsoft.com/office/drawing/2014/main" id="{BBA6E90E-1BAD-4C07-A851-3FF312B70FC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" name="TextBox 4">
          <a:extLst>
            <a:ext uri="{FF2B5EF4-FFF2-40B4-BE49-F238E27FC236}">
              <a16:creationId xmlns:a16="http://schemas.microsoft.com/office/drawing/2014/main" id="{267E1EC7-8795-4985-8A60-7BBF693199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" name="TextBox 5">
          <a:extLst>
            <a:ext uri="{FF2B5EF4-FFF2-40B4-BE49-F238E27FC236}">
              <a16:creationId xmlns:a16="http://schemas.microsoft.com/office/drawing/2014/main" id="{7AE01573-9AD1-4C97-9874-0D7264FA4A6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" name="TextBox 6">
          <a:extLst>
            <a:ext uri="{FF2B5EF4-FFF2-40B4-BE49-F238E27FC236}">
              <a16:creationId xmlns:a16="http://schemas.microsoft.com/office/drawing/2014/main" id="{37DE35E9-B0A5-4694-AFD3-3146A18F9A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" name="TextBox 7">
          <a:extLst>
            <a:ext uri="{FF2B5EF4-FFF2-40B4-BE49-F238E27FC236}">
              <a16:creationId xmlns:a16="http://schemas.microsoft.com/office/drawing/2014/main" id="{81DCD17A-952E-45A9-A5B8-C586846CAB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" name="TextBox 8">
          <a:extLst>
            <a:ext uri="{FF2B5EF4-FFF2-40B4-BE49-F238E27FC236}">
              <a16:creationId xmlns:a16="http://schemas.microsoft.com/office/drawing/2014/main" id="{74934F4B-0969-4566-9B70-6EE3B76729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" name="TextBox 2">
          <a:extLst>
            <a:ext uri="{FF2B5EF4-FFF2-40B4-BE49-F238E27FC236}">
              <a16:creationId xmlns:a16="http://schemas.microsoft.com/office/drawing/2014/main" id="{A189C7B5-41DA-4E2D-B601-3A46E0A6755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" name="TextBox 4">
          <a:extLst>
            <a:ext uri="{FF2B5EF4-FFF2-40B4-BE49-F238E27FC236}">
              <a16:creationId xmlns:a16="http://schemas.microsoft.com/office/drawing/2014/main" id="{27F0B21E-69C5-4211-B94F-45965C5C11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" name="TextBox 5">
          <a:extLst>
            <a:ext uri="{FF2B5EF4-FFF2-40B4-BE49-F238E27FC236}">
              <a16:creationId xmlns:a16="http://schemas.microsoft.com/office/drawing/2014/main" id="{D79B3276-D20F-4F15-AA1E-8665DC716E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" name="TextBox 6">
          <a:extLst>
            <a:ext uri="{FF2B5EF4-FFF2-40B4-BE49-F238E27FC236}">
              <a16:creationId xmlns:a16="http://schemas.microsoft.com/office/drawing/2014/main" id="{84FBF649-A7BD-4366-A764-E75ACDF72C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" name="TextBox 7">
          <a:extLst>
            <a:ext uri="{FF2B5EF4-FFF2-40B4-BE49-F238E27FC236}">
              <a16:creationId xmlns:a16="http://schemas.microsoft.com/office/drawing/2014/main" id="{0A47AB67-A3B3-4950-8468-CCF5AD2129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" name="TextBox 8">
          <a:extLst>
            <a:ext uri="{FF2B5EF4-FFF2-40B4-BE49-F238E27FC236}">
              <a16:creationId xmlns:a16="http://schemas.microsoft.com/office/drawing/2014/main" id="{BC0C73AD-A46D-4F93-95F0-05B0EFB00B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" name="TextBox 2">
          <a:extLst>
            <a:ext uri="{FF2B5EF4-FFF2-40B4-BE49-F238E27FC236}">
              <a16:creationId xmlns:a16="http://schemas.microsoft.com/office/drawing/2014/main" id="{C55358E7-3F34-4BEA-9EB3-68AD422826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" name="TextBox 4">
          <a:extLst>
            <a:ext uri="{FF2B5EF4-FFF2-40B4-BE49-F238E27FC236}">
              <a16:creationId xmlns:a16="http://schemas.microsoft.com/office/drawing/2014/main" id="{C8041A8C-26BD-436F-AD5C-02F8936DC5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" name="TextBox 5">
          <a:extLst>
            <a:ext uri="{FF2B5EF4-FFF2-40B4-BE49-F238E27FC236}">
              <a16:creationId xmlns:a16="http://schemas.microsoft.com/office/drawing/2014/main" id="{24D45932-27D0-4A86-8557-BCF84BF627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" name="TextBox 6">
          <a:extLst>
            <a:ext uri="{FF2B5EF4-FFF2-40B4-BE49-F238E27FC236}">
              <a16:creationId xmlns:a16="http://schemas.microsoft.com/office/drawing/2014/main" id="{1F3833A1-FF08-470C-BAAA-225A85594E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" name="TextBox 7">
          <a:extLst>
            <a:ext uri="{FF2B5EF4-FFF2-40B4-BE49-F238E27FC236}">
              <a16:creationId xmlns:a16="http://schemas.microsoft.com/office/drawing/2014/main" id="{A9232288-D6A1-4BA5-A223-E6D092498D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" name="TextBox 8">
          <a:extLst>
            <a:ext uri="{FF2B5EF4-FFF2-40B4-BE49-F238E27FC236}">
              <a16:creationId xmlns:a16="http://schemas.microsoft.com/office/drawing/2014/main" id="{9E93F1F8-60EB-464B-B34F-CFB6109C5A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" name="TextBox 2">
          <a:extLst>
            <a:ext uri="{FF2B5EF4-FFF2-40B4-BE49-F238E27FC236}">
              <a16:creationId xmlns:a16="http://schemas.microsoft.com/office/drawing/2014/main" id="{3E80D182-8D27-48F1-84E9-B7EE73C24A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" name="TextBox 4">
          <a:extLst>
            <a:ext uri="{FF2B5EF4-FFF2-40B4-BE49-F238E27FC236}">
              <a16:creationId xmlns:a16="http://schemas.microsoft.com/office/drawing/2014/main" id="{5EC0EF81-E998-4948-B6BE-4B5E55697B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" name="TextBox 5">
          <a:extLst>
            <a:ext uri="{FF2B5EF4-FFF2-40B4-BE49-F238E27FC236}">
              <a16:creationId xmlns:a16="http://schemas.microsoft.com/office/drawing/2014/main" id="{3824F183-DBFD-4BD5-A495-E5337C0ADA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" name="TextBox 6">
          <a:extLst>
            <a:ext uri="{FF2B5EF4-FFF2-40B4-BE49-F238E27FC236}">
              <a16:creationId xmlns:a16="http://schemas.microsoft.com/office/drawing/2014/main" id="{9B3F41CB-2E0D-4FF6-B898-08F37B9671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" name="TextBox 7">
          <a:extLst>
            <a:ext uri="{FF2B5EF4-FFF2-40B4-BE49-F238E27FC236}">
              <a16:creationId xmlns:a16="http://schemas.microsoft.com/office/drawing/2014/main" id="{2B4CB0AC-F3F6-41BD-979C-77119D1410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" name="TextBox 8">
          <a:extLst>
            <a:ext uri="{FF2B5EF4-FFF2-40B4-BE49-F238E27FC236}">
              <a16:creationId xmlns:a16="http://schemas.microsoft.com/office/drawing/2014/main" id="{CD07078B-BC80-4704-A7E4-45829312E8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" name="TextBox 2">
          <a:extLst>
            <a:ext uri="{FF2B5EF4-FFF2-40B4-BE49-F238E27FC236}">
              <a16:creationId xmlns:a16="http://schemas.microsoft.com/office/drawing/2014/main" id="{D5EAA76A-DF7D-4007-AD9D-60DCDAA2AE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" name="TextBox 4">
          <a:extLst>
            <a:ext uri="{FF2B5EF4-FFF2-40B4-BE49-F238E27FC236}">
              <a16:creationId xmlns:a16="http://schemas.microsoft.com/office/drawing/2014/main" id="{219B1FEE-7DFE-45BA-90A4-3255760FC9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" name="TextBox 5">
          <a:extLst>
            <a:ext uri="{FF2B5EF4-FFF2-40B4-BE49-F238E27FC236}">
              <a16:creationId xmlns:a16="http://schemas.microsoft.com/office/drawing/2014/main" id="{D3646915-E280-46C1-9145-2BA268B57C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" name="TextBox 6">
          <a:extLst>
            <a:ext uri="{FF2B5EF4-FFF2-40B4-BE49-F238E27FC236}">
              <a16:creationId xmlns:a16="http://schemas.microsoft.com/office/drawing/2014/main" id="{1DDD1B43-2B66-4653-A5C1-33A78EE6D4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" name="TextBox 7">
          <a:extLst>
            <a:ext uri="{FF2B5EF4-FFF2-40B4-BE49-F238E27FC236}">
              <a16:creationId xmlns:a16="http://schemas.microsoft.com/office/drawing/2014/main" id="{B34DC22F-0DE0-4A1B-AA31-2E60C5BB05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" name="TextBox 8">
          <a:extLst>
            <a:ext uri="{FF2B5EF4-FFF2-40B4-BE49-F238E27FC236}">
              <a16:creationId xmlns:a16="http://schemas.microsoft.com/office/drawing/2014/main" id="{A501017C-AF3F-4587-9F79-26AEC16B5C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" name="TextBox 2">
          <a:extLst>
            <a:ext uri="{FF2B5EF4-FFF2-40B4-BE49-F238E27FC236}">
              <a16:creationId xmlns:a16="http://schemas.microsoft.com/office/drawing/2014/main" id="{3F69CF1F-D675-46F1-9DA7-9EC559A4EB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" name="TextBox 4">
          <a:extLst>
            <a:ext uri="{FF2B5EF4-FFF2-40B4-BE49-F238E27FC236}">
              <a16:creationId xmlns:a16="http://schemas.microsoft.com/office/drawing/2014/main" id="{59E10B79-E2A9-4484-B3C8-471D3E5579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" name="TextBox 5">
          <a:extLst>
            <a:ext uri="{FF2B5EF4-FFF2-40B4-BE49-F238E27FC236}">
              <a16:creationId xmlns:a16="http://schemas.microsoft.com/office/drawing/2014/main" id="{FBE461DA-12A0-46CE-AB99-1DC0EA4831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" name="TextBox 6">
          <a:extLst>
            <a:ext uri="{FF2B5EF4-FFF2-40B4-BE49-F238E27FC236}">
              <a16:creationId xmlns:a16="http://schemas.microsoft.com/office/drawing/2014/main" id="{AC25CCFF-82E2-4205-9350-355A033784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" name="TextBox 7">
          <a:extLst>
            <a:ext uri="{FF2B5EF4-FFF2-40B4-BE49-F238E27FC236}">
              <a16:creationId xmlns:a16="http://schemas.microsoft.com/office/drawing/2014/main" id="{357D10C1-3E37-4373-BE8E-3AAD4BB46B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" name="TextBox 8">
          <a:extLst>
            <a:ext uri="{FF2B5EF4-FFF2-40B4-BE49-F238E27FC236}">
              <a16:creationId xmlns:a16="http://schemas.microsoft.com/office/drawing/2014/main" id="{EEAF9D1F-65B7-4127-BCB2-7591D07ECF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" name="TextBox 2">
          <a:extLst>
            <a:ext uri="{FF2B5EF4-FFF2-40B4-BE49-F238E27FC236}">
              <a16:creationId xmlns:a16="http://schemas.microsoft.com/office/drawing/2014/main" id="{1C1D8C71-7FFF-436F-A89D-E2D90524E7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" name="TextBox 4">
          <a:extLst>
            <a:ext uri="{FF2B5EF4-FFF2-40B4-BE49-F238E27FC236}">
              <a16:creationId xmlns:a16="http://schemas.microsoft.com/office/drawing/2014/main" id="{E3B8504D-1325-4284-AAE9-52B091390F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" name="TextBox 5">
          <a:extLst>
            <a:ext uri="{FF2B5EF4-FFF2-40B4-BE49-F238E27FC236}">
              <a16:creationId xmlns:a16="http://schemas.microsoft.com/office/drawing/2014/main" id="{952AA506-4698-4A7C-AA6F-E263FB0286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" name="TextBox 6">
          <a:extLst>
            <a:ext uri="{FF2B5EF4-FFF2-40B4-BE49-F238E27FC236}">
              <a16:creationId xmlns:a16="http://schemas.microsoft.com/office/drawing/2014/main" id="{B576BBEC-6735-4E1D-8E1A-661911B9AD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" name="TextBox 7">
          <a:extLst>
            <a:ext uri="{FF2B5EF4-FFF2-40B4-BE49-F238E27FC236}">
              <a16:creationId xmlns:a16="http://schemas.microsoft.com/office/drawing/2014/main" id="{97A61321-E5B3-406A-A51C-226C8DB726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" name="TextBox 8">
          <a:extLst>
            <a:ext uri="{FF2B5EF4-FFF2-40B4-BE49-F238E27FC236}">
              <a16:creationId xmlns:a16="http://schemas.microsoft.com/office/drawing/2014/main" id="{F30718E1-6034-4462-84CE-D461C154E2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" name="TextBox 2">
          <a:extLst>
            <a:ext uri="{FF2B5EF4-FFF2-40B4-BE49-F238E27FC236}">
              <a16:creationId xmlns:a16="http://schemas.microsoft.com/office/drawing/2014/main" id="{D16EDF77-8943-4808-A3BD-F83D962758A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" name="TextBox 4">
          <a:extLst>
            <a:ext uri="{FF2B5EF4-FFF2-40B4-BE49-F238E27FC236}">
              <a16:creationId xmlns:a16="http://schemas.microsoft.com/office/drawing/2014/main" id="{12C4B9E9-AFC8-4754-B611-3EE4F3A4EB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" name="TextBox 5">
          <a:extLst>
            <a:ext uri="{FF2B5EF4-FFF2-40B4-BE49-F238E27FC236}">
              <a16:creationId xmlns:a16="http://schemas.microsoft.com/office/drawing/2014/main" id="{4926C913-1FBE-4A6E-88D0-B102B56571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" name="TextBox 6">
          <a:extLst>
            <a:ext uri="{FF2B5EF4-FFF2-40B4-BE49-F238E27FC236}">
              <a16:creationId xmlns:a16="http://schemas.microsoft.com/office/drawing/2014/main" id="{4CBDEE19-E741-4E66-B098-E2A2E84D32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" name="TextBox 7">
          <a:extLst>
            <a:ext uri="{FF2B5EF4-FFF2-40B4-BE49-F238E27FC236}">
              <a16:creationId xmlns:a16="http://schemas.microsoft.com/office/drawing/2014/main" id="{C4D8D58A-1A41-4B3B-B4DC-9AE5F745C0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" name="TextBox 8">
          <a:extLst>
            <a:ext uri="{FF2B5EF4-FFF2-40B4-BE49-F238E27FC236}">
              <a16:creationId xmlns:a16="http://schemas.microsoft.com/office/drawing/2014/main" id="{9EE41173-2B88-4129-9962-5A651E1286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" name="TextBox 2">
          <a:extLst>
            <a:ext uri="{FF2B5EF4-FFF2-40B4-BE49-F238E27FC236}">
              <a16:creationId xmlns:a16="http://schemas.microsoft.com/office/drawing/2014/main" id="{355EAA52-F48B-44B0-9E46-ED1E2B758DA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" name="TextBox 4">
          <a:extLst>
            <a:ext uri="{FF2B5EF4-FFF2-40B4-BE49-F238E27FC236}">
              <a16:creationId xmlns:a16="http://schemas.microsoft.com/office/drawing/2014/main" id="{2CFFADCB-609D-4E37-969C-6EE9C09798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" name="TextBox 5">
          <a:extLst>
            <a:ext uri="{FF2B5EF4-FFF2-40B4-BE49-F238E27FC236}">
              <a16:creationId xmlns:a16="http://schemas.microsoft.com/office/drawing/2014/main" id="{B0C4A795-FA54-4C54-A258-964E440098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" name="TextBox 6">
          <a:extLst>
            <a:ext uri="{FF2B5EF4-FFF2-40B4-BE49-F238E27FC236}">
              <a16:creationId xmlns:a16="http://schemas.microsoft.com/office/drawing/2014/main" id="{526741CA-3885-412B-955B-AD7C004146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" name="TextBox 7">
          <a:extLst>
            <a:ext uri="{FF2B5EF4-FFF2-40B4-BE49-F238E27FC236}">
              <a16:creationId xmlns:a16="http://schemas.microsoft.com/office/drawing/2014/main" id="{159040DA-8A01-4A17-8C84-82C6C54070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" name="TextBox 8">
          <a:extLst>
            <a:ext uri="{FF2B5EF4-FFF2-40B4-BE49-F238E27FC236}">
              <a16:creationId xmlns:a16="http://schemas.microsoft.com/office/drawing/2014/main" id="{C339E364-B2CF-461A-A27B-9C031CCA15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" name="TextBox 2">
          <a:extLst>
            <a:ext uri="{FF2B5EF4-FFF2-40B4-BE49-F238E27FC236}">
              <a16:creationId xmlns:a16="http://schemas.microsoft.com/office/drawing/2014/main" id="{EE2A1837-AA8C-4AC1-80F8-C1F50C1B5A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" name="TextBox 4">
          <a:extLst>
            <a:ext uri="{FF2B5EF4-FFF2-40B4-BE49-F238E27FC236}">
              <a16:creationId xmlns:a16="http://schemas.microsoft.com/office/drawing/2014/main" id="{0AAAA911-1310-4902-A64B-9200A18AB3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" name="TextBox 5">
          <a:extLst>
            <a:ext uri="{FF2B5EF4-FFF2-40B4-BE49-F238E27FC236}">
              <a16:creationId xmlns:a16="http://schemas.microsoft.com/office/drawing/2014/main" id="{05EDAE1C-92C6-4B67-BD18-179873D96B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" name="TextBox 6">
          <a:extLst>
            <a:ext uri="{FF2B5EF4-FFF2-40B4-BE49-F238E27FC236}">
              <a16:creationId xmlns:a16="http://schemas.microsoft.com/office/drawing/2014/main" id="{0312C991-AD6A-48A3-BC73-56AA682559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" name="TextBox 7">
          <a:extLst>
            <a:ext uri="{FF2B5EF4-FFF2-40B4-BE49-F238E27FC236}">
              <a16:creationId xmlns:a16="http://schemas.microsoft.com/office/drawing/2014/main" id="{35658FCC-6234-40E6-B8D0-082BB15AA7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" name="TextBox 8">
          <a:extLst>
            <a:ext uri="{FF2B5EF4-FFF2-40B4-BE49-F238E27FC236}">
              <a16:creationId xmlns:a16="http://schemas.microsoft.com/office/drawing/2014/main" id="{A7AF651E-74B1-458A-B557-B75C0C9A2C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" name="TextBox 2">
          <a:extLst>
            <a:ext uri="{FF2B5EF4-FFF2-40B4-BE49-F238E27FC236}">
              <a16:creationId xmlns:a16="http://schemas.microsoft.com/office/drawing/2014/main" id="{12F14BCE-13E4-4D49-A6E8-EB2795B996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" name="TextBox 4">
          <a:extLst>
            <a:ext uri="{FF2B5EF4-FFF2-40B4-BE49-F238E27FC236}">
              <a16:creationId xmlns:a16="http://schemas.microsoft.com/office/drawing/2014/main" id="{5AEBAD77-59D4-47C4-A58E-B921D7829D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" name="TextBox 5">
          <a:extLst>
            <a:ext uri="{FF2B5EF4-FFF2-40B4-BE49-F238E27FC236}">
              <a16:creationId xmlns:a16="http://schemas.microsoft.com/office/drawing/2014/main" id="{A7CD9134-E718-437D-A497-BFE53937D6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" name="TextBox 6">
          <a:extLst>
            <a:ext uri="{FF2B5EF4-FFF2-40B4-BE49-F238E27FC236}">
              <a16:creationId xmlns:a16="http://schemas.microsoft.com/office/drawing/2014/main" id="{94A1A2F3-EACC-4CAF-AD98-C51ED8DC63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" name="TextBox 7">
          <a:extLst>
            <a:ext uri="{FF2B5EF4-FFF2-40B4-BE49-F238E27FC236}">
              <a16:creationId xmlns:a16="http://schemas.microsoft.com/office/drawing/2014/main" id="{3FDB4211-DB0A-4B65-89F0-1997957A43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" name="TextBox 8">
          <a:extLst>
            <a:ext uri="{FF2B5EF4-FFF2-40B4-BE49-F238E27FC236}">
              <a16:creationId xmlns:a16="http://schemas.microsoft.com/office/drawing/2014/main" id="{92F0C5AB-E348-47E9-93A6-AE6D749F39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" name="TextBox 2">
          <a:extLst>
            <a:ext uri="{FF2B5EF4-FFF2-40B4-BE49-F238E27FC236}">
              <a16:creationId xmlns:a16="http://schemas.microsoft.com/office/drawing/2014/main" id="{CCF961E9-DF1C-44F8-A3F1-A617C09F3E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" name="TextBox 4">
          <a:extLst>
            <a:ext uri="{FF2B5EF4-FFF2-40B4-BE49-F238E27FC236}">
              <a16:creationId xmlns:a16="http://schemas.microsoft.com/office/drawing/2014/main" id="{4BDDD8BD-B158-4E6D-9D3C-5FDEADB86C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" name="TextBox 5">
          <a:extLst>
            <a:ext uri="{FF2B5EF4-FFF2-40B4-BE49-F238E27FC236}">
              <a16:creationId xmlns:a16="http://schemas.microsoft.com/office/drawing/2014/main" id="{F52D1DDA-C27D-4DF9-A4AF-24B716CDCE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" name="TextBox 6">
          <a:extLst>
            <a:ext uri="{FF2B5EF4-FFF2-40B4-BE49-F238E27FC236}">
              <a16:creationId xmlns:a16="http://schemas.microsoft.com/office/drawing/2014/main" id="{73EBB27A-1A9D-4031-88E4-34968702B1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" name="TextBox 7">
          <a:extLst>
            <a:ext uri="{FF2B5EF4-FFF2-40B4-BE49-F238E27FC236}">
              <a16:creationId xmlns:a16="http://schemas.microsoft.com/office/drawing/2014/main" id="{67D9B76C-9560-45C8-B5A4-A2C1DCFAF21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" name="TextBox 8">
          <a:extLst>
            <a:ext uri="{FF2B5EF4-FFF2-40B4-BE49-F238E27FC236}">
              <a16:creationId xmlns:a16="http://schemas.microsoft.com/office/drawing/2014/main" id="{B6C8E220-B843-4B6F-B265-F6A7CE112B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" name="TextBox 2">
          <a:extLst>
            <a:ext uri="{FF2B5EF4-FFF2-40B4-BE49-F238E27FC236}">
              <a16:creationId xmlns:a16="http://schemas.microsoft.com/office/drawing/2014/main" id="{86E9C569-A634-4440-9859-339091C420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" name="TextBox 4">
          <a:extLst>
            <a:ext uri="{FF2B5EF4-FFF2-40B4-BE49-F238E27FC236}">
              <a16:creationId xmlns:a16="http://schemas.microsoft.com/office/drawing/2014/main" id="{54EFE206-E214-4D4E-A768-9D17895885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" name="TextBox 5">
          <a:extLst>
            <a:ext uri="{FF2B5EF4-FFF2-40B4-BE49-F238E27FC236}">
              <a16:creationId xmlns:a16="http://schemas.microsoft.com/office/drawing/2014/main" id="{5FC38B6D-B3B0-4F2A-8545-D3A4D4214B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" name="TextBox 6">
          <a:extLst>
            <a:ext uri="{FF2B5EF4-FFF2-40B4-BE49-F238E27FC236}">
              <a16:creationId xmlns:a16="http://schemas.microsoft.com/office/drawing/2014/main" id="{FB29BD34-4D20-4A60-B42C-51C4BCF8AA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" name="TextBox 7">
          <a:extLst>
            <a:ext uri="{FF2B5EF4-FFF2-40B4-BE49-F238E27FC236}">
              <a16:creationId xmlns:a16="http://schemas.microsoft.com/office/drawing/2014/main" id="{9627982A-D196-45E6-A9D6-FDC19B5C53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" name="TextBox 8">
          <a:extLst>
            <a:ext uri="{FF2B5EF4-FFF2-40B4-BE49-F238E27FC236}">
              <a16:creationId xmlns:a16="http://schemas.microsoft.com/office/drawing/2014/main" id="{D5213D09-78A5-4D6B-9F2B-DE4A9B36DA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" name="TextBox 2">
          <a:extLst>
            <a:ext uri="{FF2B5EF4-FFF2-40B4-BE49-F238E27FC236}">
              <a16:creationId xmlns:a16="http://schemas.microsoft.com/office/drawing/2014/main" id="{747BE3DC-AA4D-4312-8B29-B21414C24C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" name="TextBox 4">
          <a:extLst>
            <a:ext uri="{FF2B5EF4-FFF2-40B4-BE49-F238E27FC236}">
              <a16:creationId xmlns:a16="http://schemas.microsoft.com/office/drawing/2014/main" id="{6ED9FB35-101C-4313-9ED0-15ECF2A7853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" name="TextBox 5">
          <a:extLst>
            <a:ext uri="{FF2B5EF4-FFF2-40B4-BE49-F238E27FC236}">
              <a16:creationId xmlns:a16="http://schemas.microsoft.com/office/drawing/2014/main" id="{06BF4564-7BB5-4085-B537-DDAB489A51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" name="TextBox 6">
          <a:extLst>
            <a:ext uri="{FF2B5EF4-FFF2-40B4-BE49-F238E27FC236}">
              <a16:creationId xmlns:a16="http://schemas.microsoft.com/office/drawing/2014/main" id="{586AE7C8-40EE-4168-A36C-4B22955F05E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" name="TextBox 7">
          <a:extLst>
            <a:ext uri="{FF2B5EF4-FFF2-40B4-BE49-F238E27FC236}">
              <a16:creationId xmlns:a16="http://schemas.microsoft.com/office/drawing/2014/main" id="{CB80A726-D8E0-4BC0-AA48-064094C960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" name="TextBox 8">
          <a:extLst>
            <a:ext uri="{FF2B5EF4-FFF2-40B4-BE49-F238E27FC236}">
              <a16:creationId xmlns:a16="http://schemas.microsoft.com/office/drawing/2014/main" id="{E6A24A29-7B6A-4570-A3D6-43D0A68245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" name="TextBox 2">
          <a:extLst>
            <a:ext uri="{FF2B5EF4-FFF2-40B4-BE49-F238E27FC236}">
              <a16:creationId xmlns:a16="http://schemas.microsoft.com/office/drawing/2014/main" id="{B85C2B9C-F708-45B2-8D16-1083BF3FCA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" name="TextBox 4">
          <a:extLst>
            <a:ext uri="{FF2B5EF4-FFF2-40B4-BE49-F238E27FC236}">
              <a16:creationId xmlns:a16="http://schemas.microsoft.com/office/drawing/2014/main" id="{C06876D7-2B9D-4991-A9E8-441B7A994A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" name="TextBox 5">
          <a:extLst>
            <a:ext uri="{FF2B5EF4-FFF2-40B4-BE49-F238E27FC236}">
              <a16:creationId xmlns:a16="http://schemas.microsoft.com/office/drawing/2014/main" id="{B132EA07-223F-441F-9373-1427370A4E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" name="TextBox 6">
          <a:extLst>
            <a:ext uri="{FF2B5EF4-FFF2-40B4-BE49-F238E27FC236}">
              <a16:creationId xmlns:a16="http://schemas.microsoft.com/office/drawing/2014/main" id="{D63B5F3C-6477-455C-AB4E-371E934148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" name="TextBox 7">
          <a:extLst>
            <a:ext uri="{FF2B5EF4-FFF2-40B4-BE49-F238E27FC236}">
              <a16:creationId xmlns:a16="http://schemas.microsoft.com/office/drawing/2014/main" id="{7AC98C63-C7CA-4822-9EB3-E630277202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" name="TextBox 8">
          <a:extLst>
            <a:ext uri="{FF2B5EF4-FFF2-40B4-BE49-F238E27FC236}">
              <a16:creationId xmlns:a16="http://schemas.microsoft.com/office/drawing/2014/main" id="{32D20475-D646-4B64-B209-BA6A384C20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" name="TextBox 2">
          <a:extLst>
            <a:ext uri="{FF2B5EF4-FFF2-40B4-BE49-F238E27FC236}">
              <a16:creationId xmlns:a16="http://schemas.microsoft.com/office/drawing/2014/main" id="{6D6C4A76-746B-4060-9740-EB9ED300A4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" name="TextBox 4">
          <a:extLst>
            <a:ext uri="{FF2B5EF4-FFF2-40B4-BE49-F238E27FC236}">
              <a16:creationId xmlns:a16="http://schemas.microsoft.com/office/drawing/2014/main" id="{24BF422C-BFA0-4171-9A90-30F74042C0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" name="TextBox 5">
          <a:extLst>
            <a:ext uri="{FF2B5EF4-FFF2-40B4-BE49-F238E27FC236}">
              <a16:creationId xmlns:a16="http://schemas.microsoft.com/office/drawing/2014/main" id="{3C4AD60D-3538-4BD6-B3FB-5D340986A4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" name="TextBox 6">
          <a:extLst>
            <a:ext uri="{FF2B5EF4-FFF2-40B4-BE49-F238E27FC236}">
              <a16:creationId xmlns:a16="http://schemas.microsoft.com/office/drawing/2014/main" id="{5EE6912B-9631-4A8E-A2DA-D546A7ED77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" name="TextBox 7">
          <a:extLst>
            <a:ext uri="{FF2B5EF4-FFF2-40B4-BE49-F238E27FC236}">
              <a16:creationId xmlns:a16="http://schemas.microsoft.com/office/drawing/2014/main" id="{6463745B-6C65-4083-A1CB-18C52235EC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" name="TextBox 8">
          <a:extLst>
            <a:ext uri="{FF2B5EF4-FFF2-40B4-BE49-F238E27FC236}">
              <a16:creationId xmlns:a16="http://schemas.microsoft.com/office/drawing/2014/main" id="{6FFFFF0C-4E7B-4630-86D0-9BF78628DB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" name="TextBox 2">
          <a:extLst>
            <a:ext uri="{FF2B5EF4-FFF2-40B4-BE49-F238E27FC236}">
              <a16:creationId xmlns:a16="http://schemas.microsoft.com/office/drawing/2014/main" id="{36860E34-8599-4BDB-BEB8-7ED1A8EFB9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" name="TextBox 4">
          <a:extLst>
            <a:ext uri="{FF2B5EF4-FFF2-40B4-BE49-F238E27FC236}">
              <a16:creationId xmlns:a16="http://schemas.microsoft.com/office/drawing/2014/main" id="{968AA390-F09B-47D9-8934-7B25D2E579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" name="TextBox 5">
          <a:extLst>
            <a:ext uri="{FF2B5EF4-FFF2-40B4-BE49-F238E27FC236}">
              <a16:creationId xmlns:a16="http://schemas.microsoft.com/office/drawing/2014/main" id="{2A33E7AC-5417-4DD9-99DD-3A47FA912A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" name="TextBox 6">
          <a:extLst>
            <a:ext uri="{FF2B5EF4-FFF2-40B4-BE49-F238E27FC236}">
              <a16:creationId xmlns:a16="http://schemas.microsoft.com/office/drawing/2014/main" id="{58ABCDB7-FD57-407B-BEBC-2BB42B3E0B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" name="TextBox 7">
          <a:extLst>
            <a:ext uri="{FF2B5EF4-FFF2-40B4-BE49-F238E27FC236}">
              <a16:creationId xmlns:a16="http://schemas.microsoft.com/office/drawing/2014/main" id="{5EB59E67-26C1-44A8-A368-745728E939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" name="TextBox 8">
          <a:extLst>
            <a:ext uri="{FF2B5EF4-FFF2-40B4-BE49-F238E27FC236}">
              <a16:creationId xmlns:a16="http://schemas.microsoft.com/office/drawing/2014/main" id="{2E22328A-F6AF-43CB-BBB2-00CE3C1C61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" name="TextBox 2">
          <a:extLst>
            <a:ext uri="{FF2B5EF4-FFF2-40B4-BE49-F238E27FC236}">
              <a16:creationId xmlns:a16="http://schemas.microsoft.com/office/drawing/2014/main" id="{2B2F3C10-8F3A-440C-97AD-0D06544668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" name="TextBox 4">
          <a:extLst>
            <a:ext uri="{FF2B5EF4-FFF2-40B4-BE49-F238E27FC236}">
              <a16:creationId xmlns:a16="http://schemas.microsoft.com/office/drawing/2014/main" id="{F2D488D0-FC87-4107-84E9-B7BE65737B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" name="TextBox 5">
          <a:extLst>
            <a:ext uri="{FF2B5EF4-FFF2-40B4-BE49-F238E27FC236}">
              <a16:creationId xmlns:a16="http://schemas.microsoft.com/office/drawing/2014/main" id="{A14AEEC9-7031-48C4-B48D-327F7FA04D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" name="TextBox 6">
          <a:extLst>
            <a:ext uri="{FF2B5EF4-FFF2-40B4-BE49-F238E27FC236}">
              <a16:creationId xmlns:a16="http://schemas.microsoft.com/office/drawing/2014/main" id="{530A700C-1A54-4DFA-9515-68A6856F4C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" name="TextBox 7">
          <a:extLst>
            <a:ext uri="{FF2B5EF4-FFF2-40B4-BE49-F238E27FC236}">
              <a16:creationId xmlns:a16="http://schemas.microsoft.com/office/drawing/2014/main" id="{D871D5C8-1E35-4394-ACB0-A8B4E3FB24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" name="TextBox 8">
          <a:extLst>
            <a:ext uri="{FF2B5EF4-FFF2-40B4-BE49-F238E27FC236}">
              <a16:creationId xmlns:a16="http://schemas.microsoft.com/office/drawing/2014/main" id="{7AC23C59-5F95-40D5-A461-4D6FF5CAE5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" name="TextBox 2">
          <a:extLst>
            <a:ext uri="{FF2B5EF4-FFF2-40B4-BE49-F238E27FC236}">
              <a16:creationId xmlns:a16="http://schemas.microsoft.com/office/drawing/2014/main" id="{719B9D46-75D8-4C3F-9E06-986828D9AB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" name="TextBox 4">
          <a:extLst>
            <a:ext uri="{FF2B5EF4-FFF2-40B4-BE49-F238E27FC236}">
              <a16:creationId xmlns:a16="http://schemas.microsoft.com/office/drawing/2014/main" id="{58686B00-A022-4C76-89C1-573ED7BFFE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" name="TextBox 5">
          <a:extLst>
            <a:ext uri="{FF2B5EF4-FFF2-40B4-BE49-F238E27FC236}">
              <a16:creationId xmlns:a16="http://schemas.microsoft.com/office/drawing/2014/main" id="{0FCF4A37-A11B-4662-8943-7BF915EF92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" name="TextBox 6">
          <a:extLst>
            <a:ext uri="{FF2B5EF4-FFF2-40B4-BE49-F238E27FC236}">
              <a16:creationId xmlns:a16="http://schemas.microsoft.com/office/drawing/2014/main" id="{BDED8C3E-CC90-4B0E-BA58-4E6A637BED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" name="TextBox 7">
          <a:extLst>
            <a:ext uri="{FF2B5EF4-FFF2-40B4-BE49-F238E27FC236}">
              <a16:creationId xmlns:a16="http://schemas.microsoft.com/office/drawing/2014/main" id="{327E48EF-2DCE-439F-9DF9-BABB73DDFF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" name="TextBox 8">
          <a:extLst>
            <a:ext uri="{FF2B5EF4-FFF2-40B4-BE49-F238E27FC236}">
              <a16:creationId xmlns:a16="http://schemas.microsoft.com/office/drawing/2014/main" id="{1CA45750-9FC6-4E8D-A03F-5226D45455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" name="TextBox 2">
          <a:extLst>
            <a:ext uri="{FF2B5EF4-FFF2-40B4-BE49-F238E27FC236}">
              <a16:creationId xmlns:a16="http://schemas.microsoft.com/office/drawing/2014/main" id="{BB7F2E16-DC95-4744-8BC4-7046FEE450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" name="TextBox 4">
          <a:extLst>
            <a:ext uri="{FF2B5EF4-FFF2-40B4-BE49-F238E27FC236}">
              <a16:creationId xmlns:a16="http://schemas.microsoft.com/office/drawing/2014/main" id="{5B8A26CA-AFD6-4595-B17F-A1EB32B28C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" name="TextBox 5">
          <a:extLst>
            <a:ext uri="{FF2B5EF4-FFF2-40B4-BE49-F238E27FC236}">
              <a16:creationId xmlns:a16="http://schemas.microsoft.com/office/drawing/2014/main" id="{BF1B443D-F5FE-47F5-9B12-9F1BD5A8B7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" name="TextBox 6">
          <a:extLst>
            <a:ext uri="{FF2B5EF4-FFF2-40B4-BE49-F238E27FC236}">
              <a16:creationId xmlns:a16="http://schemas.microsoft.com/office/drawing/2014/main" id="{E829B114-A348-4B48-8EC7-9BBAE11D2F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" name="TextBox 7">
          <a:extLst>
            <a:ext uri="{FF2B5EF4-FFF2-40B4-BE49-F238E27FC236}">
              <a16:creationId xmlns:a16="http://schemas.microsoft.com/office/drawing/2014/main" id="{5031D61D-0106-4208-9D68-2E676613A2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" name="TextBox 8">
          <a:extLst>
            <a:ext uri="{FF2B5EF4-FFF2-40B4-BE49-F238E27FC236}">
              <a16:creationId xmlns:a16="http://schemas.microsoft.com/office/drawing/2014/main" id="{5CAAECC4-7DE8-42A4-A792-7AF570B99E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" name="TextBox 2">
          <a:extLst>
            <a:ext uri="{FF2B5EF4-FFF2-40B4-BE49-F238E27FC236}">
              <a16:creationId xmlns:a16="http://schemas.microsoft.com/office/drawing/2014/main" id="{E98B001E-D94C-493C-952C-DFF8C6F136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" name="TextBox 4">
          <a:extLst>
            <a:ext uri="{FF2B5EF4-FFF2-40B4-BE49-F238E27FC236}">
              <a16:creationId xmlns:a16="http://schemas.microsoft.com/office/drawing/2014/main" id="{B53E397B-3D7D-4FE5-A8AD-867E63357C0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" name="TextBox 5">
          <a:extLst>
            <a:ext uri="{FF2B5EF4-FFF2-40B4-BE49-F238E27FC236}">
              <a16:creationId xmlns:a16="http://schemas.microsoft.com/office/drawing/2014/main" id="{25465FDB-DEB1-4967-8C4B-6AB7B5215A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" name="TextBox 6">
          <a:extLst>
            <a:ext uri="{FF2B5EF4-FFF2-40B4-BE49-F238E27FC236}">
              <a16:creationId xmlns:a16="http://schemas.microsoft.com/office/drawing/2014/main" id="{61267218-9E45-48B6-B4BC-FC9D150D7C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" name="TextBox 7">
          <a:extLst>
            <a:ext uri="{FF2B5EF4-FFF2-40B4-BE49-F238E27FC236}">
              <a16:creationId xmlns:a16="http://schemas.microsoft.com/office/drawing/2014/main" id="{FD623200-F335-41D0-B863-D7E5B1DDAE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" name="TextBox 8">
          <a:extLst>
            <a:ext uri="{FF2B5EF4-FFF2-40B4-BE49-F238E27FC236}">
              <a16:creationId xmlns:a16="http://schemas.microsoft.com/office/drawing/2014/main" id="{830BDFBE-0EA9-44F5-8134-7EA9155CCC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" name="TextBox 2">
          <a:extLst>
            <a:ext uri="{FF2B5EF4-FFF2-40B4-BE49-F238E27FC236}">
              <a16:creationId xmlns:a16="http://schemas.microsoft.com/office/drawing/2014/main" id="{985F0AC5-38A8-4985-89AD-76E342E322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" name="TextBox 4">
          <a:extLst>
            <a:ext uri="{FF2B5EF4-FFF2-40B4-BE49-F238E27FC236}">
              <a16:creationId xmlns:a16="http://schemas.microsoft.com/office/drawing/2014/main" id="{8B7C8B22-C3D0-4420-B543-D1A0319950C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" name="TextBox 5">
          <a:extLst>
            <a:ext uri="{FF2B5EF4-FFF2-40B4-BE49-F238E27FC236}">
              <a16:creationId xmlns:a16="http://schemas.microsoft.com/office/drawing/2014/main" id="{5BFA1375-E523-48AD-A965-515A2331AD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" name="TextBox 6">
          <a:extLst>
            <a:ext uri="{FF2B5EF4-FFF2-40B4-BE49-F238E27FC236}">
              <a16:creationId xmlns:a16="http://schemas.microsoft.com/office/drawing/2014/main" id="{4823B12B-DB56-4AEC-8292-C961529883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" name="TextBox 7">
          <a:extLst>
            <a:ext uri="{FF2B5EF4-FFF2-40B4-BE49-F238E27FC236}">
              <a16:creationId xmlns:a16="http://schemas.microsoft.com/office/drawing/2014/main" id="{E6636FC4-E9D1-424C-A9D7-C6882F91A1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" name="TextBox 8">
          <a:extLst>
            <a:ext uri="{FF2B5EF4-FFF2-40B4-BE49-F238E27FC236}">
              <a16:creationId xmlns:a16="http://schemas.microsoft.com/office/drawing/2014/main" id="{4492CA02-A8B0-4EF8-99B0-9AE582CEC1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" name="TextBox 2">
          <a:extLst>
            <a:ext uri="{FF2B5EF4-FFF2-40B4-BE49-F238E27FC236}">
              <a16:creationId xmlns:a16="http://schemas.microsoft.com/office/drawing/2014/main" id="{06ADADB1-F62F-403C-8A53-919FB9BDFF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" name="TextBox 4">
          <a:extLst>
            <a:ext uri="{FF2B5EF4-FFF2-40B4-BE49-F238E27FC236}">
              <a16:creationId xmlns:a16="http://schemas.microsoft.com/office/drawing/2014/main" id="{F747D744-1AB8-4625-9547-176B051C07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" name="TextBox 5">
          <a:extLst>
            <a:ext uri="{FF2B5EF4-FFF2-40B4-BE49-F238E27FC236}">
              <a16:creationId xmlns:a16="http://schemas.microsoft.com/office/drawing/2014/main" id="{5CED5413-EE2F-4A58-B79C-480AC5333B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" name="TextBox 6">
          <a:extLst>
            <a:ext uri="{FF2B5EF4-FFF2-40B4-BE49-F238E27FC236}">
              <a16:creationId xmlns:a16="http://schemas.microsoft.com/office/drawing/2014/main" id="{D5D71101-8674-4E86-8737-6B82042A9F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" name="TextBox 7">
          <a:extLst>
            <a:ext uri="{FF2B5EF4-FFF2-40B4-BE49-F238E27FC236}">
              <a16:creationId xmlns:a16="http://schemas.microsoft.com/office/drawing/2014/main" id="{4F05B0DD-59DF-49E9-87EA-F8A9BE000E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" name="TextBox 8">
          <a:extLst>
            <a:ext uri="{FF2B5EF4-FFF2-40B4-BE49-F238E27FC236}">
              <a16:creationId xmlns:a16="http://schemas.microsoft.com/office/drawing/2014/main" id="{63E4A019-0CDF-48AA-8BE2-5A83540B33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" name="TextBox 2">
          <a:extLst>
            <a:ext uri="{FF2B5EF4-FFF2-40B4-BE49-F238E27FC236}">
              <a16:creationId xmlns:a16="http://schemas.microsoft.com/office/drawing/2014/main" id="{4527F842-4E5F-45C9-97F4-26942A26A0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" name="TextBox 4">
          <a:extLst>
            <a:ext uri="{FF2B5EF4-FFF2-40B4-BE49-F238E27FC236}">
              <a16:creationId xmlns:a16="http://schemas.microsoft.com/office/drawing/2014/main" id="{10756337-18EB-4C57-9EC8-DCD8010CA1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" name="TextBox 5">
          <a:extLst>
            <a:ext uri="{FF2B5EF4-FFF2-40B4-BE49-F238E27FC236}">
              <a16:creationId xmlns:a16="http://schemas.microsoft.com/office/drawing/2014/main" id="{3E504A34-9E19-4C5B-824F-7AE3ED0CDD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" name="TextBox 6">
          <a:extLst>
            <a:ext uri="{FF2B5EF4-FFF2-40B4-BE49-F238E27FC236}">
              <a16:creationId xmlns:a16="http://schemas.microsoft.com/office/drawing/2014/main" id="{4994AB46-F3CC-4890-8E2E-020C9E5CA6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" name="TextBox 7">
          <a:extLst>
            <a:ext uri="{FF2B5EF4-FFF2-40B4-BE49-F238E27FC236}">
              <a16:creationId xmlns:a16="http://schemas.microsoft.com/office/drawing/2014/main" id="{EC0B6A18-6FAB-4D52-9BF5-D2E8718C3D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" name="TextBox 8">
          <a:extLst>
            <a:ext uri="{FF2B5EF4-FFF2-40B4-BE49-F238E27FC236}">
              <a16:creationId xmlns:a16="http://schemas.microsoft.com/office/drawing/2014/main" id="{82E8FC55-2596-49B1-9DF5-566220F46A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" name="TextBox 2">
          <a:extLst>
            <a:ext uri="{FF2B5EF4-FFF2-40B4-BE49-F238E27FC236}">
              <a16:creationId xmlns:a16="http://schemas.microsoft.com/office/drawing/2014/main" id="{E4DAF232-5830-45D8-AB4F-E5B48D797A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" name="TextBox 4">
          <a:extLst>
            <a:ext uri="{FF2B5EF4-FFF2-40B4-BE49-F238E27FC236}">
              <a16:creationId xmlns:a16="http://schemas.microsoft.com/office/drawing/2014/main" id="{5836E5F0-545B-4F6C-B2CA-CF6E88A70B9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" name="TextBox 5">
          <a:extLst>
            <a:ext uri="{FF2B5EF4-FFF2-40B4-BE49-F238E27FC236}">
              <a16:creationId xmlns:a16="http://schemas.microsoft.com/office/drawing/2014/main" id="{F6D4AEC5-D886-494C-B065-A7B3306E21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" name="TextBox 6">
          <a:extLst>
            <a:ext uri="{FF2B5EF4-FFF2-40B4-BE49-F238E27FC236}">
              <a16:creationId xmlns:a16="http://schemas.microsoft.com/office/drawing/2014/main" id="{48987F2B-A195-49C8-9E72-0F564F7523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" name="TextBox 7">
          <a:extLst>
            <a:ext uri="{FF2B5EF4-FFF2-40B4-BE49-F238E27FC236}">
              <a16:creationId xmlns:a16="http://schemas.microsoft.com/office/drawing/2014/main" id="{422F2965-1088-49FD-B6A8-C5764FCCA6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" name="TextBox 8">
          <a:extLst>
            <a:ext uri="{FF2B5EF4-FFF2-40B4-BE49-F238E27FC236}">
              <a16:creationId xmlns:a16="http://schemas.microsoft.com/office/drawing/2014/main" id="{0235DBC7-1131-455B-8169-9E110EA0FC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" name="TextBox 2">
          <a:extLst>
            <a:ext uri="{FF2B5EF4-FFF2-40B4-BE49-F238E27FC236}">
              <a16:creationId xmlns:a16="http://schemas.microsoft.com/office/drawing/2014/main" id="{0C06380E-BEFC-4D81-9996-2A729B43D1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" name="TextBox 4">
          <a:extLst>
            <a:ext uri="{FF2B5EF4-FFF2-40B4-BE49-F238E27FC236}">
              <a16:creationId xmlns:a16="http://schemas.microsoft.com/office/drawing/2014/main" id="{BAD9DDC4-9A44-4367-B821-1DD076AB81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" name="TextBox 5">
          <a:extLst>
            <a:ext uri="{FF2B5EF4-FFF2-40B4-BE49-F238E27FC236}">
              <a16:creationId xmlns:a16="http://schemas.microsoft.com/office/drawing/2014/main" id="{118E48F5-5840-4AEC-B9BA-E074F4A7DF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" name="TextBox 6">
          <a:extLst>
            <a:ext uri="{FF2B5EF4-FFF2-40B4-BE49-F238E27FC236}">
              <a16:creationId xmlns:a16="http://schemas.microsoft.com/office/drawing/2014/main" id="{1434EE0A-5993-4DF0-A1CB-19978569C5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" name="TextBox 7">
          <a:extLst>
            <a:ext uri="{FF2B5EF4-FFF2-40B4-BE49-F238E27FC236}">
              <a16:creationId xmlns:a16="http://schemas.microsoft.com/office/drawing/2014/main" id="{DF71AC03-2EAC-448D-82DB-2C2FCF2449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" name="TextBox 8">
          <a:extLst>
            <a:ext uri="{FF2B5EF4-FFF2-40B4-BE49-F238E27FC236}">
              <a16:creationId xmlns:a16="http://schemas.microsoft.com/office/drawing/2014/main" id="{4C579861-BBB3-49E9-900A-44F66BBCCD8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" name="TextBox 2">
          <a:extLst>
            <a:ext uri="{FF2B5EF4-FFF2-40B4-BE49-F238E27FC236}">
              <a16:creationId xmlns:a16="http://schemas.microsoft.com/office/drawing/2014/main" id="{F3BC3A34-3121-47FB-ACA0-E1EB1DD019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" name="TextBox 4">
          <a:extLst>
            <a:ext uri="{FF2B5EF4-FFF2-40B4-BE49-F238E27FC236}">
              <a16:creationId xmlns:a16="http://schemas.microsoft.com/office/drawing/2014/main" id="{4C5A6B8E-B04B-4C32-9427-ED430BAB65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" name="TextBox 5">
          <a:extLst>
            <a:ext uri="{FF2B5EF4-FFF2-40B4-BE49-F238E27FC236}">
              <a16:creationId xmlns:a16="http://schemas.microsoft.com/office/drawing/2014/main" id="{5E715F7B-8FB6-42DC-A85A-D219FA7062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" name="TextBox 6">
          <a:extLst>
            <a:ext uri="{FF2B5EF4-FFF2-40B4-BE49-F238E27FC236}">
              <a16:creationId xmlns:a16="http://schemas.microsoft.com/office/drawing/2014/main" id="{E8D60B01-B341-4674-934E-2A959FB748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" name="TextBox 7">
          <a:extLst>
            <a:ext uri="{FF2B5EF4-FFF2-40B4-BE49-F238E27FC236}">
              <a16:creationId xmlns:a16="http://schemas.microsoft.com/office/drawing/2014/main" id="{3947F2A3-430D-4882-AEBE-8AA664EF57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" name="TextBox 8">
          <a:extLst>
            <a:ext uri="{FF2B5EF4-FFF2-40B4-BE49-F238E27FC236}">
              <a16:creationId xmlns:a16="http://schemas.microsoft.com/office/drawing/2014/main" id="{B1B5BFA6-78B9-40B6-89B2-ECB8CD1037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" name="TextBox 2">
          <a:extLst>
            <a:ext uri="{FF2B5EF4-FFF2-40B4-BE49-F238E27FC236}">
              <a16:creationId xmlns:a16="http://schemas.microsoft.com/office/drawing/2014/main" id="{4D5C0E21-0A21-4A2E-9A15-7E0B1073B2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" name="TextBox 4">
          <a:extLst>
            <a:ext uri="{FF2B5EF4-FFF2-40B4-BE49-F238E27FC236}">
              <a16:creationId xmlns:a16="http://schemas.microsoft.com/office/drawing/2014/main" id="{6BBE2193-CC90-4087-A362-4CE319750F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" name="TextBox 5">
          <a:extLst>
            <a:ext uri="{FF2B5EF4-FFF2-40B4-BE49-F238E27FC236}">
              <a16:creationId xmlns:a16="http://schemas.microsoft.com/office/drawing/2014/main" id="{9CE62FB1-111D-4E8C-8A50-5423DC3642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" name="TextBox 6">
          <a:extLst>
            <a:ext uri="{FF2B5EF4-FFF2-40B4-BE49-F238E27FC236}">
              <a16:creationId xmlns:a16="http://schemas.microsoft.com/office/drawing/2014/main" id="{74EECFF2-0391-4E44-9607-341568D61D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" name="TextBox 7">
          <a:extLst>
            <a:ext uri="{FF2B5EF4-FFF2-40B4-BE49-F238E27FC236}">
              <a16:creationId xmlns:a16="http://schemas.microsoft.com/office/drawing/2014/main" id="{D4A3D2D4-4CB4-4C52-9F00-117F08DA13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" name="TextBox 8">
          <a:extLst>
            <a:ext uri="{FF2B5EF4-FFF2-40B4-BE49-F238E27FC236}">
              <a16:creationId xmlns:a16="http://schemas.microsoft.com/office/drawing/2014/main" id="{331AF41B-90B0-4C7E-A0BE-E4FBF75373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" name="TextBox 2">
          <a:extLst>
            <a:ext uri="{FF2B5EF4-FFF2-40B4-BE49-F238E27FC236}">
              <a16:creationId xmlns:a16="http://schemas.microsoft.com/office/drawing/2014/main" id="{0EBDC81A-4F16-4E50-8257-8B5BBA0D83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" name="TextBox 4">
          <a:extLst>
            <a:ext uri="{FF2B5EF4-FFF2-40B4-BE49-F238E27FC236}">
              <a16:creationId xmlns:a16="http://schemas.microsoft.com/office/drawing/2014/main" id="{8E12692B-3A0E-4E98-8257-E43A1D50D9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" name="TextBox 5">
          <a:extLst>
            <a:ext uri="{FF2B5EF4-FFF2-40B4-BE49-F238E27FC236}">
              <a16:creationId xmlns:a16="http://schemas.microsoft.com/office/drawing/2014/main" id="{63C4008B-6AE1-4F8A-B0AF-A5DE94CE46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" name="TextBox 6">
          <a:extLst>
            <a:ext uri="{FF2B5EF4-FFF2-40B4-BE49-F238E27FC236}">
              <a16:creationId xmlns:a16="http://schemas.microsoft.com/office/drawing/2014/main" id="{A27093E8-12D7-47E1-84F8-19F1637850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" name="TextBox 7">
          <a:extLst>
            <a:ext uri="{FF2B5EF4-FFF2-40B4-BE49-F238E27FC236}">
              <a16:creationId xmlns:a16="http://schemas.microsoft.com/office/drawing/2014/main" id="{0777C532-5FF8-4015-A3D0-C6812B7A40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" name="TextBox 8">
          <a:extLst>
            <a:ext uri="{FF2B5EF4-FFF2-40B4-BE49-F238E27FC236}">
              <a16:creationId xmlns:a16="http://schemas.microsoft.com/office/drawing/2014/main" id="{97ECBDE5-93DE-43C3-890F-F60FD52EF31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" name="TextBox 2">
          <a:extLst>
            <a:ext uri="{FF2B5EF4-FFF2-40B4-BE49-F238E27FC236}">
              <a16:creationId xmlns:a16="http://schemas.microsoft.com/office/drawing/2014/main" id="{D181E41E-EB87-48D1-B258-D43C88FB0C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" name="TextBox 4">
          <a:extLst>
            <a:ext uri="{FF2B5EF4-FFF2-40B4-BE49-F238E27FC236}">
              <a16:creationId xmlns:a16="http://schemas.microsoft.com/office/drawing/2014/main" id="{A0125B09-C4C1-4BA7-9438-560657C214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" name="TextBox 5">
          <a:extLst>
            <a:ext uri="{FF2B5EF4-FFF2-40B4-BE49-F238E27FC236}">
              <a16:creationId xmlns:a16="http://schemas.microsoft.com/office/drawing/2014/main" id="{FB08DD29-DCF8-40FA-9C28-3382B8FCC3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" name="TextBox 6">
          <a:extLst>
            <a:ext uri="{FF2B5EF4-FFF2-40B4-BE49-F238E27FC236}">
              <a16:creationId xmlns:a16="http://schemas.microsoft.com/office/drawing/2014/main" id="{61789451-0CBA-4E1B-A091-B008D0C8AD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" name="TextBox 7">
          <a:extLst>
            <a:ext uri="{FF2B5EF4-FFF2-40B4-BE49-F238E27FC236}">
              <a16:creationId xmlns:a16="http://schemas.microsoft.com/office/drawing/2014/main" id="{0E0F14DD-6651-4262-8AA1-5F64B0F9D6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" name="TextBox 8">
          <a:extLst>
            <a:ext uri="{FF2B5EF4-FFF2-40B4-BE49-F238E27FC236}">
              <a16:creationId xmlns:a16="http://schemas.microsoft.com/office/drawing/2014/main" id="{A31567F9-CB79-4C1F-AC52-6D863596C8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" name="TextBox 2">
          <a:extLst>
            <a:ext uri="{FF2B5EF4-FFF2-40B4-BE49-F238E27FC236}">
              <a16:creationId xmlns:a16="http://schemas.microsoft.com/office/drawing/2014/main" id="{6366B53E-D247-4755-A95E-9F42130701C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" name="TextBox 4">
          <a:extLst>
            <a:ext uri="{FF2B5EF4-FFF2-40B4-BE49-F238E27FC236}">
              <a16:creationId xmlns:a16="http://schemas.microsoft.com/office/drawing/2014/main" id="{3CE05F68-5C73-4594-BF5D-77298A5478F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" name="TextBox 5">
          <a:extLst>
            <a:ext uri="{FF2B5EF4-FFF2-40B4-BE49-F238E27FC236}">
              <a16:creationId xmlns:a16="http://schemas.microsoft.com/office/drawing/2014/main" id="{1ECFF882-D4A7-4AAD-AC18-020980EAA6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" name="TextBox 6">
          <a:extLst>
            <a:ext uri="{FF2B5EF4-FFF2-40B4-BE49-F238E27FC236}">
              <a16:creationId xmlns:a16="http://schemas.microsoft.com/office/drawing/2014/main" id="{2BDCC6C6-935C-4E02-99AA-91C58BD803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" name="TextBox 7">
          <a:extLst>
            <a:ext uri="{FF2B5EF4-FFF2-40B4-BE49-F238E27FC236}">
              <a16:creationId xmlns:a16="http://schemas.microsoft.com/office/drawing/2014/main" id="{5C75BADA-26B4-4674-8E8F-064FE9D722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" name="TextBox 8">
          <a:extLst>
            <a:ext uri="{FF2B5EF4-FFF2-40B4-BE49-F238E27FC236}">
              <a16:creationId xmlns:a16="http://schemas.microsoft.com/office/drawing/2014/main" id="{7FEB403D-5262-4120-BC09-7DDD85441B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" name="TextBox 2">
          <a:extLst>
            <a:ext uri="{FF2B5EF4-FFF2-40B4-BE49-F238E27FC236}">
              <a16:creationId xmlns:a16="http://schemas.microsoft.com/office/drawing/2014/main" id="{50A52440-20D5-48A5-A528-332458BC36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" name="TextBox 4">
          <a:extLst>
            <a:ext uri="{FF2B5EF4-FFF2-40B4-BE49-F238E27FC236}">
              <a16:creationId xmlns:a16="http://schemas.microsoft.com/office/drawing/2014/main" id="{BEC557B4-79B9-4C19-A8EC-4EBB48BE22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" name="TextBox 5">
          <a:extLst>
            <a:ext uri="{FF2B5EF4-FFF2-40B4-BE49-F238E27FC236}">
              <a16:creationId xmlns:a16="http://schemas.microsoft.com/office/drawing/2014/main" id="{7DC489BB-74BF-40F7-94CF-E7D911ACCE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" name="TextBox 6">
          <a:extLst>
            <a:ext uri="{FF2B5EF4-FFF2-40B4-BE49-F238E27FC236}">
              <a16:creationId xmlns:a16="http://schemas.microsoft.com/office/drawing/2014/main" id="{C1CF7A4D-F376-4824-ACCC-E87E2364FAC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" name="TextBox 7">
          <a:extLst>
            <a:ext uri="{FF2B5EF4-FFF2-40B4-BE49-F238E27FC236}">
              <a16:creationId xmlns:a16="http://schemas.microsoft.com/office/drawing/2014/main" id="{D199BEC7-9937-4AA6-8802-27FF9FB53D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" name="TextBox 8">
          <a:extLst>
            <a:ext uri="{FF2B5EF4-FFF2-40B4-BE49-F238E27FC236}">
              <a16:creationId xmlns:a16="http://schemas.microsoft.com/office/drawing/2014/main" id="{3F59A932-A185-41EB-9B3E-22581BC9CA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" name="TextBox 2">
          <a:extLst>
            <a:ext uri="{FF2B5EF4-FFF2-40B4-BE49-F238E27FC236}">
              <a16:creationId xmlns:a16="http://schemas.microsoft.com/office/drawing/2014/main" id="{F61620AC-B942-4158-B56A-51FCF57246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" name="TextBox 4">
          <a:extLst>
            <a:ext uri="{FF2B5EF4-FFF2-40B4-BE49-F238E27FC236}">
              <a16:creationId xmlns:a16="http://schemas.microsoft.com/office/drawing/2014/main" id="{90DB32BA-977E-466A-B38A-2D2BB891A9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" name="TextBox 5">
          <a:extLst>
            <a:ext uri="{FF2B5EF4-FFF2-40B4-BE49-F238E27FC236}">
              <a16:creationId xmlns:a16="http://schemas.microsoft.com/office/drawing/2014/main" id="{F781E29A-04A1-432C-A899-61454B54F7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" name="TextBox 6">
          <a:extLst>
            <a:ext uri="{FF2B5EF4-FFF2-40B4-BE49-F238E27FC236}">
              <a16:creationId xmlns:a16="http://schemas.microsoft.com/office/drawing/2014/main" id="{6F2B31AE-F07C-42E9-A0A4-3BC8E17931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" name="TextBox 7">
          <a:extLst>
            <a:ext uri="{FF2B5EF4-FFF2-40B4-BE49-F238E27FC236}">
              <a16:creationId xmlns:a16="http://schemas.microsoft.com/office/drawing/2014/main" id="{610DD75A-9C90-4491-9CD0-FE36DF8B4D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" name="TextBox 8">
          <a:extLst>
            <a:ext uri="{FF2B5EF4-FFF2-40B4-BE49-F238E27FC236}">
              <a16:creationId xmlns:a16="http://schemas.microsoft.com/office/drawing/2014/main" id="{ABFBD53D-79EE-4D23-A6F1-F2375F6AED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" name="TextBox 2">
          <a:extLst>
            <a:ext uri="{FF2B5EF4-FFF2-40B4-BE49-F238E27FC236}">
              <a16:creationId xmlns:a16="http://schemas.microsoft.com/office/drawing/2014/main" id="{8D7F0785-2CF4-47F2-A8DD-E8CD67FD59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" name="TextBox 4">
          <a:extLst>
            <a:ext uri="{FF2B5EF4-FFF2-40B4-BE49-F238E27FC236}">
              <a16:creationId xmlns:a16="http://schemas.microsoft.com/office/drawing/2014/main" id="{688C9122-ABE2-480E-A9D9-40A8F49BFC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" name="TextBox 5">
          <a:extLst>
            <a:ext uri="{FF2B5EF4-FFF2-40B4-BE49-F238E27FC236}">
              <a16:creationId xmlns:a16="http://schemas.microsoft.com/office/drawing/2014/main" id="{5F4D0C8E-3AF8-43C7-92A0-FBA64F7271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" name="TextBox 6">
          <a:extLst>
            <a:ext uri="{FF2B5EF4-FFF2-40B4-BE49-F238E27FC236}">
              <a16:creationId xmlns:a16="http://schemas.microsoft.com/office/drawing/2014/main" id="{281C5400-E1F0-492F-95AC-1FD8BBA5EF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" name="TextBox 7">
          <a:extLst>
            <a:ext uri="{FF2B5EF4-FFF2-40B4-BE49-F238E27FC236}">
              <a16:creationId xmlns:a16="http://schemas.microsoft.com/office/drawing/2014/main" id="{DBF27553-DD3E-490F-A0C4-8156C7EBE7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" name="TextBox 8">
          <a:extLst>
            <a:ext uri="{FF2B5EF4-FFF2-40B4-BE49-F238E27FC236}">
              <a16:creationId xmlns:a16="http://schemas.microsoft.com/office/drawing/2014/main" id="{F3783988-A537-4A29-86E3-E7C41D775B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" name="TextBox 2">
          <a:extLst>
            <a:ext uri="{FF2B5EF4-FFF2-40B4-BE49-F238E27FC236}">
              <a16:creationId xmlns:a16="http://schemas.microsoft.com/office/drawing/2014/main" id="{41EE6D56-0A18-4328-A5DC-CA95D84FA5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" name="TextBox 4">
          <a:extLst>
            <a:ext uri="{FF2B5EF4-FFF2-40B4-BE49-F238E27FC236}">
              <a16:creationId xmlns:a16="http://schemas.microsoft.com/office/drawing/2014/main" id="{EBDAA3ED-D09E-4857-A9BF-0692E89021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" name="TextBox 5">
          <a:extLst>
            <a:ext uri="{FF2B5EF4-FFF2-40B4-BE49-F238E27FC236}">
              <a16:creationId xmlns:a16="http://schemas.microsoft.com/office/drawing/2014/main" id="{0FBDE17C-6780-4C9E-8D11-4A87F2E31E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" name="TextBox 6">
          <a:extLst>
            <a:ext uri="{FF2B5EF4-FFF2-40B4-BE49-F238E27FC236}">
              <a16:creationId xmlns:a16="http://schemas.microsoft.com/office/drawing/2014/main" id="{D38F4F51-2C66-45AB-B7A7-6EE6399EAF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" name="TextBox 7">
          <a:extLst>
            <a:ext uri="{FF2B5EF4-FFF2-40B4-BE49-F238E27FC236}">
              <a16:creationId xmlns:a16="http://schemas.microsoft.com/office/drawing/2014/main" id="{5A65E782-9DED-4961-9992-A13D2B127A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" name="TextBox 8">
          <a:extLst>
            <a:ext uri="{FF2B5EF4-FFF2-40B4-BE49-F238E27FC236}">
              <a16:creationId xmlns:a16="http://schemas.microsoft.com/office/drawing/2014/main" id="{671F96C7-C10E-4CCA-94AC-4843BB9B59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" name="TextBox 2">
          <a:extLst>
            <a:ext uri="{FF2B5EF4-FFF2-40B4-BE49-F238E27FC236}">
              <a16:creationId xmlns:a16="http://schemas.microsoft.com/office/drawing/2014/main" id="{CC3BEA32-9BBA-4C42-8155-C44AF8C9C0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" name="TextBox 4">
          <a:extLst>
            <a:ext uri="{FF2B5EF4-FFF2-40B4-BE49-F238E27FC236}">
              <a16:creationId xmlns:a16="http://schemas.microsoft.com/office/drawing/2014/main" id="{4908E4B9-118D-4B87-9948-2F363125DC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" name="TextBox 5">
          <a:extLst>
            <a:ext uri="{FF2B5EF4-FFF2-40B4-BE49-F238E27FC236}">
              <a16:creationId xmlns:a16="http://schemas.microsoft.com/office/drawing/2014/main" id="{B2FEE635-0DAE-41BD-BD90-F022E1BD53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" name="TextBox 6">
          <a:extLst>
            <a:ext uri="{FF2B5EF4-FFF2-40B4-BE49-F238E27FC236}">
              <a16:creationId xmlns:a16="http://schemas.microsoft.com/office/drawing/2014/main" id="{4BD3225F-9BC5-4535-93FF-CCFA297CAC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" name="TextBox 7">
          <a:extLst>
            <a:ext uri="{FF2B5EF4-FFF2-40B4-BE49-F238E27FC236}">
              <a16:creationId xmlns:a16="http://schemas.microsoft.com/office/drawing/2014/main" id="{CEFA7A45-D3DD-4993-919F-3554AA73BF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" name="TextBox 8">
          <a:extLst>
            <a:ext uri="{FF2B5EF4-FFF2-40B4-BE49-F238E27FC236}">
              <a16:creationId xmlns:a16="http://schemas.microsoft.com/office/drawing/2014/main" id="{5C2C6DDC-0EB0-4B25-8715-7DC55F5F2D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" name="TextBox 2">
          <a:extLst>
            <a:ext uri="{FF2B5EF4-FFF2-40B4-BE49-F238E27FC236}">
              <a16:creationId xmlns:a16="http://schemas.microsoft.com/office/drawing/2014/main" id="{090BAF9F-7490-484D-9CBB-7F2598558F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" name="TextBox 4">
          <a:extLst>
            <a:ext uri="{FF2B5EF4-FFF2-40B4-BE49-F238E27FC236}">
              <a16:creationId xmlns:a16="http://schemas.microsoft.com/office/drawing/2014/main" id="{B8349435-9E83-4654-8D0F-A69EE14D96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" name="TextBox 5">
          <a:extLst>
            <a:ext uri="{FF2B5EF4-FFF2-40B4-BE49-F238E27FC236}">
              <a16:creationId xmlns:a16="http://schemas.microsoft.com/office/drawing/2014/main" id="{7E3F8C09-DBE9-452E-809F-098506E48FF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" name="TextBox 6">
          <a:extLst>
            <a:ext uri="{FF2B5EF4-FFF2-40B4-BE49-F238E27FC236}">
              <a16:creationId xmlns:a16="http://schemas.microsoft.com/office/drawing/2014/main" id="{2696E461-174D-4F69-8722-DE2ADFDA33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" name="TextBox 7">
          <a:extLst>
            <a:ext uri="{FF2B5EF4-FFF2-40B4-BE49-F238E27FC236}">
              <a16:creationId xmlns:a16="http://schemas.microsoft.com/office/drawing/2014/main" id="{B3F16D46-464B-4926-9D31-185B42FF16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" name="TextBox 8">
          <a:extLst>
            <a:ext uri="{FF2B5EF4-FFF2-40B4-BE49-F238E27FC236}">
              <a16:creationId xmlns:a16="http://schemas.microsoft.com/office/drawing/2014/main" id="{C9655EE8-4B52-46FD-B4AF-DE5740FC2B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" name="TextBox 2">
          <a:extLst>
            <a:ext uri="{FF2B5EF4-FFF2-40B4-BE49-F238E27FC236}">
              <a16:creationId xmlns:a16="http://schemas.microsoft.com/office/drawing/2014/main" id="{3250ED3B-93CE-4846-B27B-07A40DEDF8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" name="TextBox 4">
          <a:extLst>
            <a:ext uri="{FF2B5EF4-FFF2-40B4-BE49-F238E27FC236}">
              <a16:creationId xmlns:a16="http://schemas.microsoft.com/office/drawing/2014/main" id="{BA49C97B-2E39-4C65-9B07-5860A81FE1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" name="TextBox 5">
          <a:extLst>
            <a:ext uri="{FF2B5EF4-FFF2-40B4-BE49-F238E27FC236}">
              <a16:creationId xmlns:a16="http://schemas.microsoft.com/office/drawing/2014/main" id="{0E60EFF9-4589-4F0B-B693-FE12CB4F97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" name="TextBox 6">
          <a:extLst>
            <a:ext uri="{FF2B5EF4-FFF2-40B4-BE49-F238E27FC236}">
              <a16:creationId xmlns:a16="http://schemas.microsoft.com/office/drawing/2014/main" id="{D8FE5849-43D6-4796-BC23-02743BE829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" name="TextBox 7">
          <a:extLst>
            <a:ext uri="{FF2B5EF4-FFF2-40B4-BE49-F238E27FC236}">
              <a16:creationId xmlns:a16="http://schemas.microsoft.com/office/drawing/2014/main" id="{27B5AA48-2C4E-4182-B110-C6C5EB1D573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" name="TextBox 8">
          <a:extLst>
            <a:ext uri="{FF2B5EF4-FFF2-40B4-BE49-F238E27FC236}">
              <a16:creationId xmlns:a16="http://schemas.microsoft.com/office/drawing/2014/main" id="{C1F58C6C-1AFE-425E-BA19-6CE831926A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" name="TextBox 2">
          <a:extLst>
            <a:ext uri="{FF2B5EF4-FFF2-40B4-BE49-F238E27FC236}">
              <a16:creationId xmlns:a16="http://schemas.microsoft.com/office/drawing/2014/main" id="{7563C230-B3FF-4368-B82C-894DF2EF4A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" name="TextBox 4">
          <a:extLst>
            <a:ext uri="{FF2B5EF4-FFF2-40B4-BE49-F238E27FC236}">
              <a16:creationId xmlns:a16="http://schemas.microsoft.com/office/drawing/2014/main" id="{F04B611E-B37F-46B6-B6FA-CF8BF68256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" name="TextBox 5">
          <a:extLst>
            <a:ext uri="{FF2B5EF4-FFF2-40B4-BE49-F238E27FC236}">
              <a16:creationId xmlns:a16="http://schemas.microsoft.com/office/drawing/2014/main" id="{7BB1EFFB-B9B4-4FD0-8E8B-574D4975AE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" name="TextBox 6">
          <a:extLst>
            <a:ext uri="{FF2B5EF4-FFF2-40B4-BE49-F238E27FC236}">
              <a16:creationId xmlns:a16="http://schemas.microsoft.com/office/drawing/2014/main" id="{77303AB9-8AAD-4565-A2CF-3D764CEC3B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" name="TextBox 7">
          <a:extLst>
            <a:ext uri="{FF2B5EF4-FFF2-40B4-BE49-F238E27FC236}">
              <a16:creationId xmlns:a16="http://schemas.microsoft.com/office/drawing/2014/main" id="{7A051567-576D-40A1-916C-74B2B7C408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" name="TextBox 8">
          <a:extLst>
            <a:ext uri="{FF2B5EF4-FFF2-40B4-BE49-F238E27FC236}">
              <a16:creationId xmlns:a16="http://schemas.microsoft.com/office/drawing/2014/main" id="{B5AAF942-630C-43E3-B1E2-AF27F02433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" name="TextBox 2">
          <a:extLst>
            <a:ext uri="{FF2B5EF4-FFF2-40B4-BE49-F238E27FC236}">
              <a16:creationId xmlns:a16="http://schemas.microsoft.com/office/drawing/2014/main" id="{67458129-F4A2-415D-86F5-418DEEA526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" name="TextBox 4">
          <a:extLst>
            <a:ext uri="{FF2B5EF4-FFF2-40B4-BE49-F238E27FC236}">
              <a16:creationId xmlns:a16="http://schemas.microsoft.com/office/drawing/2014/main" id="{6A421D83-2D30-4108-966A-E85D6F6334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" name="TextBox 5">
          <a:extLst>
            <a:ext uri="{FF2B5EF4-FFF2-40B4-BE49-F238E27FC236}">
              <a16:creationId xmlns:a16="http://schemas.microsoft.com/office/drawing/2014/main" id="{1DCAEA03-3DEA-435E-9FEC-5B6242A333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" name="TextBox 6">
          <a:extLst>
            <a:ext uri="{FF2B5EF4-FFF2-40B4-BE49-F238E27FC236}">
              <a16:creationId xmlns:a16="http://schemas.microsoft.com/office/drawing/2014/main" id="{A3DBF547-D46D-45B7-8B8D-F1D7222866B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" name="TextBox 7">
          <a:extLst>
            <a:ext uri="{FF2B5EF4-FFF2-40B4-BE49-F238E27FC236}">
              <a16:creationId xmlns:a16="http://schemas.microsoft.com/office/drawing/2014/main" id="{8517CC36-336B-403D-8B66-4E9AAC5D6B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" name="TextBox 8">
          <a:extLst>
            <a:ext uri="{FF2B5EF4-FFF2-40B4-BE49-F238E27FC236}">
              <a16:creationId xmlns:a16="http://schemas.microsoft.com/office/drawing/2014/main" id="{9C9B43C0-8717-45EA-9D7A-07E5D7B675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" name="TextBox 2">
          <a:extLst>
            <a:ext uri="{FF2B5EF4-FFF2-40B4-BE49-F238E27FC236}">
              <a16:creationId xmlns:a16="http://schemas.microsoft.com/office/drawing/2014/main" id="{4F1C5C33-B7D7-41CB-A36E-809AADA1C7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" name="TextBox 4">
          <a:extLst>
            <a:ext uri="{FF2B5EF4-FFF2-40B4-BE49-F238E27FC236}">
              <a16:creationId xmlns:a16="http://schemas.microsoft.com/office/drawing/2014/main" id="{A68CF546-9C69-443B-908D-768FEAEF0D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" name="TextBox 5">
          <a:extLst>
            <a:ext uri="{FF2B5EF4-FFF2-40B4-BE49-F238E27FC236}">
              <a16:creationId xmlns:a16="http://schemas.microsoft.com/office/drawing/2014/main" id="{EC6A6AB2-3E77-471C-A7F2-83701C0561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" name="TextBox 6">
          <a:extLst>
            <a:ext uri="{FF2B5EF4-FFF2-40B4-BE49-F238E27FC236}">
              <a16:creationId xmlns:a16="http://schemas.microsoft.com/office/drawing/2014/main" id="{797FA020-D09B-4EC3-8104-7848DB4A3A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" name="TextBox 7">
          <a:extLst>
            <a:ext uri="{FF2B5EF4-FFF2-40B4-BE49-F238E27FC236}">
              <a16:creationId xmlns:a16="http://schemas.microsoft.com/office/drawing/2014/main" id="{EAD493DB-3190-4847-B49E-F632A1C04B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" name="TextBox 8">
          <a:extLst>
            <a:ext uri="{FF2B5EF4-FFF2-40B4-BE49-F238E27FC236}">
              <a16:creationId xmlns:a16="http://schemas.microsoft.com/office/drawing/2014/main" id="{FCC8E4D3-CB20-4000-95C6-70BA8359F8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" name="TextBox 2">
          <a:extLst>
            <a:ext uri="{FF2B5EF4-FFF2-40B4-BE49-F238E27FC236}">
              <a16:creationId xmlns:a16="http://schemas.microsoft.com/office/drawing/2014/main" id="{63DE7839-ECD2-48A8-9291-2A407648D2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" name="TextBox 4">
          <a:extLst>
            <a:ext uri="{FF2B5EF4-FFF2-40B4-BE49-F238E27FC236}">
              <a16:creationId xmlns:a16="http://schemas.microsoft.com/office/drawing/2014/main" id="{71B1908D-AB23-4187-B3C9-9A23B578B0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" name="TextBox 5">
          <a:extLst>
            <a:ext uri="{FF2B5EF4-FFF2-40B4-BE49-F238E27FC236}">
              <a16:creationId xmlns:a16="http://schemas.microsoft.com/office/drawing/2014/main" id="{A2A58C55-57CE-4063-A227-6E8BCD572B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" name="TextBox 6">
          <a:extLst>
            <a:ext uri="{FF2B5EF4-FFF2-40B4-BE49-F238E27FC236}">
              <a16:creationId xmlns:a16="http://schemas.microsoft.com/office/drawing/2014/main" id="{4917355A-4FF6-445F-9024-C430B76BB1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" name="TextBox 7">
          <a:extLst>
            <a:ext uri="{FF2B5EF4-FFF2-40B4-BE49-F238E27FC236}">
              <a16:creationId xmlns:a16="http://schemas.microsoft.com/office/drawing/2014/main" id="{8FA4C08A-C8F3-482C-8789-DACB8CA614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" name="TextBox 8">
          <a:extLst>
            <a:ext uri="{FF2B5EF4-FFF2-40B4-BE49-F238E27FC236}">
              <a16:creationId xmlns:a16="http://schemas.microsoft.com/office/drawing/2014/main" id="{04B5A712-52ED-479E-831D-0D67D40795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" name="TextBox 2">
          <a:extLst>
            <a:ext uri="{FF2B5EF4-FFF2-40B4-BE49-F238E27FC236}">
              <a16:creationId xmlns:a16="http://schemas.microsoft.com/office/drawing/2014/main" id="{56D56A4F-0323-4AA5-8B42-B9894DE5E9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" name="TextBox 4">
          <a:extLst>
            <a:ext uri="{FF2B5EF4-FFF2-40B4-BE49-F238E27FC236}">
              <a16:creationId xmlns:a16="http://schemas.microsoft.com/office/drawing/2014/main" id="{D58D622D-CF60-4DBF-BC55-877E20720B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" name="TextBox 5">
          <a:extLst>
            <a:ext uri="{FF2B5EF4-FFF2-40B4-BE49-F238E27FC236}">
              <a16:creationId xmlns:a16="http://schemas.microsoft.com/office/drawing/2014/main" id="{5771F8DC-D9B9-43DC-B2B5-2DC9FEECF0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" name="TextBox 6">
          <a:extLst>
            <a:ext uri="{FF2B5EF4-FFF2-40B4-BE49-F238E27FC236}">
              <a16:creationId xmlns:a16="http://schemas.microsoft.com/office/drawing/2014/main" id="{C983526F-B076-46DF-A3DB-3D9F87233F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" name="TextBox 7">
          <a:extLst>
            <a:ext uri="{FF2B5EF4-FFF2-40B4-BE49-F238E27FC236}">
              <a16:creationId xmlns:a16="http://schemas.microsoft.com/office/drawing/2014/main" id="{711663BD-DE32-454B-BA82-59F7F18B23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" name="TextBox 8">
          <a:extLst>
            <a:ext uri="{FF2B5EF4-FFF2-40B4-BE49-F238E27FC236}">
              <a16:creationId xmlns:a16="http://schemas.microsoft.com/office/drawing/2014/main" id="{F66DC08C-A389-4665-BDF2-4CFA4E9FEB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" name="TextBox 2">
          <a:extLst>
            <a:ext uri="{FF2B5EF4-FFF2-40B4-BE49-F238E27FC236}">
              <a16:creationId xmlns:a16="http://schemas.microsoft.com/office/drawing/2014/main" id="{1992B2F5-D15C-4A66-82AB-9735F7EC1B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" name="TextBox 4">
          <a:extLst>
            <a:ext uri="{FF2B5EF4-FFF2-40B4-BE49-F238E27FC236}">
              <a16:creationId xmlns:a16="http://schemas.microsoft.com/office/drawing/2014/main" id="{B6A55A4D-5B58-4420-AC72-4E475FDAEB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" name="TextBox 5">
          <a:extLst>
            <a:ext uri="{FF2B5EF4-FFF2-40B4-BE49-F238E27FC236}">
              <a16:creationId xmlns:a16="http://schemas.microsoft.com/office/drawing/2014/main" id="{9A7D355A-5C1B-4504-B660-ECE84C766F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" name="TextBox 6">
          <a:extLst>
            <a:ext uri="{FF2B5EF4-FFF2-40B4-BE49-F238E27FC236}">
              <a16:creationId xmlns:a16="http://schemas.microsoft.com/office/drawing/2014/main" id="{7D83B1AE-D709-4CB0-B76B-994F226777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" name="TextBox 7">
          <a:extLst>
            <a:ext uri="{FF2B5EF4-FFF2-40B4-BE49-F238E27FC236}">
              <a16:creationId xmlns:a16="http://schemas.microsoft.com/office/drawing/2014/main" id="{0E8CE3D0-B6F4-4908-984A-521338AE52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" name="TextBox 8">
          <a:extLst>
            <a:ext uri="{FF2B5EF4-FFF2-40B4-BE49-F238E27FC236}">
              <a16:creationId xmlns:a16="http://schemas.microsoft.com/office/drawing/2014/main" id="{FFBECA31-816E-446E-AC9F-E5C25D876A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" name="TextBox 2">
          <a:extLst>
            <a:ext uri="{FF2B5EF4-FFF2-40B4-BE49-F238E27FC236}">
              <a16:creationId xmlns:a16="http://schemas.microsoft.com/office/drawing/2014/main" id="{DC66BEC5-B4D8-44C3-9537-46F2B135B5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" name="TextBox 4">
          <a:extLst>
            <a:ext uri="{FF2B5EF4-FFF2-40B4-BE49-F238E27FC236}">
              <a16:creationId xmlns:a16="http://schemas.microsoft.com/office/drawing/2014/main" id="{41A6AFB7-1305-4BC1-9946-C10FB4F45A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" name="TextBox 5">
          <a:extLst>
            <a:ext uri="{FF2B5EF4-FFF2-40B4-BE49-F238E27FC236}">
              <a16:creationId xmlns:a16="http://schemas.microsoft.com/office/drawing/2014/main" id="{046B0E58-7FBF-4F63-B418-79857565CC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" name="TextBox 6">
          <a:extLst>
            <a:ext uri="{FF2B5EF4-FFF2-40B4-BE49-F238E27FC236}">
              <a16:creationId xmlns:a16="http://schemas.microsoft.com/office/drawing/2014/main" id="{9F3A2FD8-B930-429E-A21A-C6D824D2D7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" name="TextBox 7">
          <a:extLst>
            <a:ext uri="{FF2B5EF4-FFF2-40B4-BE49-F238E27FC236}">
              <a16:creationId xmlns:a16="http://schemas.microsoft.com/office/drawing/2014/main" id="{DC07E9E6-E6B2-40F7-9900-A1139EC302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" name="TextBox 8">
          <a:extLst>
            <a:ext uri="{FF2B5EF4-FFF2-40B4-BE49-F238E27FC236}">
              <a16:creationId xmlns:a16="http://schemas.microsoft.com/office/drawing/2014/main" id="{D3E3D9B9-99A8-45E7-8B60-C230D75006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" name="TextBox 2">
          <a:extLst>
            <a:ext uri="{FF2B5EF4-FFF2-40B4-BE49-F238E27FC236}">
              <a16:creationId xmlns:a16="http://schemas.microsoft.com/office/drawing/2014/main" id="{C2067C83-344A-4687-9CDA-16F317AAA0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" name="TextBox 4">
          <a:extLst>
            <a:ext uri="{FF2B5EF4-FFF2-40B4-BE49-F238E27FC236}">
              <a16:creationId xmlns:a16="http://schemas.microsoft.com/office/drawing/2014/main" id="{6BDB8752-66CE-4784-863A-297C716049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" name="TextBox 5">
          <a:extLst>
            <a:ext uri="{FF2B5EF4-FFF2-40B4-BE49-F238E27FC236}">
              <a16:creationId xmlns:a16="http://schemas.microsoft.com/office/drawing/2014/main" id="{8033C64B-3A00-457F-9596-EE318504C1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" name="TextBox 6">
          <a:extLst>
            <a:ext uri="{FF2B5EF4-FFF2-40B4-BE49-F238E27FC236}">
              <a16:creationId xmlns:a16="http://schemas.microsoft.com/office/drawing/2014/main" id="{69C9A61E-B754-452C-8890-EE7ED10CC52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" name="TextBox 7">
          <a:extLst>
            <a:ext uri="{FF2B5EF4-FFF2-40B4-BE49-F238E27FC236}">
              <a16:creationId xmlns:a16="http://schemas.microsoft.com/office/drawing/2014/main" id="{2527012B-DB61-473C-B64E-100AEDC9651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" name="TextBox 8">
          <a:extLst>
            <a:ext uri="{FF2B5EF4-FFF2-40B4-BE49-F238E27FC236}">
              <a16:creationId xmlns:a16="http://schemas.microsoft.com/office/drawing/2014/main" id="{6E9CC798-6731-42B5-9375-E9CFD3A517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" name="TextBox 2">
          <a:extLst>
            <a:ext uri="{FF2B5EF4-FFF2-40B4-BE49-F238E27FC236}">
              <a16:creationId xmlns:a16="http://schemas.microsoft.com/office/drawing/2014/main" id="{FB307FCB-3D0C-471C-AF3F-8E2EF12B57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" name="TextBox 4">
          <a:extLst>
            <a:ext uri="{FF2B5EF4-FFF2-40B4-BE49-F238E27FC236}">
              <a16:creationId xmlns:a16="http://schemas.microsoft.com/office/drawing/2014/main" id="{10568440-FB0D-4FEA-B394-18EF181FFB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" name="TextBox 5">
          <a:extLst>
            <a:ext uri="{FF2B5EF4-FFF2-40B4-BE49-F238E27FC236}">
              <a16:creationId xmlns:a16="http://schemas.microsoft.com/office/drawing/2014/main" id="{6F9BE1EF-C1D9-4B28-A8C7-1359E7EACB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" name="TextBox 6">
          <a:extLst>
            <a:ext uri="{FF2B5EF4-FFF2-40B4-BE49-F238E27FC236}">
              <a16:creationId xmlns:a16="http://schemas.microsoft.com/office/drawing/2014/main" id="{A3B1423A-1A63-4C46-9521-D20AAE9550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" name="TextBox 7">
          <a:extLst>
            <a:ext uri="{FF2B5EF4-FFF2-40B4-BE49-F238E27FC236}">
              <a16:creationId xmlns:a16="http://schemas.microsoft.com/office/drawing/2014/main" id="{9B3E3E73-2C66-44E2-948A-01FF91DDE8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" name="TextBox 8">
          <a:extLst>
            <a:ext uri="{FF2B5EF4-FFF2-40B4-BE49-F238E27FC236}">
              <a16:creationId xmlns:a16="http://schemas.microsoft.com/office/drawing/2014/main" id="{46F31455-5B94-49E0-B5F9-C9DD098B2A6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" name="TextBox 2">
          <a:extLst>
            <a:ext uri="{FF2B5EF4-FFF2-40B4-BE49-F238E27FC236}">
              <a16:creationId xmlns:a16="http://schemas.microsoft.com/office/drawing/2014/main" id="{1B8AA1BD-707B-49D9-83DD-A1C6240EBC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" name="TextBox 4">
          <a:extLst>
            <a:ext uri="{FF2B5EF4-FFF2-40B4-BE49-F238E27FC236}">
              <a16:creationId xmlns:a16="http://schemas.microsoft.com/office/drawing/2014/main" id="{8D3079BB-3AA1-4AC1-8B58-42F6E4CF8D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" name="TextBox 5">
          <a:extLst>
            <a:ext uri="{FF2B5EF4-FFF2-40B4-BE49-F238E27FC236}">
              <a16:creationId xmlns:a16="http://schemas.microsoft.com/office/drawing/2014/main" id="{4AE817D3-05AC-4271-8E66-E16CDE331E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" name="TextBox 6">
          <a:extLst>
            <a:ext uri="{FF2B5EF4-FFF2-40B4-BE49-F238E27FC236}">
              <a16:creationId xmlns:a16="http://schemas.microsoft.com/office/drawing/2014/main" id="{34D6B0A1-D7A4-4BB9-93DC-811FAC4D41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" name="TextBox 7">
          <a:extLst>
            <a:ext uri="{FF2B5EF4-FFF2-40B4-BE49-F238E27FC236}">
              <a16:creationId xmlns:a16="http://schemas.microsoft.com/office/drawing/2014/main" id="{5940C87F-3EAF-4CC2-8CEF-62237DAACAB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" name="TextBox 8">
          <a:extLst>
            <a:ext uri="{FF2B5EF4-FFF2-40B4-BE49-F238E27FC236}">
              <a16:creationId xmlns:a16="http://schemas.microsoft.com/office/drawing/2014/main" id="{7CB0B389-8850-4D03-ADA1-22BFFF844C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" name="TextBox 2">
          <a:extLst>
            <a:ext uri="{FF2B5EF4-FFF2-40B4-BE49-F238E27FC236}">
              <a16:creationId xmlns:a16="http://schemas.microsoft.com/office/drawing/2014/main" id="{737AEB32-06AF-45E5-82D2-213D2D0FE5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" name="TextBox 4">
          <a:extLst>
            <a:ext uri="{FF2B5EF4-FFF2-40B4-BE49-F238E27FC236}">
              <a16:creationId xmlns:a16="http://schemas.microsoft.com/office/drawing/2014/main" id="{B188AF50-C33B-4B2A-835F-9404400B64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" name="TextBox 5">
          <a:extLst>
            <a:ext uri="{FF2B5EF4-FFF2-40B4-BE49-F238E27FC236}">
              <a16:creationId xmlns:a16="http://schemas.microsoft.com/office/drawing/2014/main" id="{C7968FD4-71FA-4F56-A27C-FF784D2C92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" name="TextBox 6">
          <a:extLst>
            <a:ext uri="{FF2B5EF4-FFF2-40B4-BE49-F238E27FC236}">
              <a16:creationId xmlns:a16="http://schemas.microsoft.com/office/drawing/2014/main" id="{5116DD76-DC76-4A81-8A1F-92DDA38EFE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" name="TextBox 7">
          <a:extLst>
            <a:ext uri="{FF2B5EF4-FFF2-40B4-BE49-F238E27FC236}">
              <a16:creationId xmlns:a16="http://schemas.microsoft.com/office/drawing/2014/main" id="{3B736585-AC93-4DB2-A6C0-A81F9EB594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" name="TextBox 8">
          <a:extLst>
            <a:ext uri="{FF2B5EF4-FFF2-40B4-BE49-F238E27FC236}">
              <a16:creationId xmlns:a16="http://schemas.microsoft.com/office/drawing/2014/main" id="{17F1CB37-A087-49CD-9BD1-B99F35C5962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" name="TextBox 2">
          <a:extLst>
            <a:ext uri="{FF2B5EF4-FFF2-40B4-BE49-F238E27FC236}">
              <a16:creationId xmlns:a16="http://schemas.microsoft.com/office/drawing/2014/main" id="{0B23A05E-FAA0-476E-8E17-FD35373EAC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" name="TextBox 4">
          <a:extLst>
            <a:ext uri="{FF2B5EF4-FFF2-40B4-BE49-F238E27FC236}">
              <a16:creationId xmlns:a16="http://schemas.microsoft.com/office/drawing/2014/main" id="{4C01BAB5-1FFE-41D2-9CC1-1ADA0279F1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" name="TextBox 5">
          <a:extLst>
            <a:ext uri="{FF2B5EF4-FFF2-40B4-BE49-F238E27FC236}">
              <a16:creationId xmlns:a16="http://schemas.microsoft.com/office/drawing/2014/main" id="{C6C65CC6-8A43-4D60-803E-1F5AE41031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" name="TextBox 6">
          <a:extLst>
            <a:ext uri="{FF2B5EF4-FFF2-40B4-BE49-F238E27FC236}">
              <a16:creationId xmlns:a16="http://schemas.microsoft.com/office/drawing/2014/main" id="{1B8E6612-A6AD-429D-B130-0D4734871B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" name="TextBox 7">
          <a:extLst>
            <a:ext uri="{FF2B5EF4-FFF2-40B4-BE49-F238E27FC236}">
              <a16:creationId xmlns:a16="http://schemas.microsoft.com/office/drawing/2014/main" id="{D9044EC4-8D8D-47B1-97C9-9C62F6537A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" name="TextBox 8">
          <a:extLst>
            <a:ext uri="{FF2B5EF4-FFF2-40B4-BE49-F238E27FC236}">
              <a16:creationId xmlns:a16="http://schemas.microsoft.com/office/drawing/2014/main" id="{21973393-1309-4649-B9E9-156C9D2DB6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" name="TextBox 2">
          <a:extLst>
            <a:ext uri="{FF2B5EF4-FFF2-40B4-BE49-F238E27FC236}">
              <a16:creationId xmlns:a16="http://schemas.microsoft.com/office/drawing/2014/main" id="{1AFA0182-291F-44E9-B90D-08D235572F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" name="TextBox 4">
          <a:extLst>
            <a:ext uri="{FF2B5EF4-FFF2-40B4-BE49-F238E27FC236}">
              <a16:creationId xmlns:a16="http://schemas.microsoft.com/office/drawing/2014/main" id="{61BA2740-3EBF-4F4E-A4F4-344047EAE0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" name="TextBox 5">
          <a:extLst>
            <a:ext uri="{FF2B5EF4-FFF2-40B4-BE49-F238E27FC236}">
              <a16:creationId xmlns:a16="http://schemas.microsoft.com/office/drawing/2014/main" id="{EB3FB522-5733-4E8A-AEB8-7639505DE0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" name="TextBox 6">
          <a:extLst>
            <a:ext uri="{FF2B5EF4-FFF2-40B4-BE49-F238E27FC236}">
              <a16:creationId xmlns:a16="http://schemas.microsoft.com/office/drawing/2014/main" id="{6FBB0817-EB35-4ADF-ACD3-D90BB5384F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" name="TextBox 7">
          <a:extLst>
            <a:ext uri="{FF2B5EF4-FFF2-40B4-BE49-F238E27FC236}">
              <a16:creationId xmlns:a16="http://schemas.microsoft.com/office/drawing/2014/main" id="{3514395C-5A72-4374-8789-0B1053692B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" name="TextBox 8">
          <a:extLst>
            <a:ext uri="{FF2B5EF4-FFF2-40B4-BE49-F238E27FC236}">
              <a16:creationId xmlns:a16="http://schemas.microsoft.com/office/drawing/2014/main" id="{4847D7A2-8141-4490-8BF1-DB8A534670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" name="TextBox 2">
          <a:extLst>
            <a:ext uri="{FF2B5EF4-FFF2-40B4-BE49-F238E27FC236}">
              <a16:creationId xmlns:a16="http://schemas.microsoft.com/office/drawing/2014/main" id="{C43E6EA9-23F0-4DC6-A2E6-A27C1628A1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" name="TextBox 4">
          <a:extLst>
            <a:ext uri="{FF2B5EF4-FFF2-40B4-BE49-F238E27FC236}">
              <a16:creationId xmlns:a16="http://schemas.microsoft.com/office/drawing/2014/main" id="{DEDAF222-B1DE-4815-8819-4C6A3D8657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" name="TextBox 5">
          <a:extLst>
            <a:ext uri="{FF2B5EF4-FFF2-40B4-BE49-F238E27FC236}">
              <a16:creationId xmlns:a16="http://schemas.microsoft.com/office/drawing/2014/main" id="{C2372FA2-FD09-4979-A8F0-835F391D9F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" name="TextBox 6">
          <a:extLst>
            <a:ext uri="{FF2B5EF4-FFF2-40B4-BE49-F238E27FC236}">
              <a16:creationId xmlns:a16="http://schemas.microsoft.com/office/drawing/2014/main" id="{86482B38-08D6-4EFD-8541-3CA784FE42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" name="TextBox 7">
          <a:extLst>
            <a:ext uri="{FF2B5EF4-FFF2-40B4-BE49-F238E27FC236}">
              <a16:creationId xmlns:a16="http://schemas.microsoft.com/office/drawing/2014/main" id="{01D7E0FF-5CE7-4981-94BA-0570ECB09B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" name="TextBox 8">
          <a:extLst>
            <a:ext uri="{FF2B5EF4-FFF2-40B4-BE49-F238E27FC236}">
              <a16:creationId xmlns:a16="http://schemas.microsoft.com/office/drawing/2014/main" id="{8CFF2B0C-28A1-48E0-9A9B-8C00B8D76F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" name="TextBox 2">
          <a:extLst>
            <a:ext uri="{FF2B5EF4-FFF2-40B4-BE49-F238E27FC236}">
              <a16:creationId xmlns:a16="http://schemas.microsoft.com/office/drawing/2014/main" id="{D7BB1F02-9FDA-48A5-86A6-9E1C6F741F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" name="TextBox 4">
          <a:extLst>
            <a:ext uri="{FF2B5EF4-FFF2-40B4-BE49-F238E27FC236}">
              <a16:creationId xmlns:a16="http://schemas.microsoft.com/office/drawing/2014/main" id="{409EB722-2A84-4D2B-818A-65C9E83A0B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" name="TextBox 5">
          <a:extLst>
            <a:ext uri="{FF2B5EF4-FFF2-40B4-BE49-F238E27FC236}">
              <a16:creationId xmlns:a16="http://schemas.microsoft.com/office/drawing/2014/main" id="{4E396E4D-F330-4502-B957-9540476F5A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" name="TextBox 6">
          <a:extLst>
            <a:ext uri="{FF2B5EF4-FFF2-40B4-BE49-F238E27FC236}">
              <a16:creationId xmlns:a16="http://schemas.microsoft.com/office/drawing/2014/main" id="{E5BE37D1-6414-47DB-86C8-FFACA7001D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" name="TextBox 7">
          <a:extLst>
            <a:ext uri="{FF2B5EF4-FFF2-40B4-BE49-F238E27FC236}">
              <a16:creationId xmlns:a16="http://schemas.microsoft.com/office/drawing/2014/main" id="{797B50C8-82A1-43E2-ADD2-B8CF3A2A18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" name="TextBox 8">
          <a:extLst>
            <a:ext uri="{FF2B5EF4-FFF2-40B4-BE49-F238E27FC236}">
              <a16:creationId xmlns:a16="http://schemas.microsoft.com/office/drawing/2014/main" id="{BF0FD5AF-6051-4925-BE0D-5BA049EB3C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" name="TextBox 2">
          <a:extLst>
            <a:ext uri="{FF2B5EF4-FFF2-40B4-BE49-F238E27FC236}">
              <a16:creationId xmlns:a16="http://schemas.microsoft.com/office/drawing/2014/main" id="{78960687-80EA-4161-8CAF-A063C43BCF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" name="TextBox 4">
          <a:extLst>
            <a:ext uri="{FF2B5EF4-FFF2-40B4-BE49-F238E27FC236}">
              <a16:creationId xmlns:a16="http://schemas.microsoft.com/office/drawing/2014/main" id="{50B7F8D1-0D67-4726-8997-7A3CA289F5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" name="TextBox 5">
          <a:extLst>
            <a:ext uri="{FF2B5EF4-FFF2-40B4-BE49-F238E27FC236}">
              <a16:creationId xmlns:a16="http://schemas.microsoft.com/office/drawing/2014/main" id="{66E599AF-5670-4F43-BF80-515DB02B93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" name="TextBox 6">
          <a:extLst>
            <a:ext uri="{FF2B5EF4-FFF2-40B4-BE49-F238E27FC236}">
              <a16:creationId xmlns:a16="http://schemas.microsoft.com/office/drawing/2014/main" id="{14D11543-DF1D-4787-B52F-8B1EB57B59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" name="TextBox 7">
          <a:extLst>
            <a:ext uri="{FF2B5EF4-FFF2-40B4-BE49-F238E27FC236}">
              <a16:creationId xmlns:a16="http://schemas.microsoft.com/office/drawing/2014/main" id="{83F9778E-9C4A-4C12-8FE5-8F5EFD2E11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" name="TextBox 8">
          <a:extLst>
            <a:ext uri="{FF2B5EF4-FFF2-40B4-BE49-F238E27FC236}">
              <a16:creationId xmlns:a16="http://schemas.microsoft.com/office/drawing/2014/main" id="{AD9AE787-9D2F-430A-9817-5B064B91ED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" name="TextBox 2">
          <a:extLst>
            <a:ext uri="{FF2B5EF4-FFF2-40B4-BE49-F238E27FC236}">
              <a16:creationId xmlns:a16="http://schemas.microsoft.com/office/drawing/2014/main" id="{2EE5E55F-49AF-48C7-8AE8-1A3C778FC6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" name="TextBox 4">
          <a:extLst>
            <a:ext uri="{FF2B5EF4-FFF2-40B4-BE49-F238E27FC236}">
              <a16:creationId xmlns:a16="http://schemas.microsoft.com/office/drawing/2014/main" id="{F97E1B9E-8E19-4363-8FC8-F6693C4654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" name="TextBox 5">
          <a:extLst>
            <a:ext uri="{FF2B5EF4-FFF2-40B4-BE49-F238E27FC236}">
              <a16:creationId xmlns:a16="http://schemas.microsoft.com/office/drawing/2014/main" id="{B7F4C95F-08E3-43DA-BE08-7C11574BDD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" name="TextBox 6">
          <a:extLst>
            <a:ext uri="{FF2B5EF4-FFF2-40B4-BE49-F238E27FC236}">
              <a16:creationId xmlns:a16="http://schemas.microsoft.com/office/drawing/2014/main" id="{85CA5F6D-B2CF-408C-A242-5B09948C9C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" name="TextBox 7">
          <a:extLst>
            <a:ext uri="{FF2B5EF4-FFF2-40B4-BE49-F238E27FC236}">
              <a16:creationId xmlns:a16="http://schemas.microsoft.com/office/drawing/2014/main" id="{2C3FD513-C5FE-4D73-BA64-2B412632DA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" name="TextBox 8">
          <a:extLst>
            <a:ext uri="{FF2B5EF4-FFF2-40B4-BE49-F238E27FC236}">
              <a16:creationId xmlns:a16="http://schemas.microsoft.com/office/drawing/2014/main" id="{530FB587-5714-4E33-8E79-CBB7A7DD93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" name="TextBox 2">
          <a:extLst>
            <a:ext uri="{FF2B5EF4-FFF2-40B4-BE49-F238E27FC236}">
              <a16:creationId xmlns:a16="http://schemas.microsoft.com/office/drawing/2014/main" id="{B147031A-F8C9-44B3-BBEC-B324326BC4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" name="TextBox 4">
          <a:extLst>
            <a:ext uri="{FF2B5EF4-FFF2-40B4-BE49-F238E27FC236}">
              <a16:creationId xmlns:a16="http://schemas.microsoft.com/office/drawing/2014/main" id="{D319201C-863D-484D-9497-9A67057DB0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" name="TextBox 5">
          <a:extLst>
            <a:ext uri="{FF2B5EF4-FFF2-40B4-BE49-F238E27FC236}">
              <a16:creationId xmlns:a16="http://schemas.microsoft.com/office/drawing/2014/main" id="{68CB34F6-46CA-427B-9ACB-781F2C7B4D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" name="TextBox 6">
          <a:extLst>
            <a:ext uri="{FF2B5EF4-FFF2-40B4-BE49-F238E27FC236}">
              <a16:creationId xmlns:a16="http://schemas.microsoft.com/office/drawing/2014/main" id="{010AE8E0-D1CE-45BC-91F9-7389314F5B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" name="TextBox 7">
          <a:extLst>
            <a:ext uri="{FF2B5EF4-FFF2-40B4-BE49-F238E27FC236}">
              <a16:creationId xmlns:a16="http://schemas.microsoft.com/office/drawing/2014/main" id="{B5DB9607-0615-4092-980B-CB1F4B58A23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" name="TextBox 8">
          <a:extLst>
            <a:ext uri="{FF2B5EF4-FFF2-40B4-BE49-F238E27FC236}">
              <a16:creationId xmlns:a16="http://schemas.microsoft.com/office/drawing/2014/main" id="{0C094806-12B9-4F93-9AFD-E10CD735E9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" name="TextBox 2">
          <a:extLst>
            <a:ext uri="{FF2B5EF4-FFF2-40B4-BE49-F238E27FC236}">
              <a16:creationId xmlns:a16="http://schemas.microsoft.com/office/drawing/2014/main" id="{D06B0195-B6E4-4308-BB86-FEC6017FEB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" name="TextBox 4">
          <a:extLst>
            <a:ext uri="{FF2B5EF4-FFF2-40B4-BE49-F238E27FC236}">
              <a16:creationId xmlns:a16="http://schemas.microsoft.com/office/drawing/2014/main" id="{FAA290E7-0D1C-4B16-AFC8-B0BE0D4F9C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" name="TextBox 5">
          <a:extLst>
            <a:ext uri="{FF2B5EF4-FFF2-40B4-BE49-F238E27FC236}">
              <a16:creationId xmlns:a16="http://schemas.microsoft.com/office/drawing/2014/main" id="{5814B1AA-FC29-44E8-9DD9-171DF1BA32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" name="TextBox 6">
          <a:extLst>
            <a:ext uri="{FF2B5EF4-FFF2-40B4-BE49-F238E27FC236}">
              <a16:creationId xmlns:a16="http://schemas.microsoft.com/office/drawing/2014/main" id="{A5804A21-5D2C-4D0A-B8E7-C2B6348094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" name="TextBox 7">
          <a:extLst>
            <a:ext uri="{FF2B5EF4-FFF2-40B4-BE49-F238E27FC236}">
              <a16:creationId xmlns:a16="http://schemas.microsoft.com/office/drawing/2014/main" id="{BADC4458-5A13-4F47-B24B-9659A24600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" name="TextBox 8">
          <a:extLst>
            <a:ext uri="{FF2B5EF4-FFF2-40B4-BE49-F238E27FC236}">
              <a16:creationId xmlns:a16="http://schemas.microsoft.com/office/drawing/2014/main" id="{94651066-9633-425A-92C4-3A732A7F59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" name="TextBox 2">
          <a:extLst>
            <a:ext uri="{FF2B5EF4-FFF2-40B4-BE49-F238E27FC236}">
              <a16:creationId xmlns:a16="http://schemas.microsoft.com/office/drawing/2014/main" id="{CE1DA4FC-66CE-43CF-86FD-CD55FE298C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" name="TextBox 4">
          <a:extLst>
            <a:ext uri="{FF2B5EF4-FFF2-40B4-BE49-F238E27FC236}">
              <a16:creationId xmlns:a16="http://schemas.microsoft.com/office/drawing/2014/main" id="{44693BA3-7697-4A05-943E-D29726A96A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" name="TextBox 5">
          <a:extLst>
            <a:ext uri="{FF2B5EF4-FFF2-40B4-BE49-F238E27FC236}">
              <a16:creationId xmlns:a16="http://schemas.microsoft.com/office/drawing/2014/main" id="{C5625504-03CD-483D-860B-DDFAAE5613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" name="TextBox 6">
          <a:extLst>
            <a:ext uri="{FF2B5EF4-FFF2-40B4-BE49-F238E27FC236}">
              <a16:creationId xmlns:a16="http://schemas.microsoft.com/office/drawing/2014/main" id="{48FB5749-5E24-4F84-8F67-811AA67B64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" name="TextBox 7">
          <a:extLst>
            <a:ext uri="{FF2B5EF4-FFF2-40B4-BE49-F238E27FC236}">
              <a16:creationId xmlns:a16="http://schemas.microsoft.com/office/drawing/2014/main" id="{26B2CF80-F3CE-4CB4-9464-DD99A1B6CA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" name="TextBox 8">
          <a:extLst>
            <a:ext uri="{FF2B5EF4-FFF2-40B4-BE49-F238E27FC236}">
              <a16:creationId xmlns:a16="http://schemas.microsoft.com/office/drawing/2014/main" id="{515CD3C1-625E-4C4B-96F9-089FBAF1D7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" name="TextBox 2">
          <a:extLst>
            <a:ext uri="{FF2B5EF4-FFF2-40B4-BE49-F238E27FC236}">
              <a16:creationId xmlns:a16="http://schemas.microsoft.com/office/drawing/2014/main" id="{A3989F87-9686-46DA-B765-EDDE200711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" name="TextBox 4">
          <a:extLst>
            <a:ext uri="{FF2B5EF4-FFF2-40B4-BE49-F238E27FC236}">
              <a16:creationId xmlns:a16="http://schemas.microsoft.com/office/drawing/2014/main" id="{68C0425A-202C-4614-9923-1A5C6A09D4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" name="TextBox 5">
          <a:extLst>
            <a:ext uri="{FF2B5EF4-FFF2-40B4-BE49-F238E27FC236}">
              <a16:creationId xmlns:a16="http://schemas.microsoft.com/office/drawing/2014/main" id="{0C3E0404-C4C4-4BA8-83D5-335BE4C56D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" name="TextBox 6">
          <a:extLst>
            <a:ext uri="{FF2B5EF4-FFF2-40B4-BE49-F238E27FC236}">
              <a16:creationId xmlns:a16="http://schemas.microsoft.com/office/drawing/2014/main" id="{45542F49-06DB-4699-9206-FB6DDDCE52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" name="TextBox 7">
          <a:extLst>
            <a:ext uri="{FF2B5EF4-FFF2-40B4-BE49-F238E27FC236}">
              <a16:creationId xmlns:a16="http://schemas.microsoft.com/office/drawing/2014/main" id="{9C7D2467-0DE7-4CE8-BCEF-51099059CE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" name="TextBox 8">
          <a:extLst>
            <a:ext uri="{FF2B5EF4-FFF2-40B4-BE49-F238E27FC236}">
              <a16:creationId xmlns:a16="http://schemas.microsoft.com/office/drawing/2014/main" id="{FF2F0EF1-3C62-4EDF-BC6A-C4DCBA1CAE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" name="TextBox 2">
          <a:extLst>
            <a:ext uri="{FF2B5EF4-FFF2-40B4-BE49-F238E27FC236}">
              <a16:creationId xmlns:a16="http://schemas.microsoft.com/office/drawing/2014/main" id="{D5452A46-02D5-4DEA-A666-2BB0627B64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" name="TextBox 4">
          <a:extLst>
            <a:ext uri="{FF2B5EF4-FFF2-40B4-BE49-F238E27FC236}">
              <a16:creationId xmlns:a16="http://schemas.microsoft.com/office/drawing/2014/main" id="{D419C4F0-0F21-40E4-92CC-7EED272C8E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" name="TextBox 5">
          <a:extLst>
            <a:ext uri="{FF2B5EF4-FFF2-40B4-BE49-F238E27FC236}">
              <a16:creationId xmlns:a16="http://schemas.microsoft.com/office/drawing/2014/main" id="{4E885E76-BFC1-47E6-8BD1-47A3299DA8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" name="TextBox 6">
          <a:extLst>
            <a:ext uri="{FF2B5EF4-FFF2-40B4-BE49-F238E27FC236}">
              <a16:creationId xmlns:a16="http://schemas.microsoft.com/office/drawing/2014/main" id="{B5F4E51A-B607-41A2-B6FF-B838809A61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" name="TextBox 7">
          <a:extLst>
            <a:ext uri="{FF2B5EF4-FFF2-40B4-BE49-F238E27FC236}">
              <a16:creationId xmlns:a16="http://schemas.microsoft.com/office/drawing/2014/main" id="{F94BF52E-E853-4BDA-9E70-E5FBCC5E194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" name="TextBox 8">
          <a:extLst>
            <a:ext uri="{FF2B5EF4-FFF2-40B4-BE49-F238E27FC236}">
              <a16:creationId xmlns:a16="http://schemas.microsoft.com/office/drawing/2014/main" id="{01471432-C81F-4849-8EC0-F55A2E2DEC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" name="TextBox 2">
          <a:extLst>
            <a:ext uri="{FF2B5EF4-FFF2-40B4-BE49-F238E27FC236}">
              <a16:creationId xmlns:a16="http://schemas.microsoft.com/office/drawing/2014/main" id="{4FF574C0-7567-43E7-8DC2-8A9B7EFC15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" name="TextBox 4">
          <a:extLst>
            <a:ext uri="{FF2B5EF4-FFF2-40B4-BE49-F238E27FC236}">
              <a16:creationId xmlns:a16="http://schemas.microsoft.com/office/drawing/2014/main" id="{8C80CF57-D589-4BCF-BE6A-4AB345004F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" name="TextBox 5">
          <a:extLst>
            <a:ext uri="{FF2B5EF4-FFF2-40B4-BE49-F238E27FC236}">
              <a16:creationId xmlns:a16="http://schemas.microsoft.com/office/drawing/2014/main" id="{5D0D8EF9-9DCA-44CA-B84E-D5E37051D0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" name="TextBox 6">
          <a:extLst>
            <a:ext uri="{FF2B5EF4-FFF2-40B4-BE49-F238E27FC236}">
              <a16:creationId xmlns:a16="http://schemas.microsoft.com/office/drawing/2014/main" id="{9B56B8BF-2112-4A25-BF9B-10A05DDD06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" name="TextBox 7">
          <a:extLst>
            <a:ext uri="{FF2B5EF4-FFF2-40B4-BE49-F238E27FC236}">
              <a16:creationId xmlns:a16="http://schemas.microsoft.com/office/drawing/2014/main" id="{A4B0D34B-1D55-4CEE-9937-2E6F3D4C01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" name="TextBox 8">
          <a:extLst>
            <a:ext uri="{FF2B5EF4-FFF2-40B4-BE49-F238E27FC236}">
              <a16:creationId xmlns:a16="http://schemas.microsoft.com/office/drawing/2014/main" id="{226B72E6-D3A2-4B14-BE6A-4E0E80EE57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" name="TextBox 2">
          <a:extLst>
            <a:ext uri="{FF2B5EF4-FFF2-40B4-BE49-F238E27FC236}">
              <a16:creationId xmlns:a16="http://schemas.microsoft.com/office/drawing/2014/main" id="{EA4F0AEB-0113-4E18-9DC6-B52B8A17F8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" name="TextBox 4">
          <a:extLst>
            <a:ext uri="{FF2B5EF4-FFF2-40B4-BE49-F238E27FC236}">
              <a16:creationId xmlns:a16="http://schemas.microsoft.com/office/drawing/2014/main" id="{2E4A2AC7-A12B-4430-85D3-CCC1694A90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" name="TextBox 5">
          <a:extLst>
            <a:ext uri="{FF2B5EF4-FFF2-40B4-BE49-F238E27FC236}">
              <a16:creationId xmlns:a16="http://schemas.microsoft.com/office/drawing/2014/main" id="{36752BCB-B11F-456D-903F-0AC4778B90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" name="TextBox 6">
          <a:extLst>
            <a:ext uri="{FF2B5EF4-FFF2-40B4-BE49-F238E27FC236}">
              <a16:creationId xmlns:a16="http://schemas.microsoft.com/office/drawing/2014/main" id="{4E7B6E12-2D33-48CC-8A60-B859712539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" name="TextBox 7">
          <a:extLst>
            <a:ext uri="{FF2B5EF4-FFF2-40B4-BE49-F238E27FC236}">
              <a16:creationId xmlns:a16="http://schemas.microsoft.com/office/drawing/2014/main" id="{CAA56C57-5F3B-4922-9E3E-A938DFFA16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" name="TextBox 8">
          <a:extLst>
            <a:ext uri="{FF2B5EF4-FFF2-40B4-BE49-F238E27FC236}">
              <a16:creationId xmlns:a16="http://schemas.microsoft.com/office/drawing/2014/main" id="{ED503600-CFBE-4297-ACFE-9B0395FFB6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" name="TextBox 2">
          <a:extLst>
            <a:ext uri="{FF2B5EF4-FFF2-40B4-BE49-F238E27FC236}">
              <a16:creationId xmlns:a16="http://schemas.microsoft.com/office/drawing/2014/main" id="{ABF1E33D-CB1C-425C-BB0F-B398B882AC1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" name="TextBox 4">
          <a:extLst>
            <a:ext uri="{FF2B5EF4-FFF2-40B4-BE49-F238E27FC236}">
              <a16:creationId xmlns:a16="http://schemas.microsoft.com/office/drawing/2014/main" id="{11A5B9AF-4754-481E-A9A3-F71699CD21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" name="TextBox 5">
          <a:extLst>
            <a:ext uri="{FF2B5EF4-FFF2-40B4-BE49-F238E27FC236}">
              <a16:creationId xmlns:a16="http://schemas.microsoft.com/office/drawing/2014/main" id="{E9EE7522-951B-4587-9812-9A719C5EB1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" name="TextBox 6">
          <a:extLst>
            <a:ext uri="{FF2B5EF4-FFF2-40B4-BE49-F238E27FC236}">
              <a16:creationId xmlns:a16="http://schemas.microsoft.com/office/drawing/2014/main" id="{BFB7BEEE-4D9F-41AA-8235-A13D40CCBE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" name="TextBox 7">
          <a:extLst>
            <a:ext uri="{FF2B5EF4-FFF2-40B4-BE49-F238E27FC236}">
              <a16:creationId xmlns:a16="http://schemas.microsoft.com/office/drawing/2014/main" id="{A230F1DF-147E-47C2-9401-ACE0507C6A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" name="TextBox 8">
          <a:extLst>
            <a:ext uri="{FF2B5EF4-FFF2-40B4-BE49-F238E27FC236}">
              <a16:creationId xmlns:a16="http://schemas.microsoft.com/office/drawing/2014/main" id="{76D00B8E-F57C-46E2-B76A-BAAFC85AC1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" name="TextBox 2">
          <a:extLst>
            <a:ext uri="{FF2B5EF4-FFF2-40B4-BE49-F238E27FC236}">
              <a16:creationId xmlns:a16="http://schemas.microsoft.com/office/drawing/2014/main" id="{95F0739F-9167-437B-B2FE-9B3FE3812D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" name="TextBox 4">
          <a:extLst>
            <a:ext uri="{FF2B5EF4-FFF2-40B4-BE49-F238E27FC236}">
              <a16:creationId xmlns:a16="http://schemas.microsoft.com/office/drawing/2014/main" id="{ECA2C7DF-17A1-4BC7-8E81-9FB937D5EF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" name="TextBox 5">
          <a:extLst>
            <a:ext uri="{FF2B5EF4-FFF2-40B4-BE49-F238E27FC236}">
              <a16:creationId xmlns:a16="http://schemas.microsoft.com/office/drawing/2014/main" id="{0449B82F-52DA-4992-A018-F2FA0F8820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" name="TextBox 6">
          <a:extLst>
            <a:ext uri="{FF2B5EF4-FFF2-40B4-BE49-F238E27FC236}">
              <a16:creationId xmlns:a16="http://schemas.microsoft.com/office/drawing/2014/main" id="{3E2D9037-3C7C-4AE6-8D58-90B7E3102D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" name="TextBox 7">
          <a:extLst>
            <a:ext uri="{FF2B5EF4-FFF2-40B4-BE49-F238E27FC236}">
              <a16:creationId xmlns:a16="http://schemas.microsoft.com/office/drawing/2014/main" id="{DF64A383-6B82-4EC6-83CC-199E1FB3E1B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" name="TextBox 8">
          <a:extLst>
            <a:ext uri="{FF2B5EF4-FFF2-40B4-BE49-F238E27FC236}">
              <a16:creationId xmlns:a16="http://schemas.microsoft.com/office/drawing/2014/main" id="{CEF7BC1C-5B9B-4091-9086-BA20C63ECF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" name="TextBox 2">
          <a:extLst>
            <a:ext uri="{FF2B5EF4-FFF2-40B4-BE49-F238E27FC236}">
              <a16:creationId xmlns:a16="http://schemas.microsoft.com/office/drawing/2014/main" id="{D74C89CA-2D36-4E9A-80A9-91FC93B34DF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" name="TextBox 4">
          <a:extLst>
            <a:ext uri="{FF2B5EF4-FFF2-40B4-BE49-F238E27FC236}">
              <a16:creationId xmlns:a16="http://schemas.microsoft.com/office/drawing/2014/main" id="{C8DF87D3-4D5D-4CDC-AFCD-127BCD2F4A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" name="TextBox 5">
          <a:extLst>
            <a:ext uri="{FF2B5EF4-FFF2-40B4-BE49-F238E27FC236}">
              <a16:creationId xmlns:a16="http://schemas.microsoft.com/office/drawing/2014/main" id="{925854B8-5AB4-4A55-B96B-E096A87B9C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" name="TextBox 6">
          <a:extLst>
            <a:ext uri="{FF2B5EF4-FFF2-40B4-BE49-F238E27FC236}">
              <a16:creationId xmlns:a16="http://schemas.microsoft.com/office/drawing/2014/main" id="{AB94899A-B657-41F0-8C54-9EE3D6D016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" name="TextBox 7">
          <a:extLst>
            <a:ext uri="{FF2B5EF4-FFF2-40B4-BE49-F238E27FC236}">
              <a16:creationId xmlns:a16="http://schemas.microsoft.com/office/drawing/2014/main" id="{2BC3DEEF-B351-4722-9AA0-ADC0539AA6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" name="TextBox 8">
          <a:extLst>
            <a:ext uri="{FF2B5EF4-FFF2-40B4-BE49-F238E27FC236}">
              <a16:creationId xmlns:a16="http://schemas.microsoft.com/office/drawing/2014/main" id="{E81DEC81-D54D-4BE2-B3AB-D5EA1CD3E2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" name="TextBox 2">
          <a:extLst>
            <a:ext uri="{FF2B5EF4-FFF2-40B4-BE49-F238E27FC236}">
              <a16:creationId xmlns:a16="http://schemas.microsoft.com/office/drawing/2014/main" id="{64CE601F-5351-4F56-9527-920A24E8D6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" name="TextBox 4">
          <a:extLst>
            <a:ext uri="{FF2B5EF4-FFF2-40B4-BE49-F238E27FC236}">
              <a16:creationId xmlns:a16="http://schemas.microsoft.com/office/drawing/2014/main" id="{1724C60A-E98D-4D6F-BEC9-DB753A7549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" name="TextBox 5">
          <a:extLst>
            <a:ext uri="{FF2B5EF4-FFF2-40B4-BE49-F238E27FC236}">
              <a16:creationId xmlns:a16="http://schemas.microsoft.com/office/drawing/2014/main" id="{B7E5FE38-13AA-4DE8-8CBC-78A8813581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" name="TextBox 6">
          <a:extLst>
            <a:ext uri="{FF2B5EF4-FFF2-40B4-BE49-F238E27FC236}">
              <a16:creationId xmlns:a16="http://schemas.microsoft.com/office/drawing/2014/main" id="{6925B829-686F-403A-9592-9CF3098A6E1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" name="TextBox 7">
          <a:extLst>
            <a:ext uri="{FF2B5EF4-FFF2-40B4-BE49-F238E27FC236}">
              <a16:creationId xmlns:a16="http://schemas.microsoft.com/office/drawing/2014/main" id="{DC094EAB-BC17-425C-8A15-A50BC5D5B5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" name="TextBox 8">
          <a:extLst>
            <a:ext uri="{FF2B5EF4-FFF2-40B4-BE49-F238E27FC236}">
              <a16:creationId xmlns:a16="http://schemas.microsoft.com/office/drawing/2014/main" id="{079E23FD-6737-4674-AF6C-0E4C779BC6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" name="TextBox 2">
          <a:extLst>
            <a:ext uri="{FF2B5EF4-FFF2-40B4-BE49-F238E27FC236}">
              <a16:creationId xmlns:a16="http://schemas.microsoft.com/office/drawing/2014/main" id="{F18DF1A8-A7D1-44DC-8183-E4B665A4B7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" name="TextBox 4">
          <a:extLst>
            <a:ext uri="{FF2B5EF4-FFF2-40B4-BE49-F238E27FC236}">
              <a16:creationId xmlns:a16="http://schemas.microsoft.com/office/drawing/2014/main" id="{58745D68-222C-4EB8-ACFF-C0BDEC2FC3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" name="TextBox 5">
          <a:extLst>
            <a:ext uri="{FF2B5EF4-FFF2-40B4-BE49-F238E27FC236}">
              <a16:creationId xmlns:a16="http://schemas.microsoft.com/office/drawing/2014/main" id="{CB6BCB94-8582-4F21-B222-F5CBCAC02E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" name="TextBox 6">
          <a:extLst>
            <a:ext uri="{FF2B5EF4-FFF2-40B4-BE49-F238E27FC236}">
              <a16:creationId xmlns:a16="http://schemas.microsoft.com/office/drawing/2014/main" id="{36530D97-FB30-4383-B6A4-6AACDCB50D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" name="TextBox 7">
          <a:extLst>
            <a:ext uri="{FF2B5EF4-FFF2-40B4-BE49-F238E27FC236}">
              <a16:creationId xmlns:a16="http://schemas.microsoft.com/office/drawing/2014/main" id="{9F395F83-6DA1-46A8-B889-F8A5F41CB3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" name="TextBox 8">
          <a:extLst>
            <a:ext uri="{FF2B5EF4-FFF2-40B4-BE49-F238E27FC236}">
              <a16:creationId xmlns:a16="http://schemas.microsoft.com/office/drawing/2014/main" id="{6EE171D8-641D-4378-887B-3462A59AD4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" name="TextBox 2">
          <a:extLst>
            <a:ext uri="{FF2B5EF4-FFF2-40B4-BE49-F238E27FC236}">
              <a16:creationId xmlns:a16="http://schemas.microsoft.com/office/drawing/2014/main" id="{7297786D-26A0-48EB-954D-B0C4A9F43D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" name="TextBox 4">
          <a:extLst>
            <a:ext uri="{FF2B5EF4-FFF2-40B4-BE49-F238E27FC236}">
              <a16:creationId xmlns:a16="http://schemas.microsoft.com/office/drawing/2014/main" id="{87F06510-DC36-462E-AF6A-1E4CCC651A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" name="TextBox 5">
          <a:extLst>
            <a:ext uri="{FF2B5EF4-FFF2-40B4-BE49-F238E27FC236}">
              <a16:creationId xmlns:a16="http://schemas.microsoft.com/office/drawing/2014/main" id="{73E34142-2ABE-4609-BB7D-F5C328B3A0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" name="TextBox 6">
          <a:extLst>
            <a:ext uri="{FF2B5EF4-FFF2-40B4-BE49-F238E27FC236}">
              <a16:creationId xmlns:a16="http://schemas.microsoft.com/office/drawing/2014/main" id="{498CB6A2-5F69-4929-B538-AEE812CDA6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" name="TextBox 7">
          <a:extLst>
            <a:ext uri="{FF2B5EF4-FFF2-40B4-BE49-F238E27FC236}">
              <a16:creationId xmlns:a16="http://schemas.microsoft.com/office/drawing/2014/main" id="{7AFB5D9E-9353-4293-B1B0-A3CE8C5375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" name="TextBox 8">
          <a:extLst>
            <a:ext uri="{FF2B5EF4-FFF2-40B4-BE49-F238E27FC236}">
              <a16:creationId xmlns:a16="http://schemas.microsoft.com/office/drawing/2014/main" id="{6B9FAB92-D9C8-440C-9720-1DF8195EEA4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" name="TextBox 2">
          <a:extLst>
            <a:ext uri="{FF2B5EF4-FFF2-40B4-BE49-F238E27FC236}">
              <a16:creationId xmlns:a16="http://schemas.microsoft.com/office/drawing/2014/main" id="{3BF2615B-E94A-47C5-8955-ECAE0B308C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" name="TextBox 4">
          <a:extLst>
            <a:ext uri="{FF2B5EF4-FFF2-40B4-BE49-F238E27FC236}">
              <a16:creationId xmlns:a16="http://schemas.microsoft.com/office/drawing/2014/main" id="{6345EFEB-2FDA-4EBD-80E1-613F537D3ED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" name="TextBox 5">
          <a:extLst>
            <a:ext uri="{FF2B5EF4-FFF2-40B4-BE49-F238E27FC236}">
              <a16:creationId xmlns:a16="http://schemas.microsoft.com/office/drawing/2014/main" id="{BA4553AE-8F73-4733-833D-8DB7509E69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" name="TextBox 6">
          <a:extLst>
            <a:ext uri="{FF2B5EF4-FFF2-40B4-BE49-F238E27FC236}">
              <a16:creationId xmlns:a16="http://schemas.microsoft.com/office/drawing/2014/main" id="{2FE8D05A-6457-48A9-BDE1-EE81066341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" name="TextBox 7">
          <a:extLst>
            <a:ext uri="{FF2B5EF4-FFF2-40B4-BE49-F238E27FC236}">
              <a16:creationId xmlns:a16="http://schemas.microsoft.com/office/drawing/2014/main" id="{D01F479B-DE92-4999-9C80-6357D05F5C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" name="TextBox 8">
          <a:extLst>
            <a:ext uri="{FF2B5EF4-FFF2-40B4-BE49-F238E27FC236}">
              <a16:creationId xmlns:a16="http://schemas.microsoft.com/office/drawing/2014/main" id="{7E477E56-848B-41C4-961E-7F2BE84223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" name="TextBox 2">
          <a:extLst>
            <a:ext uri="{FF2B5EF4-FFF2-40B4-BE49-F238E27FC236}">
              <a16:creationId xmlns:a16="http://schemas.microsoft.com/office/drawing/2014/main" id="{C76BE18F-55C3-4BE2-9FB3-95A3147B083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" name="TextBox 4">
          <a:extLst>
            <a:ext uri="{FF2B5EF4-FFF2-40B4-BE49-F238E27FC236}">
              <a16:creationId xmlns:a16="http://schemas.microsoft.com/office/drawing/2014/main" id="{BEBA2748-AFED-4556-A4DC-A6CB9C019E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" name="TextBox 5">
          <a:extLst>
            <a:ext uri="{FF2B5EF4-FFF2-40B4-BE49-F238E27FC236}">
              <a16:creationId xmlns:a16="http://schemas.microsoft.com/office/drawing/2014/main" id="{1376904C-B5A9-4A43-A3C1-AB18E2B0BC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" name="TextBox 6">
          <a:extLst>
            <a:ext uri="{FF2B5EF4-FFF2-40B4-BE49-F238E27FC236}">
              <a16:creationId xmlns:a16="http://schemas.microsoft.com/office/drawing/2014/main" id="{48B104B5-AEDB-4929-8166-C21C28BDC5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" name="TextBox 7">
          <a:extLst>
            <a:ext uri="{FF2B5EF4-FFF2-40B4-BE49-F238E27FC236}">
              <a16:creationId xmlns:a16="http://schemas.microsoft.com/office/drawing/2014/main" id="{9E6B3749-D53B-4389-BA6D-6A6208E9398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" name="TextBox 8">
          <a:extLst>
            <a:ext uri="{FF2B5EF4-FFF2-40B4-BE49-F238E27FC236}">
              <a16:creationId xmlns:a16="http://schemas.microsoft.com/office/drawing/2014/main" id="{4B1A4826-6EFE-410A-8986-DB23152D3A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" name="TextBox 2">
          <a:extLst>
            <a:ext uri="{FF2B5EF4-FFF2-40B4-BE49-F238E27FC236}">
              <a16:creationId xmlns:a16="http://schemas.microsoft.com/office/drawing/2014/main" id="{BF900912-BBE7-4BEB-B6C4-170F799FE9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" name="TextBox 4">
          <a:extLst>
            <a:ext uri="{FF2B5EF4-FFF2-40B4-BE49-F238E27FC236}">
              <a16:creationId xmlns:a16="http://schemas.microsoft.com/office/drawing/2014/main" id="{06837480-2FC3-443A-846A-C6CCB404E8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" name="TextBox 5">
          <a:extLst>
            <a:ext uri="{FF2B5EF4-FFF2-40B4-BE49-F238E27FC236}">
              <a16:creationId xmlns:a16="http://schemas.microsoft.com/office/drawing/2014/main" id="{1FCDF78B-1425-4662-8BC0-795C2418BAC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" name="TextBox 6">
          <a:extLst>
            <a:ext uri="{FF2B5EF4-FFF2-40B4-BE49-F238E27FC236}">
              <a16:creationId xmlns:a16="http://schemas.microsoft.com/office/drawing/2014/main" id="{156DCDC5-6639-49AC-A987-7AB2BFD865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" name="TextBox 7">
          <a:extLst>
            <a:ext uri="{FF2B5EF4-FFF2-40B4-BE49-F238E27FC236}">
              <a16:creationId xmlns:a16="http://schemas.microsoft.com/office/drawing/2014/main" id="{AC9B78CC-FB24-4946-97F5-ACB8BE5E61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" name="TextBox 8">
          <a:extLst>
            <a:ext uri="{FF2B5EF4-FFF2-40B4-BE49-F238E27FC236}">
              <a16:creationId xmlns:a16="http://schemas.microsoft.com/office/drawing/2014/main" id="{BA825EDF-D54C-45E4-9E10-5721997142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" name="TextBox 2">
          <a:extLst>
            <a:ext uri="{FF2B5EF4-FFF2-40B4-BE49-F238E27FC236}">
              <a16:creationId xmlns:a16="http://schemas.microsoft.com/office/drawing/2014/main" id="{708D471B-8742-41D5-B56F-315796E3B3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" name="TextBox 4">
          <a:extLst>
            <a:ext uri="{FF2B5EF4-FFF2-40B4-BE49-F238E27FC236}">
              <a16:creationId xmlns:a16="http://schemas.microsoft.com/office/drawing/2014/main" id="{302637A9-A753-40B4-AE52-4BDA7A7BFA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" name="TextBox 5">
          <a:extLst>
            <a:ext uri="{FF2B5EF4-FFF2-40B4-BE49-F238E27FC236}">
              <a16:creationId xmlns:a16="http://schemas.microsoft.com/office/drawing/2014/main" id="{E57970AC-291B-4103-8162-5DA305B81C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" name="TextBox 6">
          <a:extLst>
            <a:ext uri="{FF2B5EF4-FFF2-40B4-BE49-F238E27FC236}">
              <a16:creationId xmlns:a16="http://schemas.microsoft.com/office/drawing/2014/main" id="{23F87F85-6D8B-4CC1-A8D7-EDE131A2B9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" name="TextBox 7">
          <a:extLst>
            <a:ext uri="{FF2B5EF4-FFF2-40B4-BE49-F238E27FC236}">
              <a16:creationId xmlns:a16="http://schemas.microsoft.com/office/drawing/2014/main" id="{2DDF3CB4-4C69-4881-85DF-FBB5DA3EEC6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" name="TextBox 8">
          <a:extLst>
            <a:ext uri="{FF2B5EF4-FFF2-40B4-BE49-F238E27FC236}">
              <a16:creationId xmlns:a16="http://schemas.microsoft.com/office/drawing/2014/main" id="{A5B94B0B-ECCF-4AA1-AECF-159F5AB3F1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" name="TextBox 2">
          <a:extLst>
            <a:ext uri="{FF2B5EF4-FFF2-40B4-BE49-F238E27FC236}">
              <a16:creationId xmlns:a16="http://schemas.microsoft.com/office/drawing/2014/main" id="{42264A1E-D5F4-49E2-AE19-CC9309D929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" name="TextBox 4">
          <a:extLst>
            <a:ext uri="{FF2B5EF4-FFF2-40B4-BE49-F238E27FC236}">
              <a16:creationId xmlns:a16="http://schemas.microsoft.com/office/drawing/2014/main" id="{A1463EFD-ED52-4F81-A9B2-960E3E51A3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" name="TextBox 5">
          <a:extLst>
            <a:ext uri="{FF2B5EF4-FFF2-40B4-BE49-F238E27FC236}">
              <a16:creationId xmlns:a16="http://schemas.microsoft.com/office/drawing/2014/main" id="{29504058-8D5F-4EAD-8A6A-3892C98011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" name="TextBox 6">
          <a:extLst>
            <a:ext uri="{FF2B5EF4-FFF2-40B4-BE49-F238E27FC236}">
              <a16:creationId xmlns:a16="http://schemas.microsoft.com/office/drawing/2014/main" id="{2C85884C-4AB1-4ED9-87B7-BD5259033B2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" name="TextBox 7">
          <a:extLst>
            <a:ext uri="{FF2B5EF4-FFF2-40B4-BE49-F238E27FC236}">
              <a16:creationId xmlns:a16="http://schemas.microsoft.com/office/drawing/2014/main" id="{BBC3A421-D9C6-40DA-902F-C147FAB9C1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" name="TextBox 8">
          <a:extLst>
            <a:ext uri="{FF2B5EF4-FFF2-40B4-BE49-F238E27FC236}">
              <a16:creationId xmlns:a16="http://schemas.microsoft.com/office/drawing/2014/main" id="{1431B2EA-DEA6-40EF-A5C6-93C7EA6DC3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" name="TextBox 2">
          <a:extLst>
            <a:ext uri="{FF2B5EF4-FFF2-40B4-BE49-F238E27FC236}">
              <a16:creationId xmlns:a16="http://schemas.microsoft.com/office/drawing/2014/main" id="{3EF7D17C-634B-4A4D-8044-E45B65F8B7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" name="TextBox 4">
          <a:extLst>
            <a:ext uri="{FF2B5EF4-FFF2-40B4-BE49-F238E27FC236}">
              <a16:creationId xmlns:a16="http://schemas.microsoft.com/office/drawing/2014/main" id="{B2998D28-4EA6-4067-8342-36751A346B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" name="TextBox 5">
          <a:extLst>
            <a:ext uri="{FF2B5EF4-FFF2-40B4-BE49-F238E27FC236}">
              <a16:creationId xmlns:a16="http://schemas.microsoft.com/office/drawing/2014/main" id="{EBEE36FC-DE68-4728-96ED-AD1705D00E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" name="TextBox 6">
          <a:extLst>
            <a:ext uri="{FF2B5EF4-FFF2-40B4-BE49-F238E27FC236}">
              <a16:creationId xmlns:a16="http://schemas.microsoft.com/office/drawing/2014/main" id="{DADE5939-B90D-4EA0-8FF6-4845F738C1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" name="TextBox 7">
          <a:extLst>
            <a:ext uri="{FF2B5EF4-FFF2-40B4-BE49-F238E27FC236}">
              <a16:creationId xmlns:a16="http://schemas.microsoft.com/office/drawing/2014/main" id="{6FFA0E68-5329-4AEA-832B-59A7490983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" name="TextBox 8">
          <a:extLst>
            <a:ext uri="{FF2B5EF4-FFF2-40B4-BE49-F238E27FC236}">
              <a16:creationId xmlns:a16="http://schemas.microsoft.com/office/drawing/2014/main" id="{59F558C3-611E-40E1-9E2A-25A52421E92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" name="TextBox 2">
          <a:extLst>
            <a:ext uri="{FF2B5EF4-FFF2-40B4-BE49-F238E27FC236}">
              <a16:creationId xmlns:a16="http://schemas.microsoft.com/office/drawing/2014/main" id="{47D35C16-0E2C-4BE9-9CF0-405787A4B1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" name="TextBox 4">
          <a:extLst>
            <a:ext uri="{FF2B5EF4-FFF2-40B4-BE49-F238E27FC236}">
              <a16:creationId xmlns:a16="http://schemas.microsoft.com/office/drawing/2014/main" id="{A150B819-3F97-4308-BD7C-07924FD192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" name="TextBox 5">
          <a:extLst>
            <a:ext uri="{FF2B5EF4-FFF2-40B4-BE49-F238E27FC236}">
              <a16:creationId xmlns:a16="http://schemas.microsoft.com/office/drawing/2014/main" id="{D944AC16-509B-4C93-9D78-036FE613D8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" name="TextBox 6">
          <a:extLst>
            <a:ext uri="{FF2B5EF4-FFF2-40B4-BE49-F238E27FC236}">
              <a16:creationId xmlns:a16="http://schemas.microsoft.com/office/drawing/2014/main" id="{DF5FF3D9-502E-420D-B4E7-E0FA8783E3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" name="TextBox 7">
          <a:extLst>
            <a:ext uri="{FF2B5EF4-FFF2-40B4-BE49-F238E27FC236}">
              <a16:creationId xmlns:a16="http://schemas.microsoft.com/office/drawing/2014/main" id="{9BC98723-FE30-408E-ADD7-C23F28025C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" name="TextBox 8">
          <a:extLst>
            <a:ext uri="{FF2B5EF4-FFF2-40B4-BE49-F238E27FC236}">
              <a16:creationId xmlns:a16="http://schemas.microsoft.com/office/drawing/2014/main" id="{8E20EDDF-98B9-4C03-A2E8-D81847FC82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" name="TextBox 2">
          <a:extLst>
            <a:ext uri="{FF2B5EF4-FFF2-40B4-BE49-F238E27FC236}">
              <a16:creationId xmlns:a16="http://schemas.microsoft.com/office/drawing/2014/main" id="{05371455-3C27-4B82-A0DE-98B333234D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" name="TextBox 4">
          <a:extLst>
            <a:ext uri="{FF2B5EF4-FFF2-40B4-BE49-F238E27FC236}">
              <a16:creationId xmlns:a16="http://schemas.microsoft.com/office/drawing/2014/main" id="{931B09CD-BDC1-4F20-A45A-5D0FD360FB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" name="TextBox 5">
          <a:extLst>
            <a:ext uri="{FF2B5EF4-FFF2-40B4-BE49-F238E27FC236}">
              <a16:creationId xmlns:a16="http://schemas.microsoft.com/office/drawing/2014/main" id="{587CE90E-6A66-46A5-981D-202B226A5E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" name="TextBox 6">
          <a:extLst>
            <a:ext uri="{FF2B5EF4-FFF2-40B4-BE49-F238E27FC236}">
              <a16:creationId xmlns:a16="http://schemas.microsoft.com/office/drawing/2014/main" id="{BAA9FEF1-AE81-4623-8BE0-B306493721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" name="TextBox 7">
          <a:extLst>
            <a:ext uri="{FF2B5EF4-FFF2-40B4-BE49-F238E27FC236}">
              <a16:creationId xmlns:a16="http://schemas.microsoft.com/office/drawing/2014/main" id="{48B9FA9C-1D1C-46C0-A8E6-D7F604CD209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" name="TextBox 8">
          <a:extLst>
            <a:ext uri="{FF2B5EF4-FFF2-40B4-BE49-F238E27FC236}">
              <a16:creationId xmlns:a16="http://schemas.microsoft.com/office/drawing/2014/main" id="{F438FB8C-15BD-470E-B3A9-9B4931B648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" name="TextBox 2">
          <a:extLst>
            <a:ext uri="{FF2B5EF4-FFF2-40B4-BE49-F238E27FC236}">
              <a16:creationId xmlns:a16="http://schemas.microsoft.com/office/drawing/2014/main" id="{98F7D555-9F82-4D51-AB79-A4E2A18130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" name="TextBox 4">
          <a:extLst>
            <a:ext uri="{FF2B5EF4-FFF2-40B4-BE49-F238E27FC236}">
              <a16:creationId xmlns:a16="http://schemas.microsoft.com/office/drawing/2014/main" id="{806126CF-21B0-46C4-931B-84926D92F9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" name="TextBox 5">
          <a:extLst>
            <a:ext uri="{FF2B5EF4-FFF2-40B4-BE49-F238E27FC236}">
              <a16:creationId xmlns:a16="http://schemas.microsoft.com/office/drawing/2014/main" id="{95B04944-B20A-4DB5-B857-483B5CF295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" name="TextBox 6">
          <a:extLst>
            <a:ext uri="{FF2B5EF4-FFF2-40B4-BE49-F238E27FC236}">
              <a16:creationId xmlns:a16="http://schemas.microsoft.com/office/drawing/2014/main" id="{D46D36BA-22DB-44AE-B480-D2B0EDDFA1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" name="TextBox 7">
          <a:extLst>
            <a:ext uri="{FF2B5EF4-FFF2-40B4-BE49-F238E27FC236}">
              <a16:creationId xmlns:a16="http://schemas.microsoft.com/office/drawing/2014/main" id="{3BDE903B-1831-43F8-B4AD-B9CE8FA6F39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" name="TextBox 8">
          <a:extLst>
            <a:ext uri="{FF2B5EF4-FFF2-40B4-BE49-F238E27FC236}">
              <a16:creationId xmlns:a16="http://schemas.microsoft.com/office/drawing/2014/main" id="{17D9950F-6B56-468E-BCEC-F9B46CD701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" name="TextBox 2">
          <a:extLst>
            <a:ext uri="{FF2B5EF4-FFF2-40B4-BE49-F238E27FC236}">
              <a16:creationId xmlns:a16="http://schemas.microsoft.com/office/drawing/2014/main" id="{DB32978A-DA6A-4307-822A-454EC4C880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" name="TextBox 4">
          <a:extLst>
            <a:ext uri="{FF2B5EF4-FFF2-40B4-BE49-F238E27FC236}">
              <a16:creationId xmlns:a16="http://schemas.microsoft.com/office/drawing/2014/main" id="{3FEE57AD-0398-4EEB-B5BA-E4AB452302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" name="TextBox 5">
          <a:extLst>
            <a:ext uri="{FF2B5EF4-FFF2-40B4-BE49-F238E27FC236}">
              <a16:creationId xmlns:a16="http://schemas.microsoft.com/office/drawing/2014/main" id="{7FA04FCF-19A2-4AB2-8DAE-4D5A8E480C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" name="TextBox 6">
          <a:extLst>
            <a:ext uri="{FF2B5EF4-FFF2-40B4-BE49-F238E27FC236}">
              <a16:creationId xmlns:a16="http://schemas.microsoft.com/office/drawing/2014/main" id="{DB83B922-2EAD-453B-B0A2-D71407336D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" name="TextBox 7">
          <a:extLst>
            <a:ext uri="{FF2B5EF4-FFF2-40B4-BE49-F238E27FC236}">
              <a16:creationId xmlns:a16="http://schemas.microsoft.com/office/drawing/2014/main" id="{EB67C6BF-F922-420E-A135-568AD1F6B2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" name="TextBox 8">
          <a:extLst>
            <a:ext uri="{FF2B5EF4-FFF2-40B4-BE49-F238E27FC236}">
              <a16:creationId xmlns:a16="http://schemas.microsoft.com/office/drawing/2014/main" id="{EAFF8958-05DF-4CB9-9BFC-A51DCC24A9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" name="TextBox 2">
          <a:extLst>
            <a:ext uri="{FF2B5EF4-FFF2-40B4-BE49-F238E27FC236}">
              <a16:creationId xmlns:a16="http://schemas.microsoft.com/office/drawing/2014/main" id="{42EAD40A-B0D8-477A-86BF-D64064E204F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" name="TextBox 4">
          <a:extLst>
            <a:ext uri="{FF2B5EF4-FFF2-40B4-BE49-F238E27FC236}">
              <a16:creationId xmlns:a16="http://schemas.microsoft.com/office/drawing/2014/main" id="{865C3950-82DB-4544-BD91-F8A9235F6F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" name="TextBox 5">
          <a:extLst>
            <a:ext uri="{FF2B5EF4-FFF2-40B4-BE49-F238E27FC236}">
              <a16:creationId xmlns:a16="http://schemas.microsoft.com/office/drawing/2014/main" id="{E7019BA1-B49B-4BBB-8690-A2514FF487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" name="TextBox 6">
          <a:extLst>
            <a:ext uri="{FF2B5EF4-FFF2-40B4-BE49-F238E27FC236}">
              <a16:creationId xmlns:a16="http://schemas.microsoft.com/office/drawing/2014/main" id="{301AA7AE-60A3-4DDD-A085-0B220E1F79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" name="TextBox 7">
          <a:extLst>
            <a:ext uri="{FF2B5EF4-FFF2-40B4-BE49-F238E27FC236}">
              <a16:creationId xmlns:a16="http://schemas.microsoft.com/office/drawing/2014/main" id="{922C873E-9137-4CCB-A614-3006BF4F8B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" name="TextBox 8">
          <a:extLst>
            <a:ext uri="{FF2B5EF4-FFF2-40B4-BE49-F238E27FC236}">
              <a16:creationId xmlns:a16="http://schemas.microsoft.com/office/drawing/2014/main" id="{DDB26734-CADB-419E-9647-2AC2D776BC7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" name="TextBox 2">
          <a:extLst>
            <a:ext uri="{FF2B5EF4-FFF2-40B4-BE49-F238E27FC236}">
              <a16:creationId xmlns:a16="http://schemas.microsoft.com/office/drawing/2014/main" id="{098DCC16-70B7-48B2-8A24-BB209FEDA7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" name="TextBox 4">
          <a:extLst>
            <a:ext uri="{FF2B5EF4-FFF2-40B4-BE49-F238E27FC236}">
              <a16:creationId xmlns:a16="http://schemas.microsoft.com/office/drawing/2014/main" id="{51652734-66A3-4AC9-BEBC-69DD4F02E0C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" name="TextBox 5">
          <a:extLst>
            <a:ext uri="{FF2B5EF4-FFF2-40B4-BE49-F238E27FC236}">
              <a16:creationId xmlns:a16="http://schemas.microsoft.com/office/drawing/2014/main" id="{7D6FBF1F-36F9-4EA9-884F-907D369C75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" name="TextBox 6">
          <a:extLst>
            <a:ext uri="{FF2B5EF4-FFF2-40B4-BE49-F238E27FC236}">
              <a16:creationId xmlns:a16="http://schemas.microsoft.com/office/drawing/2014/main" id="{E0670B39-CD8D-4E39-8895-0FA88DCDAF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" name="TextBox 7">
          <a:extLst>
            <a:ext uri="{FF2B5EF4-FFF2-40B4-BE49-F238E27FC236}">
              <a16:creationId xmlns:a16="http://schemas.microsoft.com/office/drawing/2014/main" id="{E170F0C6-8DB5-4A64-9D7E-5F246FA9E9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" name="TextBox 8">
          <a:extLst>
            <a:ext uri="{FF2B5EF4-FFF2-40B4-BE49-F238E27FC236}">
              <a16:creationId xmlns:a16="http://schemas.microsoft.com/office/drawing/2014/main" id="{4C3A8023-B28E-4FC2-869B-68BC071148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" name="TextBox 2">
          <a:extLst>
            <a:ext uri="{FF2B5EF4-FFF2-40B4-BE49-F238E27FC236}">
              <a16:creationId xmlns:a16="http://schemas.microsoft.com/office/drawing/2014/main" id="{BBEF0469-5130-4957-8FCF-09C5957546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" name="TextBox 4">
          <a:extLst>
            <a:ext uri="{FF2B5EF4-FFF2-40B4-BE49-F238E27FC236}">
              <a16:creationId xmlns:a16="http://schemas.microsoft.com/office/drawing/2014/main" id="{BF364CC9-3D75-478B-9B6C-F979DE8A3B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" name="TextBox 5">
          <a:extLst>
            <a:ext uri="{FF2B5EF4-FFF2-40B4-BE49-F238E27FC236}">
              <a16:creationId xmlns:a16="http://schemas.microsoft.com/office/drawing/2014/main" id="{7AB400B7-B049-4216-A016-233DDF2781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" name="TextBox 6">
          <a:extLst>
            <a:ext uri="{FF2B5EF4-FFF2-40B4-BE49-F238E27FC236}">
              <a16:creationId xmlns:a16="http://schemas.microsoft.com/office/drawing/2014/main" id="{2C89FDD4-741C-4DB2-924A-C40F946B87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" name="TextBox 7">
          <a:extLst>
            <a:ext uri="{FF2B5EF4-FFF2-40B4-BE49-F238E27FC236}">
              <a16:creationId xmlns:a16="http://schemas.microsoft.com/office/drawing/2014/main" id="{89D78C3D-3AEB-4837-968D-FBDF99F39F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" name="TextBox 8">
          <a:extLst>
            <a:ext uri="{FF2B5EF4-FFF2-40B4-BE49-F238E27FC236}">
              <a16:creationId xmlns:a16="http://schemas.microsoft.com/office/drawing/2014/main" id="{8D942508-FFD8-41E5-9454-E5766E35A6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" name="TextBox 2">
          <a:extLst>
            <a:ext uri="{FF2B5EF4-FFF2-40B4-BE49-F238E27FC236}">
              <a16:creationId xmlns:a16="http://schemas.microsoft.com/office/drawing/2014/main" id="{8BC048DB-16B0-48EE-883B-BDC9ED9FEC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" name="TextBox 4">
          <a:extLst>
            <a:ext uri="{FF2B5EF4-FFF2-40B4-BE49-F238E27FC236}">
              <a16:creationId xmlns:a16="http://schemas.microsoft.com/office/drawing/2014/main" id="{04A8B1E8-CE6F-469E-8B29-D4DFF50236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" name="TextBox 5">
          <a:extLst>
            <a:ext uri="{FF2B5EF4-FFF2-40B4-BE49-F238E27FC236}">
              <a16:creationId xmlns:a16="http://schemas.microsoft.com/office/drawing/2014/main" id="{8C783DBC-61A4-45EE-A2BF-708D2B814E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" name="TextBox 6">
          <a:extLst>
            <a:ext uri="{FF2B5EF4-FFF2-40B4-BE49-F238E27FC236}">
              <a16:creationId xmlns:a16="http://schemas.microsoft.com/office/drawing/2014/main" id="{C019E4D5-5C7B-44AD-AC6A-EED945E4BF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" name="TextBox 7">
          <a:extLst>
            <a:ext uri="{FF2B5EF4-FFF2-40B4-BE49-F238E27FC236}">
              <a16:creationId xmlns:a16="http://schemas.microsoft.com/office/drawing/2014/main" id="{C168DC0A-5A17-42CA-968D-9ACA4DF064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" name="TextBox 8">
          <a:extLst>
            <a:ext uri="{FF2B5EF4-FFF2-40B4-BE49-F238E27FC236}">
              <a16:creationId xmlns:a16="http://schemas.microsoft.com/office/drawing/2014/main" id="{F82F4732-4748-4A21-80C2-C6A2F453FC4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" name="TextBox 2">
          <a:extLst>
            <a:ext uri="{FF2B5EF4-FFF2-40B4-BE49-F238E27FC236}">
              <a16:creationId xmlns:a16="http://schemas.microsoft.com/office/drawing/2014/main" id="{CCBEAB6A-0E1D-495A-85B8-DBC517B48F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" name="TextBox 4">
          <a:extLst>
            <a:ext uri="{FF2B5EF4-FFF2-40B4-BE49-F238E27FC236}">
              <a16:creationId xmlns:a16="http://schemas.microsoft.com/office/drawing/2014/main" id="{22BC340B-88FE-401C-A168-6934B65E04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" name="TextBox 5">
          <a:extLst>
            <a:ext uri="{FF2B5EF4-FFF2-40B4-BE49-F238E27FC236}">
              <a16:creationId xmlns:a16="http://schemas.microsoft.com/office/drawing/2014/main" id="{0EE2FA0F-7D55-4255-9588-2FDFE7AA2AA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" name="TextBox 6">
          <a:extLst>
            <a:ext uri="{FF2B5EF4-FFF2-40B4-BE49-F238E27FC236}">
              <a16:creationId xmlns:a16="http://schemas.microsoft.com/office/drawing/2014/main" id="{A8D814CB-4D39-4A0D-AAEC-E952885598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" name="TextBox 7">
          <a:extLst>
            <a:ext uri="{FF2B5EF4-FFF2-40B4-BE49-F238E27FC236}">
              <a16:creationId xmlns:a16="http://schemas.microsoft.com/office/drawing/2014/main" id="{3FA64F57-220B-4208-BF0E-7328FE3CB4C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" name="TextBox 8">
          <a:extLst>
            <a:ext uri="{FF2B5EF4-FFF2-40B4-BE49-F238E27FC236}">
              <a16:creationId xmlns:a16="http://schemas.microsoft.com/office/drawing/2014/main" id="{7CB82BD2-31AC-4743-9DD1-3CEC80FF4B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" name="TextBox 2">
          <a:extLst>
            <a:ext uri="{FF2B5EF4-FFF2-40B4-BE49-F238E27FC236}">
              <a16:creationId xmlns:a16="http://schemas.microsoft.com/office/drawing/2014/main" id="{A245D89B-F469-4849-A486-880AB7E311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" name="TextBox 4">
          <a:extLst>
            <a:ext uri="{FF2B5EF4-FFF2-40B4-BE49-F238E27FC236}">
              <a16:creationId xmlns:a16="http://schemas.microsoft.com/office/drawing/2014/main" id="{85B3CED9-A73C-442A-A4C2-5463F7F7C8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" name="TextBox 5">
          <a:extLst>
            <a:ext uri="{FF2B5EF4-FFF2-40B4-BE49-F238E27FC236}">
              <a16:creationId xmlns:a16="http://schemas.microsoft.com/office/drawing/2014/main" id="{6459B46B-0A9C-4AB3-BDB6-195DAE4979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" name="TextBox 6">
          <a:extLst>
            <a:ext uri="{FF2B5EF4-FFF2-40B4-BE49-F238E27FC236}">
              <a16:creationId xmlns:a16="http://schemas.microsoft.com/office/drawing/2014/main" id="{13E405B5-8406-450A-AF4B-86DB4A41E7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" name="TextBox 7">
          <a:extLst>
            <a:ext uri="{FF2B5EF4-FFF2-40B4-BE49-F238E27FC236}">
              <a16:creationId xmlns:a16="http://schemas.microsoft.com/office/drawing/2014/main" id="{0889FE4A-DAD2-48A3-B1B9-6B87EC6291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" name="TextBox 8">
          <a:extLst>
            <a:ext uri="{FF2B5EF4-FFF2-40B4-BE49-F238E27FC236}">
              <a16:creationId xmlns:a16="http://schemas.microsoft.com/office/drawing/2014/main" id="{728D2D71-54EA-4A5C-8E64-BA826A1694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" name="TextBox 2">
          <a:extLst>
            <a:ext uri="{FF2B5EF4-FFF2-40B4-BE49-F238E27FC236}">
              <a16:creationId xmlns:a16="http://schemas.microsoft.com/office/drawing/2014/main" id="{9E896599-C3C2-4E1F-AEE1-33BC85B73B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" name="TextBox 4">
          <a:extLst>
            <a:ext uri="{FF2B5EF4-FFF2-40B4-BE49-F238E27FC236}">
              <a16:creationId xmlns:a16="http://schemas.microsoft.com/office/drawing/2014/main" id="{5E14C7F6-91E3-4078-9695-2C0228413F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" name="TextBox 5">
          <a:extLst>
            <a:ext uri="{FF2B5EF4-FFF2-40B4-BE49-F238E27FC236}">
              <a16:creationId xmlns:a16="http://schemas.microsoft.com/office/drawing/2014/main" id="{40A42401-F70C-4545-BA13-1F0923ACA9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" name="TextBox 6">
          <a:extLst>
            <a:ext uri="{FF2B5EF4-FFF2-40B4-BE49-F238E27FC236}">
              <a16:creationId xmlns:a16="http://schemas.microsoft.com/office/drawing/2014/main" id="{280C3138-84FA-4927-BA49-77EC84EAE5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" name="TextBox 7">
          <a:extLst>
            <a:ext uri="{FF2B5EF4-FFF2-40B4-BE49-F238E27FC236}">
              <a16:creationId xmlns:a16="http://schemas.microsoft.com/office/drawing/2014/main" id="{7BAD58DF-FCBD-4C00-AA9F-6FC370EA63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" name="TextBox 8">
          <a:extLst>
            <a:ext uri="{FF2B5EF4-FFF2-40B4-BE49-F238E27FC236}">
              <a16:creationId xmlns:a16="http://schemas.microsoft.com/office/drawing/2014/main" id="{1FCA5763-DC77-4D0F-98E2-CBC15AA0B8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" name="TextBox 2">
          <a:extLst>
            <a:ext uri="{FF2B5EF4-FFF2-40B4-BE49-F238E27FC236}">
              <a16:creationId xmlns:a16="http://schemas.microsoft.com/office/drawing/2014/main" id="{50F87D0A-5551-4EBC-B430-5409DD0487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" name="TextBox 4">
          <a:extLst>
            <a:ext uri="{FF2B5EF4-FFF2-40B4-BE49-F238E27FC236}">
              <a16:creationId xmlns:a16="http://schemas.microsoft.com/office/drawing/2014/main" id="{732AE9A3-B7A6-4810-8B2F-AC2A7C80ABE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" name="TextBox 5">
          <a:extLst>
            <a:ext uri="{FF2B5EF4-FFF2-40B4-BE49-F238E27FC236}">
              <a16:creationId xmlns:a16="http://schemas.microsoft.com/office/drawing/2014/main" id="{208BE0C7-02C1-46AE-84F4-9AB520A795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" name="TextBox 6">
          <a:extLst>
            <a:ext uri="{FF2B5EF4-FFF2-40B4-BE49-F238E27FC236}">
              <a16:creationId xmlns:a16="http://schemas.microsoft.com/office/drawing/2014/main" id="{04777FCE-2492-4D93-A301-1BED281FD61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" name="TextBox 7">
          <a:extLst>
            <a:ext uri="{FF2B5EF4-FFF2-40B4-BE49-F238E27FC236}">
              <a16:creationId xmlns:a16="http://schemas.microsoft.com/office/drawing/2014/main" id="{F8742315-D40B-439D-B098-B48965A01C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" name="TextBox 8">
          <a:extLst>
            <a:ext uri="{FF2B5EF4-FFF2-40B4-BE49-F238E27FC236}">
              <a16:creationId xmlns:a16="http://schemas.microsoft.com/office/drawing/2014/main" id="{54CF8DC5-14A3-49CC-AAB2-BD22A19A42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" name="TextBox 2">
          <a:extLst>
            <a:ext uri="{FF2B5EF4-FFF2-40B4-BE49-F238E27FC236}">
              <a16:creationId xmlns:a16="http://schemas.microsoft.com/office/drawing/2014/main" id="{D52D4208-9D45-483B-8306-C36A8EF312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" name="TextBox 4">
          <a:extLst>
            <a:ext uri="{FF2B5EF4-FFF2-40B4-BE49-F238E27FC236}">
              <a16:creationId xmlns:a16="http://schemas.microsoft.com/office/drawing/2014/main" id="{BBD920D2-CDD9-4B4F-8442-647B14F0DA5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" name="TextBox 5">
          <a:extLst>
            <a:ext uri="{FF2B5EF4-FFF2-40B4-BE49-F238E27FC236}">
              <a16:creationId xmlns:a16="http://schemas.microsoft.com/office/drawing/2014/main" id="{538864C4-A9A9-4DCE-B009-3AC58356BE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" name="TextBox 6">
          <a:extLst>
            <a:ext uri="{FF2B5EF4-FFF2-40B4-BE49-F238E27FC236}">
              <a16:creationId xmlns:a16="http://schemas.microsoft.com/office/drawing/2014/main" id="{C08F606E-1CBF-43DA-B430-B4D60A15B1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" name="TextBox 7">
          <a:extLst>
            <a:ext uri="{FF2B5EF4-FFF2-40B4-BE49-F238E27FC236}">
              <a16:creationId xmlns:a16="http://schemas.microsoft.com/office/drawing/2014/main" id="{E8F0DDCC-C82C-4231-B035-A3D8FCF8403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" name="TextBox 8">
          <a:extLst>
            <a:ext uri="{FF2B5EF4-FFF2-40B4-BE49-F238E27FC236}">
              <a16:creationId xmlns:a16="http://schemas.microsoft.com/office/drawing/2014/main" id="{28B79EC2-D291-4082-8F7A-FB2E12FEDA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" name="TextBox 2">
          <a:extLst>
            <a:ext uri="{FF2B5EF4-FFF2-40B4-BE49-F238E27FC236}">
              <a16:creationId xmlns:a16="http://schemas.microsoft.com/office/drawing/2014/main" id="{CCCDBD3A-4273-420D-8409-086368FAD0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" name="TextBox 4">
          <a:extLst>
            <a:ext uri="{FF2B5EF4-FFF2-40B4-BE49-F238E27FC236}">
              <a16:creationId xmlns:a16="http://schemas.microsoft.com/office/drawing/2014/main" id="{AD8D75CE-F5A1-4FE9-A63A-8E68D5AF04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" name="TextBox 5">
          <a:extLst>
            <a:ext uri="{FF2B5EF4-FFF2-40B4-BE49-F238E27FC236}">
              <a16:creationId xmlns:a16="http://schemas.microsoft.com/office/drawing/2014/main" id="{A7AFC552-D232-4527-9F6B-457D95DE47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" name="TextBox 6">
          <a:extLst>
            <a:ext uri="{FF2B5EF4-FFF2-40B4-BE49-F238E27FC236}">
              <a16:creationId xmlns:a16="http://schemas.microsoft.com/office/drawing/2014/main" id="{12A115C2-7280-4370-8489-BC7F6AA2C6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" name="TextBox 7">
          <a:extLst>
            <a:ext uri="{FF2B5EF4-FFF2-40B4-BE49-F238E27FC236}">
              <a16:creationId xmlns:a16="http://schemas.microsoft.com/office/drawing/2014/main" id="{C8CABCDA-A499-44BD-B01D-1271D8D809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" name="TextBox 8">
          <a:extLst>
            <a:ext uri="{FF2B5EF4-FFF2-40B4-BE49-F238E27FC236}">
              <a16:creationId xmlns:a16="http://schemas.microsoft.com/office/drawing/2014/main" id="{1A4E65C4-0243-4CA7-847E-CEC047B3C81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" name="TextBox 2">
          <a:extLst>
            <a:ext uri="{FF2B5EF4-FFF2-40B4-BE49-F238E27FC236}">
              <a16:creationId xmlns:a16="http://schemas.microsoft.com/office/drawing/2014/main" id="{6F6ABEBC-D1AB-428A-AD1C-CDCB40CC34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" name="TextBox 4">
          <a:extLst>
            <a:ext uri="{FF2B5EF4-FFF2-40B4-BE49-F238E27FC236}">
              <a16:creationId xmlns:a16="http://schemas.microsoft.com/office/drawing/2014/main" id="{5C806E39-1C63-4965-8A88-63A76B3A55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" name="TextBox 5">
          <a:extLst>
            <a:ext uri="{FF2B5EF4-FFF2-40B4-BE49-F238E27FC236}">
              <a16:creationId xmlns:a16="http://schemas.microsoft.com/office/drawing/2014/main" id="{DD961E8A-A95A-4D27-8382-98CF272141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" name="TextBox 6">
          <a:extLst>
            <a:ext uri="{FF2B5EF4-FFF2-40B4-BE49-F238E27FC236}">
              <a16:creationId xmlns:a16="http://schemas.microsoft.com/office/drawing/2014/main" id="{7C04966E-FBBB-4C59-B40E-40749AE035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" name="TextBox 7">
          <a:extLst>
            <a:ext uri="{FF2B5EF4-FFF2-40B4-BE49-F238E27FC236}">
              <a16:creationId xmlns:a16="http://schemas.microsoft.com/office/drawing/2014/main" id="{2C8CD531-ADA9-4399-8B82-0AEA1C0C62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" name="TextBox 8">
          <a:extLst>
            <a:ext uri="{FF2B5EF4-FFF2-40B4-BE49-F238E27FC236}">
              <a16:creationId xmlns:a16="http://schemas.microsoft.com/office/drawing/2014/main" id="{989A9B28-0DEB-40B7-8AF3-F690ED31F3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" name="TextBox 2">
          <a:extLst>
            <a:ext uri="{FF2B5EF4-FFF2-40B4-BE49-F238E27FC236}">
              <a16:creationId xmlns:a16="http://schemas.microsoft.com/office/drawing/2014/main" id="{40CA061E-7684-4036-A0DB-63511E0D32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" name="TextBox 4">
          <a:extLst>
            <a:ext uri="{FF2B5EF4-FFF2-40B4-BE49-F238E27FC236}">
              <a16:creationId xmlns:a16="http://schemas.microsoft.com/office/drawing/2014/main" id="{0D82C7AD-3DEB-4ED0-9198-C6786171DC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" name="TextBox 5">
          <a:extLst>
            <a:ext uri="{FF2B5EF4-FFF2-40B4-BE49-F238E27FC236}">
              <a16:creationId xmlns:a16="http://schemas.microsoft.com/office/drawing/2014/main" id="{CB398802-7667-4625-8D7A-7B413DE68E2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" name="TextBox 6">
          <a:extLst>
            <a:ext uri="{FF2B5EF4-FFF2-40B4-BE49-F238E27FC236}">
              <a16:creationId xmlns:a16="http://schemas.microsoft.com/office/drawing/2014/main" id="{21C4FF3E-03A8-4308-9A53-F68EEB6155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" name="TextBox 7">
          <a:extLst>
            <a:ext uri="{FF2B5EF4-FFF2-40B4-BE49-F238E27FC236}">
              <a16:creationId xmlns:a16="http://schemas.microsoft.com/office/drawing/2014/main" id="{94C9CA29-41BD-425E-9EB5-9DDEB1C8E0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" name="TextBox 8">
          <a:extLst>
            <a:ext uri="{FF2B5EF4-FFF2-40B4-BE49-F238E27FC236}">
              <a16:creationId xmlns:a16="http://schemas.microsoft.com/office/drawing/2014/main" id="{F5D1DB4F-54DE-4F52-A928-42D9FB166F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" name="TextBox 2">
          <a:extLst>
            <a:ext uri="{FF2B5EF4-FFF2-40B4-BE49-F238E27FC236}">
              <a16:creationId xmlns:a16="http://schemas.microsoft.com/office/drawing/2014/main" id="{54678C3B-1A2D-4FFD-88FB-EBFBC5523B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" name="TextBox 4">
          <a:extLst>
            <a:ext uri="{FF2B5EF4-FFF2-40B4-BE49-F238E27FC236}">
              <a16:creationId xmlns:a16="http://schemas.microsoft.com/office/drawing/2014/main" id="{DC2C737E-B041-447F-98C2-DF0BF64AB8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" name="TextBox 5">
          <a:extLst>
            <a:ext uri="{FF2B5EF4-FFF2-40B4-BE49-F238E27FC236}">
              <a16:creationId xmlns:a16="http://schemas.microsoft.com/office/drawing/2014/main" id="{7ECDA6DF-E391-49D6-919E-C90E4B5544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" name="TextBox 6">
          <a:extLst>
            <a:ext uri="{FF2B5EF4-FFF2-40B4-BE49-F238E27FC236}">
              <a16:creationId xmlns:a16="http://schemas.microsoft.com/office/drawing/2014/main" id="{019DC722-86E3-4525-BAAA-0596CDC2DE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" name="TextBox 7">
          <a:extLst>
            <a:ext uri="{FF2B5EF4-FFF2-40B4-BE49-F238E27FC236}">
              <a16:creationId xmlns:a16="http://schemas.microsoft.com/office/drawing/2014/main" id="{7EAE1841-AD23-4ED7-906D-51F78C7F4D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" name="TextBox 8">
          <a:extLst>
            <a:ext uri="{FF2B5EF4-FFF2-40B4-BE49-F238E27FC236}">
              <a16:creationId xmlns:a16="http://schemas.microsoft.com/office/drawing/2014/main" id="{36464379-4A71-47B5-B959-CB50AF6828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" name="TextBox 2">
          <a:extLst>
            <a:ext uri="{FF2B5EF4-FFF2-40B4-BE49-F238E27FC236}">
              <a16:creationId xmlns:a16="http://schemas.microsoft.com/office/drawing/2014/main" id="{9328A27E-831C-447E-AE5A-0AFFC9E7A5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" name="TextBox 4">
          <a:extLst>
            <a:ext uri="{FF2B5EF4-FFF2-40B4-BE49-F238E27FC236}">
              <a16:creationId xmlns:a16="http://schemas.microsoft.com/office/drawing/2014/main" id="{200FC734-86BC-4A91-B024-5E659340C2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" name="TextBox 5">
          <a:extLst>
            <a:ext uri="{FF2B5EF4-FFF2-40B4-BE49-F238E27FC236}">
              <a16:creationId xmlns:a16="http://schemas.microsoft.com/office/drawing/2014/main" id="{4AA1EFA5-E1B9-491B-A0E8-D583DFFCA5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" name="TextBox 6">
          <a:extLst>
            <a:ext uri="{FF2B5EF4-FFF2-40B4-BE49-F238E27FC236}">
              <a16:creationId xmlns:a16="http://schemas.microsoft.com/office/drawing/2014/main" id="{C61A2731-73B4-40A9-BCB9-61C3586BCD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" name="TextBox 7">
          <a:extLst>
            <a:ext uri="{FF2B5EF4-FFF2-40B4-BE49-F238E27FC236}">
              <a16:creationId xmlns:a16="http://schemas.microsoft.com/office/drawing/2014/main" id="{A3EFCA46-4465-4457-9B3B-C2C97BC663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" name="TextBox 8">
          <a:extLst>
            <a:ext uri="{FF2B5EF4-FFF2-40B4-BE49-F238E27FC236}">
              <a16:creationId xmlns:a16="http://schemas.microsoft.com/office/drawing/2014/main" id="{64E1AB63-7428-46EC-9E51-1B9E1FD969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" name="TextBox 2">
          <a:extLst>
            <a:ext uri="{FF2B5EF4-FFF2-40B4-BE49-F238E27FC236}">
              <a16:creationId xmlns:a16="http://schemas.microsoft.com/office/drawing/2014/main" id="{FF77C0DF-C603-40C9-8FBB-B747997BDB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" name="TextBox 4">
          <a:extLst>
            <a:ext uri="{FF2B5EF4-FFF2-40B4-BE49-F238E27FC236}">
              <a16:creationId xmlns:a16="http://schemas.microsoft.com/office/drawing/2014/main" id="{84BA743A-20CC-4F5B-BF35-2BD47013F1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" name="TextBox 5">
          <a:extLst>
            <a:ext uri="{FF2B5EF4-FFF2-40B4-BE49-F238E27FC236}">
              <a16:creationId xmlns:a16="http://schemas.microsoft.com/office/drawing/2014/main" id="{015D0C5D-9B2A-441E-986B-5E531ED0CB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" name="TextBox 6">
          <a:extLst>
            <a:ext uri="{FF2B5EF4-FFF2-40B4-BE49-F238E27FC236}">
              <a16:creationId xmlns:a16="http://schemas.microsoft.com/office/drawing/2014/main" id="{013BADD3-519C-4337-B4D1-ADC86E918D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" name="TextBox 7">
          <a:extLst>
            <a:ext uri="{FF2B5EF4-FFF2-40B4-BE49-F238E27FC236}">
              <a16:creationId xmlns:a16="http://schemas.microsoft.com/office/drawing/2014/main" id="{853CF398-A4C9-43F9-BBFE-33F0A635D92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" name="TextBox 8">
          <a:extLst>
            <a:ext uri="{FF2B5EF4-FFF2-40B4-BE49-F238E27FC236}">
              <a16:creationId xmlns:a16="http://schemas.microsoft.com/office/drawing/2014/main" id="{DB19D8E2-2357-4BCD-B8E0-D478308E38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" name="TextBox 2">
          <a:extLst>
            <a:ext uri="{FF2B5EF4-FFF2-40B4-BE49-F238E27FC236}">
              <a16:creationId xmlns:a16="http://schemas.microsoft.com/office/drawing/2014/main" id="{D9BB7928-0696-4A04-B9FF-414686B40C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" name="TextBox 4">
          <a:extLst>
            <a:ext uri="{FF2B5EF4-FFF2-40B4-BE49-F238E27FC236}">
              <a16:creationId xmlns:a16="http://schemas.microsoft.com/office/drawing/2014/main" id="{B0BAC25E-8655-41D5-8F99-691D88E8A7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" name="TextBox 5">
          <a:extLst>
            <a:ext uri="{FF2B5EF4-FFF2-40B4-BE49-F238E27FC236}">
              <a16:creationId xmlns:a16="http://schemas.microsoft.com/office/drawing/2014/main" id="{FE28E2F3-5CDB-4EDB-91ED-3B28347BD2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" name="TextBox 6">
          <a:extLst>
            <a:ext uri="{FF2B5EF4-FFF2-40B4-BE49-F238E27FC236}">
              <a16:creationId xmlns:a16="http://schemas.microsoft.com/office/drawing/2014/main" id="{7C3C9F4C-23B1-4EA0-81B5-DB75BE30EF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" name="TextBox 7">
          <a:extLst>
            <a:ext uri="{FF2B5EF4-FFF2-40B4-BE49-F238E27FC236}">
              <a16:creationId xmlns:a16="http://schemas.microsoft.com/office/drawing/2014/main" id="{0E654D01-C787-4EF6-84F6-AFAE89C59B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" name="TextBox 8">
          <a:extLst>
            <a:ext uri="{FF2B5EF4-FFF2-40B4-BE49-F238E27FC236}">
              <a16:creationId xmlns:a16="http://schemas.microsoft.com/office/drawing/2014/main" id="{CDD0174D-2807-43FE-BD43-D63502F19F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" name="TextBox 2">
          <a:extLst>
            <a:ext uri="{FF2B5EF4-FFF2-40B4-BE49-F238E27FC236}">
              <a16:creationId xmlns:a16="http://schemas.microsoft.com/office/drawing/2014/main" id="{2E91E9F1-8CFB-4044-8BFB-E775E238FC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" name="TextBox 4">
          <a:extLst>
            <a:ext uri="{FF2B5EF4-FFF2-40B4-BE49-F238E27FC236}">
              <a16:creationId xmlns:a16="http://schemas.microsoft.com/office/drawing/2014/main" id="{2F674F3E-82D3-4644-A057-A1ABB8E6FA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" name="TextBox 5">
          <a:extLst>
            <a:ext uri="{FF2B5EF4-FFF2-40B4-BE49-F238E27FC236}">
              <a16:creationId xmlns:a16="http://schemas.microsoft.com/office/drawing/2014/main" id="{688B8BB6-561B-447A-9F05-DA9E8493A9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" name="TextBox 6">
          <a:extLst>
            <a:ext uri="{FF2B5EF4-FFF2-40B4-BE49-F238E27FC236}">
              <a16:creationId xmlns:a16="http://schemas.microsoft.com/office/drawing/2014/main" id="{B19CB4CE-E94E-4DB8-9711-57F673424A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" name="TextBox 7">
          <a:extLst>
            <a:ext uri="{FF2B5EF4-FFF2-40B4-BE49-F238E27FC236}">
              <a16:creationId xmlns:a16="http://schemas.microsoft.com/office/drawing/2014/main" id="{31BF5020-8111-4098-9065-678923447D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" name="TextBox 8">
          <a:extLst>
            <a:ext uri="{FF2B5EF4-FFF2-40B4-BE49-F238E27FC236}">
              <a16:creationId xmlns:a16="http://schemas.microsoft.com/office/drawing/2014/main" id="{FF6D5D3D-4D3E-49AA-AA7E-C22F92BC12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" name="TextBox 2">
          <a:extLst>
            <a:ext uri="{FF2B5EF4-FFF2-40B4-BE49-F238E27FC236}">
              <a16:creationId xmlns:a16="http://schemas.microsoft.com/office/drawing/2014/main" id="{5A68A7DB-236B-492A-BF33-55E3E4790A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" name="TextBox 4">
          <a:extLst>
            <a:ext uri="{FF2B5EF4-FFF2-40B4-BE49-F238E27FC236}">
              <a16:creationId xmlns:a16="http://schemas.microsoft.com/office/drawing/2014/main" id="{4BDED87F-E4A3-4E05-AC38-6DD7940278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" name="TextBox 5">
          <a:extLst>
            <a:ext uri="{FF2B5EF4-FFF2-40B4-BE49-F238E27FC236}">
              <a16:creationId xmlns:a16="http://schemas.microsoft.com/office/drawing/2014/main" id="{BB82063F-FF1E-4E0B-A437-7EB9CB9313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" name="TextBox 6">
          <a:extLst>
            <a:ext uri="{FF2B5EF4-FFF2-40B4-BE49-F238E27FC236}">
              <a16:creationId xmlns:a16="http://schemas.microsoft.com/office/drawing/2014/main" id="{BF0B70F2-489B-4D1B-B847-040136A6D8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" name="TextBox 7">
          <a:extLst>
            <a:ext uri="{FF2B5EF4-FFF2-40B4-BE49-F238E27FC236}">
              <a16:creationId xmlns:a16="http://schemas.microsoft.com/office/drawing/2014/main" id="{6DFD452A-62F0-4E05-A8AB-30FE7C751E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" name="TextBox 8">
          <a:extLst>
            <a:ext uri="{FF2B5EF4-FFF2-40B4-BE49-F238E27FC236}">
              <a16:creationId xmlns:a16="http://schemas.microsoft.com/office/drawing/2014/main" id="{826E146F-7F8D-4513-99DE-2EF51B6171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" name="TextBox 2">
          <a:extLst>
            <a:ext uri="{FF2B5EF4-FFF2-40B4-BE49-F238E27FC236}">
              <a16:creationId xmlns:a16="http://schemas.microsoft.com/office/drawing/2014/main" id="{FBD133CF-4DA2-4AA4-B0A2-73B4896E64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" name="TextBox 4">
          <a:extLst>
            <a:ext uri="{FF2B5EF4-FFF2-40B4-BE49-F238E27FC236}">
              <a16:creationId xmlns:a16="http://schemas.microsoft.com/office/drawing/2014/main" id="{B7CE7DA7-A875-46D0-81C6-724231658E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" name="TextBox 5">
          <a:extLst>
            <a:ext uri="{FF2B5EF4-FFF2-40B4-BE49-F238E27FC236}">
              <a16:creationId xmlns:a16="http://schemas.microsoft.com/office/drawing/2014/main" id="{3F53DEF9-A335-4812-85B1-AE5F8B0DC5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" name="TextBox 6">
          <a:extLst>
            <a:ext uri="{FF2B5EF4-FFF2-40B4-BE49-F238E27FC236}">
              <a16:creationId xmlns:a16="http://schemas.microsoft.com/office/drawing/2014/main" id="{A009CD0B-6A30-4FF5-BD39-2E9D004ACD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" name="TextBox 7">
          <a:extLst>
            <a:ext uri="{FF2B5EF4-FFF2-40B4-BE49-F238E27FC236}">
              <a16:creationId xmlns:a16="http://schemas.microsoft.com/office/drawing/2014/main" id="{3527BEB6-A274-4AC6-B7A2-15A026FCEA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" name="TextBox 8">
          <a:extLst>
            <a:ext uri="{FF2B5EF4-FFF2-40B4-BE49-F238E27FC236}">
              <a16:creationId xmlns:a16="http://schemas.microsoft.com/office/drawing/2014/main" id="{D2470B60-38AF-4F24-AA2E-3E912A03EA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" name="TextBox 2">
          <a:extLst>
            <a:ext uri="{FF2B5EF4-FFF2-40B4-BE49-F238E27FC236}">
              <a16:creationId xmlns:a16="http://schemas.microsoft.com/office/drawing/2014/main" id="{DE1E3F98-7190-494D-BF2D-1683EE8D2C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" name="TextBox 4">
          <a:extLst>
            <a:ext uri="{FF2B5EF4-FFF2-40B4-BE49-F238E27FC236}">
              <a16:creationId xmlns:a16="http://schemas.microsoft.com/office/drawing/2014/main" id="{D1929B88-FE8C-4685-A391-39CBBA8753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" name="TextBox 5">
          <a:extLst>
            <a:ext uri="{FF2B5EF4-FFF2-40B4-BE49-F238E27FC236}">
              <a16:creationId xmlns:a16="http://schemas.microsoft.com/office/drawing/2014/main" id="{C375DC18-27C2-414B-A049-F0D22CFF73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" name="TextBox 6">
          <a:extLst>
            <a:ext uri="{FF2B5EF4-FFF2-40B4-BE49-F238E27FC236}">
              <a16:creationId xmlns:a16="http://schemas.microsoft.com/office/drawing/2014/main" id="{5FDDA570-8DFD-4E33-BA6B-10AD8117EE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" name="TextBox 7">
          <a:extLst>
            <a:ext uri="{FF2B5EF4-FFF2-40B4-BE49-F238E27FC236}">
              <a16:creationId xmlns:a16="http://schemas.microsoft.com/office/drawing/2014/main" id="{314BD770-CD1E-49C1-98AB-8CB5FEE83A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" name="TextBox 8">
          <a:extLst>
            <a:ext uri="{FF2B5EF4-FFF2-40B4-BE49-F238E27FC236}">
              <a16:creationId xmlns:a16="http://schemas.microsoft.com/office/drawing/2014/main" id="{8573222B-F1A2-40EA-8B82-51D874DCEF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" name="TextBox 2">
          <a:extLst>
            <a:ext uri="{FF2B5EF4-FFF2-40B4-BE49-F238E27FC236}">
              <a16:creationId xmlns:a16="http://schemas.microsoft.com/office/drawing/2014/main" id="{24ECAB4D-C78A-4281-93E2-DC96A31CCA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" name="TextBox 4">
          <a:extLst>
            <a:ext uri="{FF2B5EF4-FFF2-40B4-BE49-F238E27FC236}">
              <a16:creationId xmlns:a16="http://schemas.microsoft.com/office/drawing/2014/main" id="{56F10711-A2B9-415A-AAF2-DECD5D56E0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" name="TextBox 5">
          <a:extLst>
            <a:ext uri="{FF2B5EF4-FFF2-40B4-BE49-F238E27FC236}">
              <a16:creationId xmlns:a16="http://schemas.microsoft.com/office/drawing/2014/main" id="{E2CD2E94-2B32-4502-ABBA-EE26834D56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" name="TextBox 6">
          <a:extLst>
            <a:ext uri="{FF2B5EF4-FFF2-40B4-BE49-F238E27FC236}">
              <a16:creationId xmlns:a16="http://schemas.microsoft.com/office/drawing/2014/main" id="{295EA736-8D77-48A6-AE4A-29D84EAD96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" name="TextBox 7">
          <a:extLst>
            <a:ext uri="{FF2B5EF4-FFF2-40B4-BE49-F238E27FC236}">
              <a16:creationId xmlns:a16="http://schemas.microsoft.com/office/drawing/2014/main" id="{4376ABC3-1486-4734-A57A-A72E76C69E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" name="TextBox 8">
          <a:extLst>
            <a:ext uri="{FF2B5EF4-FFF2-40B4-BE49-F238E27FC236}">
              <a16:creationId xmlns:a16="http://schemas.microsoft.com/office/drawing/2014/main" id="{DB980D17-D0D3-4B88-9611-DC503B68AB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" name="TextBox 2">
          <a:extLst>
            <a:ext uri="{FF2B5EF4-FFF2-40B4-BE49-F238E27FC236}">
              <a16:creationId xmlns:a16="http://schemas.microsoft.com/office/drawing/2014/main" id="{CC888BF8-2E4D-4864-A66B-720B1B851E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" name="TextBox 4">
          <a:extLst>
            <a:ext uri="{FF2B5EF4-FFF2-40B4-BE49-F238E27FC236}">
              <a16:creationId xmlns:a16="http://schemas.microsoft.com/office/drawing/2014/main" id="{C9C3176E-83B7-4B0C-9E90-1A336B112F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" name="TextBox 5">
          <a:extLst>
            <a:ext uri="{FF2B5EF4-FFF2-40B4-BE49-F238E27FC236}">
              <a16:creationId xmlns:a16="http://schemas.microsoft.com/office/drawing/2014/main" id="{9DEBB3F3-3170-4ED4-838E-18845996DE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" name="TextBox 6">
          <a:extLst>
            <a:ext uri="{FF2B5EF4-FFF2-40B4-BE49-F238E27FC236}">
              <a16:creationId xmlns:a16="http://schemas.microsoft.com/office/drawing/2014/main" id="{5625C2C6-CA77-4498-A1A8-13B747010F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" name="TextBox 7">
          <a:extLst>
            <a:ext uri="{FF2B5EF4-FFF2-40B4-BE49-F238E27FC236}">
              <a16:creationId xmlns:a16="http://schemas.microsoft.com/office/drawing/2014/main" id="{2A580AEA-6148-46EC-8381-30077454919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" name="TextBox 8">
          <a:extLst>
            <a:ext uri="{FF2B5EF4-FFF2-40B4-BE49-F238E27FC236}">
              <a16:creationId xmlns:a16="http://schemas.microsoft.com/office/drawing/2014/main" id="{E29DB2F5-3AAA-49D6-9AA2-98AA908C4B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" name="TextBox 2">
          <a:extLst>
            <a:ext uri="{FF2B5EF4-FFF2-40B4-BE49-F238E27FC236}">
              <a16:creationId xmlns:a16="http://schemas.microsoft.com/office/drawing/2014/main" id="{64665136-07E1-4F40-821C-CC297D6670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" name="TextBox 4">
          <a:extLst>
            <a:ext uri="{FF2B5EF4-FFF2-40B4-BE49-F238E27FC236}">
              <a16:creationId xmlns:a16="http://schemas.microsoft.com/office/drawing/2014/main" id="{8813C711-2FC0-4DF8-BE67-60856B796A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" name="TextBox 5">
          <a:extLst>
            <a:ext uri="{FF2B5EF4-FFF2-40B4-BE49-F238E27FC236}">
              <a16:creationId xmlns:a16="http://schemas.microsoft.com/office/drawing/2014/main" id="{8F871EBF-B1F4-4AEE-9886-5265A76F09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" name="TextBox 6">
          <a:extLst>
            <a:ext uri="{FF2B5EF4-FFF2-40B4-BE49-F238E27FC236}">
              <a16:creationId xmlns:a16="http://schemas.microsoft.com/office/drawing/2014/main" id="{68C00D9A-2C75-430C-A1A5-3ADACCF9A1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" name="TextBox 7">
          <a:extLst>
            <a:ext uri="{FF2B5EF4-FFF2-40B4-BE49-F238E27FC236}">
              <a16:creationId xmlns:a16="http://schemas.microsoft.com/office/drawing/2014/main" id="{F6071F50-2E79-421C-AA66-7ACF5476F1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" name="TextBox 8">
          <a:extLst>
            <a:ext uri="{FF2B5EF4-FFF2-40B4-BE49-F238E27FC236}">
              <a16:creationId xmlns:a16="http://schemas.microsoft.com/office/drawing/2014/main" id="{AE4A43E1-7D6D-467E-B765-2F32C527D1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" name="TextBox 2">
          <a:extLst>
            <a:ext uri="{FF2B5EF4-FFF2-40B4-BE49-F238E27FC236}">
              <a16:creationId xmlns:a16="http://schemas.microsoft.com/office/drawing/2014/main" id="{076B70E8-96C6-4635-8D1E-FF2FE8DAD1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" name="TextBox 4">
          <a:extLst>
            <a:ext uri="{FF2B5EF4-FFF2-40B4-BE49-F238E27FC236}">
              <a16:creationId xmlns:a16="http://schemas.microsoft.com/office/drawing/2014/main" id="{0E11A5EB-41D9-4A95-895D-3E122E16BE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" name="TextBox 5">
          <a:extLst>
            <a:ext uri="{FF2B5EF4-FFF2-40B4-BE49-F238E27FC236}">
              <a16:creationId xmlns:a16="http://schemas.microsoft.com/office/drawing/2014/main" id="{0E522845-D924-4DF2-BE90-5A216B753C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" name="TextBox 6">
          <a:extLst>
            <a:ext uri="{FF2B5EF4-FFF2-40B4-BE49-F238E27FC236}">
              <a16:creationId xmlns:a16="http://schemas.microsoft.com/office/drawing/2014/main" id="{617ACAE4-B47A-4F4B-8F33-265CEAE2EF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" name="TextBox 7">
          <a:extLst>
            <a:ext uri="{FF2B5EF4-FFF2-40B4-BE49-F238E27FC236}">
              <a16:creationId xmlns:a16="http://schemas.microsoft.com/office/drawing/2014/main" id="{606280A7-1400-4FBB-B91E-A196DFC3C3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" name="TextBox 8">
          <a:extLst>
            <a:ext uri="{FF2B5EF4-FFF2-40B4-BE49-F238E27FC236}">
              <a16:creationId xmlns:a16="http://schemas.microsoft.com/office/drawing/2014/main" id="{64B4A8E9-1DD3-4876-AEF8-9E370B419FB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" name="TextBox 2">
          <a:extLst>
            <a:ext uri="{FF2B5EF4-FFF2-40B4-BE49-F238E27FC236}">
              <a16:creationId xmlns:a16="http://schemas.microsoft.com/office/drawing/2014/main" id="{AE784C3A-5009-4F2C-B3A5-3E4523949D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" name="TextBox 4">
          <a:extLst>
            <a:ext uri="{FF2B5EF4-FFF2-40B4-BE49-F238E27FC236}">
              <a16:creationId xmlns:a16="http://schemas.microsoft.com/office/drawing/2014/main" id="{F32EC495-4DDD-4B28-8592-EA1A3C5BEA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" name="TextBox 5">
          <a:extLst>
            <a:ext uri="{FF2B5EF4-FFF2-40B4-BE49-F238E27FC236}">
              <a16:creationId xmlns:a16="http://schemas.microsoft.com/office/drawing/2014/main" id="{74860F70-3BA6-46B0-AC7B-78B73F9361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" name="TextBox 6">
          <a:extLst>
            <a:ext uri="{FF2B5EF4-FFF2-40B4-BE49-F238E27FC236}">
              <a16:creationId xmlns:a16="http://schemas.microsoft.com/office/drawing/2014/main" id="{0C490BCF-5E8F-4EE2-8443-9A6EB1EDD8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" name="TextBox 7">
          <a:extLst>
            <a:ext uri="{FF2B5EF4-FFF2-40B4-BE49-F238E27FC236}">
              <a16:creationId xmlns:a16="http://schemas.microsoft.com/office/drawing/2014/main" id="{5F8CFC29-98DB-4EB4-8D81-F712D9FD79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" name="TextBox 8">
          <a:extLst>
            <a:ext uri="{FF2B5EF4-FFF2-40B4-BE49-F238E27FC236}">
              <a16:creationId xmlns:a16="http://schemas.microsoft.com/office/drawing/2014/main" id="{6CC1CAA8-B472-4B0B-B6EF-9011967245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" name="TextBox 2">
          <a:extLst>
            <a:ext uri="{FF2B5EF4-FFF2-40B4-BE49-F238E27FC236}">
              <a16:creationId xmlns:a16="http://schemas.microsoft.com/office/drawing/2014/main" id="{4FB8FB8C-C08E-486E-B381-695B7C9BF8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" name="TextBox 4">
          <a:extLst>
            <a:ext uri="{FF2B5EF4-FFF2-40B4-BE49-F238E27FC236}">
              <a16:creationId xmlns:a16="http://schemas.microsoft.com/office/drawing/2014/main" id="{505B02CB-04A7-4D16-9C0D-227CFA0114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" name="TextBox 5">
          <a:extLst>
            <a:ext uri="{FF2B5EF4-FFF2-40B4-BE49-F238E27FC236}">
              <a16:creationId xmlns:a16="http://schemas.microsoft.com/office/drawing/2014/main" id="{8B735D7F-1677-4C36-B6CC-CDE27C9773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" name="TextBox 6">
          <a:extLst>
            <a:ext uri="{FF2B5EF4-FFF2-40B4-BE49-F238E27FC236}">
              <a16:creationId xmlns:a16="http://schemas.microsoft.com/office/drawing/2014/main" id="{16DB946B-4583-4979-B546-EE0E750995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" name="TextBox 7">
          <a:extLst>
            <a:ext uri="{FF2B5EF4-FFF2-40B4-BE49-F238E27FC236}">
              <a16:creationId xmlns:a16="http://schemas.microsoft.com/office/drawing/2014/main" id="{C326E5F2-3558-43D0-9F84-8E64367D0A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" name="TextBox 8">
          <a:extLst>
            <a:ext uri="{FF2B5EF4-FFF2-40B4-BE49-F238E27FC236}">
              <a16:creationId xmlns:a16="http://schemas.microsoft.com/office/drawing/2014/main" id="{45FD17AF-86E8-480D-BEF8-FA4D34116B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" name="TextBox 2">
          <a:extLst>
            <a:ext uri="{FF2B5EF4-FFF2-40B4-BE49-F238E27FC236}">
              <a16:creationId xmlns:a16="http://schemas.microsoft.com/office/drawing/2014/main" id="{AA941424-000A-4EBA-B74A-2048600482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" name="TextBox 4">
          <a:extLst>
            <a:ext uri="{FF2B5EF4-FFF2-40B4-BE49-F238E27FC236}">
              <a16:creationId xmlns:a16="http://schemas.microsoft.com/office/drawing/2014/main" id="{96C23896-9B36-4924-926B-8EA6EDCDDA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" name="TextBox 5">
          <a:extLst>
            <a:ext uri="{FF2B5EF4-FFF2-40B4-BE49-F238E27FC236}">
              <a16:creationId xmlns:a16="http://schemas.microsoft.com/office/drawing/2014/main" id="{F0C06BB8-1C82-4AB4-AA86-77625B3E9F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" name="TextBox 6">
          <a:extLst>
            <a:ext uri="{FF2B5EF4-FFF2-40B4-BE49-F238E27FC236}">
              <a16:creationId xmlns:a16="http://schemas.microsoft.com/office/drawing/2014/main" id="{6A705865-2486-4D1C-BD73-7B08C2ACB7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" name="TextBox 7">
          <a:extLst>
            <a:ext uri="{FF2B5EF4-FFF2-40B4-BE49-F238E27FC236}">
              <a16:creationId xmlns:a16="http://schemas.microsoft.com/office/drawing/2014/main" id="{4B60A3AC-BF13-4EA8-A78A-A5A0EB5B5A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" name="TextBox 8">
          <a:extLst>
            <a:ext uri="{FF2B5EF4-FFF2-40B4-BE49-F238E27FC236}">
              <a16:creationId xmlns:a16="http://schemas.microsoft.com/office/drawing/2014/main" id="{E5998E63-6AF5-49CA-83FB-8A03F08E42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" name="TextBox 2">
          <a:extLst>
            <a:ext uri="{FF2B5EF4-FFF2-40B4-BE49-F238E27FC236}">
              <a16:creationId xmlns:a16="http://schemas.microsoft.com/office/drawing/2014/main" id="{E8797349-678C-469B-88A8-ED3BA58386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" name="TextBox 4">
          <a:extLst>
            <a:ext uri="{FF2B5EF4-FFF2-40B4-BE49-F238E27FC236}">
              <a16:creationId xmlns:a16="http://schemas.microsoft.com/office/drawing/2014/main" id="{E85A6613-58CA-4030-98E3-17AD8D1BA6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" name="TextBox 5">
          <a:extLst>
            <a:ext uri="{FF2B5EF4-FFF2-40B4-BE49-F238E27FC236}">
              <a16:creationId xmlns:a16="http://schemas.microsoft.com/office/drawing/2014/main" id="{9B54EE11-3915-4A3B-AFD2-89F2F83EC0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" name="TextBox 6">
          <a:extLst>
            <a:ext uri="{FF2B5EF4-FFF2-40B4-BE49-F238E27FC236}">
              <a16:creationId xmlns:a16="http://schemas.microsoft.com/office/drawing/2014/main" id="{E4BC8CB9-D27B-4384-AC61-F0076D0328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" name="TextBox 7">
          <a:extLst>
            <a:ext uri="{FF2B5EF4-FFF2-40B4-BE49-F238E27FC236}">
              <a16:creationId xmlns:a16="http://schemas.microsoft.com/office/drawing/2014/main" id="{CEFC3982-3DA7-4AC2-8916-F357DAE01E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" name="TextBox 8">
          <a:extLst>
            <a:ext uri="{FF2B5EF4-FFF2-40B4-BE49-F238E27FC236}">
              <a16:creationId xmlns:a16="http://schemas.microsoft.com/office/drawing/2014/main" id="{BE1EF311-AE38-4B62-97F9-57006AC2A3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" name="TextBox 2">
          <a:extLst>
            <a:ext uri="{FF2B5EF4-FFF2-40B4-BE49-F238E27FC236}">
              <a16:creationId xmlns:a16="http://schemas.microsoft.com/office/drawing/2014/main" id="{5131CDCA-E658-46B1-A639-4342FFC292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" name="TextBox 4">
          <a:extLst>
            <a:ext uri="{FF2B5EF4-FFF2-40B4-BE49-F238E27FC236}">
              <a16:creationId xmlns:a16="http://schemas.microsoft.com/office/drawing/2014/main" id="{9C86E086-89F8-47D7-984A-593696D199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" name="TextBox 5">
          <a:extLst>
            <a:ext uri="{FF2B5EF4-FFF2-40B4-BE49-F238E27FC236}">
              <a16:creationId xmlns:a16="http://schemas.microsoft.com/office/drawing/2014/main" id="{BB4EEAD4-CC35-4107-A4A8-174035498A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" name="TextBox 6">
          <a:extLst>
            <a:ext uri="{FF2B5EF4-FFF2-40B4-BE49-F238E27FC236}">
              <a16:creationId xmlns:a16="http://schemas.microsoft.com/office/drawing/2014/main" id="{604E931D-8F3A-4C97-A5FC-ED06B2F4BD9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2" name="TextBox 7">
          <a:extLst>
            <a:ext uri="{FF2B5EF4-FFF2-40B4-BE49-F238E27FC236}">
              <a16:creationId xmlns:a16="http://schemas.microsoft.com/office/drawing/2014/main" id="{2186265F-77BD-4FAC-83BB-7FFF8CD4FD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3" name="TextBox 8">
          <a:extLst>
            <a:ext uri="{FF2B5EF4-FFF2-40B4-BE49-F238E27FC236}">
              <a16:creationId xmlns:a16="http://schemas.microsoft.com/office/drawing/2014/main" id="{97F36530-5BC0-4466-8E32-6A6485AC90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4" name="TextBox 2">
          <a:extLst>
            <a:ext uri="{FF2B5EF4-FFF2-40B4-BE49-F238E27FC236}">
              <a16:creationId xmlns:a16="http://schemas.microsoft.com/office/drawing/2014/main" id="{5F4D767A-A710-4F35-91D5-0B8410EF25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5" name="TextBox 4">
          <a:extLst>
            <a:ext uri="{FF2B5EF4-FFF2-40B4-BE49-F238E27FC236}">
              <a16:creationId xmlns:a16="http://schemas.microsoft.com/office/drawing/2014/main" id="{E0D84079-71B2-49E9-93C4-38434B75BB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6" name="TextBox 5">
          <a:extLst>
            <a:ext uri="{FF2B5EF4-FFF2-40B4-BE49-F238E27FC236}">
              <a16:creationId xmlns:a16="http://schemas.microsoft.com/office/drawing/2014/main" id="{B2246ECE-656F-4FE2-B62B-52191A6F7C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7" name="TextBox 6">
          <a:extLst>
            <a:ext uri="{FF2B5EF4-FFF2-40B4-BE49-F238E27FC236}">
              <a16:creationId xmlns:a16="http://schemas.microsoft.com/office/drawing/2014/main" id="{C7598F72-FF83-4360-B63A-1E5DBB8CE7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8" name="TextBox 7">
          <a:extLst>
            <a:ext uri="{FF2B5EF4-FFF2-40B4-BE49-F238E27FC236}">
              <a16:creationId xmlns:a16="http://schemas.microsoft.com/office/drawing/2014/main" id="{75B74FD8-BC4A-4CB9-95E0-B4C922C9F9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9" name="TextBox 8">
          <a:extLst>
            <a:ext uri="{FF2B5EF4-FFF2-40B4-BE49-F238E27FC236}">
              <a16:creationId xmlns:a16="http://schemas.microsoft.com/office/drawing/2014/main" id="{EC1096BC-2E85-4871-BA99-903DD4E9D2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0" name="TextBox 2">
          <a:extLst>
            <a:ext uri="{FF2B5EF4-FFF2-40B4-BE49-F238E27FC236}">
              <a16:creationId xmlns:a16="http://schemas.microsoft.com/office/drawing/2014/main" id="{1E33E419-58C7-450A-8E0C-A3EC550E8D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1" name="TextBox 4">
          <a:extLst>
            <a:ext uri="{FF2B5EF4-FFF2-40B4-BE49-F238E27FC236}">
              <a16:creationId xmlns:a16="http://schemas.microsoft.com/office/drawing/2014/main" id="{BE4F27AD-6CFB-4C29-994E-8CB0B77427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2" name="TextBox 5">
          <a:extLst>
            <a:ext uri="{FF2B5EF4-FFF2-40B4-BE49-F238E27FC236}">
              <a16:creationId xmlns:a16="http://schemas.microsoft.com/office/drawing/2014/main" id="{9D2E4C8F-99D8-42B1-98F3-8EE09CE410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3" name="TextBox 6">
          <a:extLst>
            <a:ext uri="{FF2B5EF4-FFF2-40B4-BE49-F238E27FC236}">
              <a16:creationId xmlns:a16="http://schemas.microsoft.com/office/drawing/2014/main" id="{2D10116E-FEF2-4EF7-AB9B-5A0251E8A19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4" name="TextBox 7">
          <a:extLst>
            <a:ext uri="{FF2B5EF4-FFF2-40B4-BE49-F238E27FC236}">
              <a16:creationId xmlns:a16="http://schemas.microsoft.com/office/drawing/2014/main" id="{373A3546-DCBB-4BED-B9D9-150C53AE2F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5" name="TextBox 8">
          <a:extLst>
            <a:ext uri="{FF2B5EF4-FFF2-40B4-BE49-F238E27FC236}">
              <a16:creationId xmlns:a16="http://schemas.microsoft.com/office/drawing/2014/main" id="{61A79296-7422-40F0-92EF-297E24F058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6" name="TextBox 2">
          <a:extLst>
            <a:ext uri="{FF2B5EF4-FFF2-40B4-BE49-F238E27FC236}">
              <a16:creationId xmlns:a16="http://schemas.microsoft.com/office/drawing/2014/main" id="{58586563-6A8D-47AD-BF82-51C6395537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7" name="TextBox 4">
          <a:extLst>
            <a:ext uri="{FF2B5EF4-FFF2-40B4-BE49-F238E27FC236}">
              <a16:creationId xmlns:a16="http://schemas.microsoft.com/office/drawing/2014/main" id="{D2B20422-15E0-41B7-ADFF-0F689D08F2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8" name="TextBox 5">
          <a:extLst>
            <a:ext uri="{FF2B5EF4-FFF2-40B4-BE49-F238E27FC236}">
              <a16:creationId xmlns:a16="http://schemas.microsoft.com/office/drawing/2014/main" id="{D7A1F837-B578-44D9-8ED8-7E8534D24E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49" name="TextBox 6">
          <a:extLst>
            <a:ext uri="{FF2B5EF4-FFF2-40B4-BE49-F238E27FC236}">
              <a16:creationId xmlns:a16="http://schemas.microsoft.com/office/drawing/2014/main" id="{63642D8D-3B7A-4DBB-B7D3-0636B8C8AA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0" name="TextBox 7">
          <a:extLst>
            <a:ext uri="{FF2B5EF4-FFF2-40B4-BE49-F238E27FC236}">
              <a16:creationId xmlns:a16="http://schemas.microsoft.com/office/drawing/2014/main" id="{ACBA8403-3885-476A-BC1E-6F2715191C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1" name="TextBox 8">
          <a:extLst>
            <a:ext uri="{FF2B5EF4-FFF2-40B4-BE49-F238E27FC236}">
              <a16:creationId xmlns:a16="http://schemas.microsoft.com/office/drawing/2014/main" id="{B68F43B5-8D83-44D2-870B-F11C4C0A4C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2" name="TextBox 2">
          <a:extLst>
            <a:ext uri="{FF2B5EF4-FFF2-40B4-BE49-F238E27FC236}">
              <a16:creationId xmlns:a16="http://schemas.microsoft.com/office/drawing/2014/main" id="{CCEDE886-2B49-4601-A0E8-A0198EEE1B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3" name="TextBox 4">
          <a:extLst>
            <a:ext uri="{FF2B5EF4-FFF2-40B4-BE49-F238E27FC236}">
              <a16:creationId xmlns:a16="http://schemas.microsoft.com/office/drawing/2014/main" id="{F68EFB87-C446-4414-8886-3A1C52B287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4" name="TextBox 5">
          <a:extLst>
            <a:ext uri="{FF2B5EF4-FFF2-40B4-BE49-F238E27FC236}">
              <a16:creationId xmlns:a16="http://schemas.microsoft.com/office/drawing/2014/main" id="{92F0A786-4EAE-4841-9785-D2B5F72D5E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5" name="TextBox 6">
          <a:extLst>
            <a:ext uri="{FF2B5EF4-FFF2-40B4-BE49-F238E27FC236}">
              <a16:creationId xmlns:a16="http://schemas.microsoft.com/office/drawing/2014/main" id="{309589B7-1882-429C-A63C-30029EB0E6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6" name="TextBox 7">
          <a:extLst>
            <a:ext uri="{FF2B5EF4-FFF2-40B4-BE49-F238E27FC236}">
              <a16:creationId xmlns:a16="http://schemas.microsoft.com/office/drawing/2014/main" id="{ACA3CD0D-7219-40A5-BB00-6B86EF3DE1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7" name="TextBox 8">
          <a:extLst>
            <a:ext uri="{FF2B5EF4-FFF2-40B4-BE49-F238E27FC236}">
              <a16:creationId xmlns:a16="http://schemas.microsoft.com/office/drawing/2014/main" id="{F08709AF-19BE-42BB-8363-FF5ABCD374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8" name="TextBox 2">
          <a:extLst>
            <a:ext uri="{FF2B5EF4-FFF2-40B4-BE49-F238E27FC236}">
              <a16:creationId xmlns:a16="http://schemas.microsoft.com/office/drawing/2014/main" id="{E49C039D-5B89-4367-B341-665375D954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59" name="TextBox 4">
          <a:extLst>
            <a:ext uri="{FF2B5EF4-FFF2-40B4-BE49-F238E27FC236}">
              <a16:creationId xmlns:a16="http://schemas.microsoft.com/office/drawing/2014/main" id="{4499CE7B-F9A3-40EB-BC80-CE5ED2D451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0" name="TextBox 5">
          <a:extLst>
            <a:ext uri="{FF2B5EF4-FFF2-40B4-BE49-F238E27FC236}">
              <a16:creationId xmlns:a16="http://schemas.microsoft.com/office/drawing/2014/main" id="{45774829-7D5E-4069-A766-1226E2459E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1" name="TextBox 6">
          <a:extLst>
            <a:ext uri="{FF2B5EF4-FFF2-40B4-BE49-F238E27FC236}">
              <a16:creationId xmlns:a16="http://schemas.microsoft.com/office/drawing/2014/main" id="{2DCC5699-0C80-489F-938C-4D4F031AF1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2" name="TextBox 7">
          <a:extLst>
            <a:ext uri="{FF2B5EF4-FFF2-40B4-BE49-F238E27FC236}">
              <a16:creationId xmlns:a16="http://schemas.microsoft.com/office/drawing/2014/main" id="{FBF8CD23-554F-46E5-A7D0-923F9338F1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3" name="TextBox 8">
          <a:extLst>
            <a:ext uri="{FF2B5EF4-FFF2-40B4-BE49-F238E27FC236}">
              <a16:creationId xmlns:a16="http://schemas.microsoft.com/office/drawing/2014/main" id="{E78D7368-6070-4DFE-8B2B-854633E687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4" name="TextBox 2">
          <a:extLst>
            <a:ext uri="{FF2B5EF4-FFF2-40B4-BE49-F238E27FC236}">
              <a16:creationId xmlns:a16="http://schemas.microsoft.com/office/drawing/2014/main" id="{6AFB5D7B-67EF-4FF2-99CB-A59556F55D2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5" name="TextBox 4">
          <a:extLst>
            <a:ext uri="{FF2B5EF4-FFF2-40B4-BE49-F238E27FC236}">
              <a16:creationId xmlns:a16="http://schemas.microsoft.com/office/drawing/2014/main" id="{C5ED8A9E-CA18-4B0D-8E9B-FBB54460567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6" name="TextBox 5">
          <a:extLst>
            <a:ext uri="{FF2B5EF4-FFF2-40B4-BE49-F238E27FC236}">
              <a16:creationId xmlns:a16="http://schemas.microsoft.com/office/drawing/2014/main" id="{01DB2187-BF19-487A-A146-5AE3671F4E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7" name="TextBox 6">
          <a:extLst>
            <a:ext uri="{FF2B5EF4-FFF2-40B4-BE49-F238E27FC236}">
              <a16:creationId xmlns:a16="http://schemas.microsoft.com/office/drawing/2014/main" id="{C6EBA6BE-43D1-4AFD-9F98-7FCEF51B2D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8" name="TextBox 7">
          <a:extLst>
            <a:ext uri="{FF2B5EF4-FFF2-40B4-BE49-F238E27FC236}">
              <a16:creationId xmlns:a16="http://schemas.microsoft.com/office/drawing/2014/main" id="{F75C7B58-FEE9-43DC-86E9-1AC7497AEA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69" name="TextBox 8">
          <a:extLst>
            <a:ext uri="{FF2B5EF4-FFF2-40B4-BE49-F238E27FC236}">
              <a16:creationId xmlns:a16="http://schemas.microsoft.com/office/drawing/2014/main" id="{A2A08545-945A-4750-8448-F19BE853579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0" name="TextBox 2">
          <a:extLst>
            <a:ext uri="{FF2B5EF4-FFF2-40B4-BE49-F238E27FC236}">
              <a16:creationId xmlns:a16="http://schemas.microsoft.com/office/drawing/2014/main" id="{E39A326F-EF26-431E-921F-03241D6606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1" name="TextBox 4">
          <a:extLst>
            <a:ext uri="{FF2B5EF4-FFF2-40B4-BE49-F238E27FC236}">
              <a16:creationId xmlns:a16="http://schemas.microsoft.com/office/drawing/2014/main" id="{03E8F3A0-42BD-4AC0-8128-DE58FCEB65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2" name="TextBox 5">
          <a:extLst>
            <a:ext uri="{FF2B5EF4-FFF2-40B4-BE49-F238E27FC236}">
              <a16:creationId xmlns:a16="http://schemas.microsoft.com/office/drawing/2014/main" id="{67B8F66B-243D-42EB-AE67-BC3D747597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3" name="TextBox 6">
          <a:extLst>
            <a:ext uri="{FF2B5EF4-FFF2-40B4-BE49-F238E27FC236}">
              <a16:creationId xmlns:a16="http://schemas.microsoft.com/office/drawing/2014/main" id="{31DCE21B-402F-48A4-A79A-1515B5C912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4" name="TextBox 7">
          <a:extLst>
            <a:ext uri="{FF2B5EF4-FFF2-40B4-BE49-F238E27FC236}">
              <a16:creationId xmlns:a16="http://schemas.microsoft.com/office/drawing/2014/main" id="{2F240AED-538B-4B1F-8426-DA2DEE515C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5" name="TextBox 8">
          <a:extLst>
            <a:ext uri="{FF2B5EF4-FFF2-40B4-BE49-F238E27FC236}">
              <a16:creationId xmlns:a16="http://schemas.microsoft.com/office/drawing/2014/main" id="{79EC6095-9B24-4B6C-B45A-BF62E8007F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6" name="TextBox 2">
          <a:extLst>
            <a:ext uri="{FF2B5EF4-FFF2-40B4-BE49-F238E27FC236}">
              <a16:creationId xmlns:a16="http://schemas.microsoft.com/office/drawing/2014/main" id="{65F9E8FD-416D-41E9-9DCE-0469FEBE0E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7" name="TextBox 4">
          <a:extLst>
            <a:ext uri="{FF2B5EF4-FFF2-40B4-BE49-F238E27FC236}">
              <a16:creationId xmlns:a16="http://schemas.microsoft.com/office/drawing/2014/main" id="{652D5670-B963-4735-9C72-3A7799C6FE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8" name="TextBox 5">
          <a:extLst>
            <a:ext uri="{FF2B5EF4-FFF2-40B4-BE49-F238E27FC236}">
              <a16:creationId xmlns:a16="http://schemas.microsoft.com/office/drawing/2014/main" id="{A631B4A7-9B2A-4BDB-AED4-ADBD673283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79" name="TextBox 6">
          <a:extLst>
            <a:ext uri="{FF2B5EF4-FFF2-40B4-BE49-F238E27FC236}">
              <a16:creationId xmlns:a16="http://schemas.microsoft.com/office/drawing/2014/main" id="{61E38FAA-D99B-4C04-A478-115D39AC0A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0" name="TextBox 7">
          <a:extLst>
            <a:ext uri="{FF2B5EF4-FFF2-40B4-BE49-F238E27FC236}">
              <a16:creationId xmlns:a16="http://schemas.microsoft.com/office/drawing/2014/main" id="{0465F1D3-3D40-4500-A0EF-07FFCF1AA3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1" name="TextBox 8">
          <a:extLst>
            <a:ext uri="{FF2B5EF4-FFF2-40B4-BE49-F238E27FC236}">
              <a16:creationId xmlns:a16="http://schemas.microsoft.com/office/drawing/2014/main" id="{6ED26062-3259-4B27-A441-7C3BB907DE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2" name="TextBox 2">
          <a:extLst>
            <a:ext uri="{FF2B5EF4-FFF2-40B4-BE49-F238E27FC236}">
              <a16:creationId xmlns:a16="http://schemas.microsoft.com/office/drawing/2014/main" id="{6C41B8AC-D530-4245-AD32-0D5B8F79AA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3" name="TextBox 4">
          <a:extLst>
            <a:ext uri="{FF2B5EF4-FFF2-40B4-BE49-F238E27FC236}">
              <a16:creationId xmlns:a16="http://schemas.microsoft.com/office/drawing/2014/main" id="{3B24F73A-DB22-42D9-9367-031A7BC57E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4" name="TextBox 5">
          <a:extLst>
            <a:ext uri="{FF2B5EF4-FFF2-40B4-BE49-F238E27FC236}">
              <a16:creationId xmlns:a16="http://schemas.microsoft.com/office/drawing/2014/main" id="{EA24C06F-2E56-4115-ADAB-ED8D05A6E1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5" name="TextBox 6">
          <a:extLst>
            <a:ext uri="{FF2B5EF4-FFF2-40B4-BE49-F238E27FC236}">
              <a16:creationId xmlns:a16="http://schemas.microsoft.com/office/drawing/2014/main" id="{B292DFAC-5DBF-4E94-9026-2959EB131E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6" name="TextBox 7">
          <a:extLst>
            <a:ext uri="{FF2B5EF4-FFF2-40B4-BE49-F238E27FC236}">
              <a16:creationId xmlns:a16="http://schemas.microsoft.com/office/drawing/2014/main" id="{6C07561A-D4B0-4D8B-A65F-0FC157B07F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7" name="TextBox 8">
          <a:extLst>
            <a:ext uri="{FF2B5EF4-FFF2-40B4-BE49-F238E27FC236}">
              <a16:creationId xmlns:a16="http://schemas.microsoft.com/office/drawing/2014/main" id="{D16781BE-5FB7-4008-AB69-8A2FD9FFA6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8" name="TextBox 2">
          <a:extLst>
            <a:ext uri="{FF2B5EF4-FFF2-40B4-BE49-F238E27FC236}">
              <a16:creationId xmlns:a16="http://schemas.microsoft.com/office/drawing/2014/main" id="{F0801B7F-F407-4586-936C-98A57D2E0F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89" name="TextBox 4">
          <a:extLst>
            <a:ext uri="{FF2B5EF4-FFF2-40B4-BE49-F238E27FC236}">
              <a16:creationId xmlns:a16="http://schemas.microsoft.com/office/drawing/2014/main" id="{8B4030E0-9C1B-4354-9574-803953A34D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0" name="TextBox 5">
          <a:extLst>
            <a:ext uri="{FF2B5EF4-FFF2-40B4-BE49-F238E27FC236}">
              <a16:creationId xmlns:a16="http://schemas.microsoft.com/office/drawing/2014/main" id="{AD098D97-322F-4224-96C1-9DC10C7451F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1" name="TextBox 6">
          <a:extLst>
            <a:ext uri="{FF2B5EF4-FFF2-40B4-BE49-F238E27FC236}">
              <a16:creationId xmlns:a16="http://schemas.microsoft.com/office/drawing/2014/main" id="{0301EC94-ABDC-4A2E-AE7C-EC9B07F23F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2" name="TextBox 7">
          <a:extLst>
            <a:ext uri="{FF2B5EF4-FFF2-40B4-BE49-F238E27FC236}">
              <a16:creationId xmlns:a16="http://schemas.microsoft.com/office/drawing/2014/main" id="{3AFCFD95-AD6F-411E-8B8D-71D2136EC8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3" name="TextBox 8">
          <a:extLst>
            <a:ext uri="{FF2B5EF4-FFF2-40B4-BE49-F238E27FC236}">
              <a16:creationId xmlns:a16="http://schemas.microsoft.com/office/drawing/2014/main" id="{77F50003-5CE2-482B-977C-52197D2E9D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4" name="TextBox 2">
          <a:extLst>
            <a:ext uri="{FF2B5EF4-FFF2-40B4-BE49-F238E27FC236}">
              <a16:creationId xmlns:a16="http://schemas.microsoft.com/office/drawing/2014/main" id="{18D92EFC-857B-49DF-8730-CEAB20EA45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5" name="TextBox 4">
          <a:extLst>
            <a:ext uri="{FF2B5EF4-FFF2-40B4-BE49-F238E27FC236}">
              <a16:creationId xmlns:a16="http://schemas.microsoft.com/office/drawing/2014/main" id="{94AB88AD-D620-44D6-B2C3-C4302B932F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6" name="TextBox 5">
          <a:extLst>
            <a:ext uri="{FF2B5EF4-FFF2-40B4-BE49-F238E27FC236}">
              <a16:creationId xmlns:a16="http://schemas.microsoft.com/office/drawing/2014/main" id="{DB5E3BA3-EC89-4D2A-98C4-326BB4830C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7" name="TextBox 6">
          <a:extLst>
            <a:ext uri="{FF2B5EF4-FFF2-40B4-BE49-F238E27FC236}">
              <a16:creationId xmlns:a16="http://schemas.microsoft.com/office/drawing/2014/main" id="{65A3D4B0-DECE-4FA3-A927-FBDF6A8B15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8" name="TextBox 7">
          <a:extLst>
            <a:ext uri="{FF2B5EF4-FFF2-40B4-BE49-F238E27FC236}">
              <a16:creationId xmlns:a16="http://schemas.microsoft.com/office/drawing/2014/main" id="{D4CFF32C-5304-47C6-AE27-6967F41E20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99" name="TextBox 8">
          <a:extLst>
            <a:ext uri="{FF2B5EF4-FFF2-40B4-BE49-F238E27FC236}">
              <a16:creationId xmlns:a16="http://schemas.microsoft.com/office/drawing/2014/main" id="{7DF4A634-B52F-4479-BC6E-C8C232C0B3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0" name="TextBox 2">
          <a:extLst>
            <a:ext uri="{FF2B5EF4-FFF2-40B4-BE49-F238E27FC236}">
              <a16:creationId xmlns:a16="http://schemas.microsoft.com/office/drawing/2014/main" id="{8573221F-6A70-4B9D-91E7-FBFB076F0B2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1" name="TextBox 4">
          <a:extLst>
            <a:ext uri="{FF2B5EF4-FFF2-40B4-BE49-F238E27FC236}">
              <a16:creationId xmlns:a16="http://schemas.microsoft.com/office/drawing/2014/main" id="{558BED0F-6E8D-42E4-B821-575EB79481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2" name="TextBox 5">
          <a:extLst>
            <a:ext uri="{FF2B5EF4-FFF2-40B4-BE49-F238E27FC236}">
              <a16:creationId xmlns:a16="http://schemas.microsoft.com/office/drawing/2014/main" id="{244906FA-A19A-4A4C-AE05-9E540BE007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3" name="TextBox 6">
          <a:extLst>
            <a:ext uri="{FF2B5EF4-FFF2-40B4-BE49-F238E27FC236}">
              <a16:creationId xmlns:a16="http://schemas.microsoft.com/office/drawing/2014/main" id="{C6DE7D11-D3A6-49DF-8936-597C477D781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4" name="TextBox 7">
          <a:extLst>
            <a:ext uri="{FF2B5EF4-FFF2-40B4-BE49-F238E27FC236}">
              <a16:creationId xmlns:a16="http://schemas.microsoft.com/office/drawing/2014/main" id="{4CC16945-5A84-4876-9D6B-1AE7474358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5" name="TextBox 8">
          <a:extLst>
            <a:ext uri="{FF2B5EF4-FFF2-40B4-BE49-F238E27FC236}">
              <a16:creationId xmlns:a16="http://schemas.microsoft.com/office/drawing/2014/main" id="{B1074460-DC54-4F2A-B2E2-B876DF36D3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6" name="TextBox 2">
          <a:extLst>
            <a:ext uri="{FF2B5EF4-FFF2-40B4-BE49-F238E27FC236}">
              <a16:creationId xmlns:a16="http://schemas.microsoft.com/office/drawing/2014/main" id="{1F3CC72A-DA1C-42AA-B47A-EEE80B80C0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7" name="TextBox 4">
          <a:extLst>
            <a:ext uri="{FF2B5EF4-FFF2-40B4-BE49-F238E27FC236}">
              <a16:creationId xmlns:a16="http://schemas.microsoft.com/office/drawing/2014/main" id="{FF21CBC0-1F34-43EF-A119-745031F4B1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8" name="TextBox 5">
          <a:extLst>
            <a:ext uri="{FF2B5EF4-FFF2-40B4-BE49-F238E27FC236}">
              <a16:creationId xmlns:a16="http://schemas.microsoft.com/office/drawing/2014/main" id="{F737FBAA-404D-449C-BFD2-4C782750DE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09" name="TextBox 6">
          <a:extLst>
            <a:ext uri="{FF2B5EF4-FFF2-40B4-BE49-F238E27FC236}">
              <a16:creationId xmlns:a16="http://schemas.microsoft.com/office/drawing/2014/main" id="{3FF34F56-44B0-49C8-A621-EB7A1032F8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0" name="TextBox 7">
          <a:extLst>
            <a:ext uri="{FF2B5EF4-FFF2-40B4-BE49-F238E27FC236}">
              <a16:creationId xmlns:a16="http://schemas.microsoft.com/office/drawing/2014/main" id="{3DB3CA8B-C4D2-48E7-9787-7FBF6DF068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1" name="TextBox 8">
          <a:extLst>
            <a:ext uri="{FF2B5EF4-FFF2-40B4-BE49-F238E27FC236}">
              <a16:creationId xmlns:a16="http://schemas.microsoft.com/office/drawing/2014/main" id="{7C3BDB1B-35C1-4070-B6E7-4B209D449C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2" name="TextBox 2">
          <a:extLst>
            <a:ext uri="{FF2B5EF4-FFF2-40B4-BE49-F238E27FC236}">
              <a16:creationId xmlns:a16="http://schemas.microsoft.com/office/drawing/2014/main" id="{21EF028F-5203-4CCA-B263-EDB8EA139D4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3" name="TextBox 4">
          <a:extLst>
            <a:ext uri="{FF2B5EF4-FFF2-40B4-BE49-F238E27FC236}">
              <a16:creationId xmlns:a16="http://schemas.microsoft.com/office/drawing/2014/main" id="{77DAE151-00A3-4F13-AD65-E1E4EAE3F7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4" name="TextBox 5">
          <a:extLst>
            <a:ext uri="{FF2B5EF4-FFF2-40B4-BE49-F238E27FC236}">
              <a16:creationId xmlns:a16="http://schemas.microsoft.com/office/drawing/2014/main" id="{CE4024D1-A834-4AF4-A6B6-74144E7EF3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5" name="TextBox 6">
          <a:extLst>
            <a:ext uri="{FF2B5EF4-FFF2-40B4-BE49-F238E27FC236}">
              <a16:creationId xmlns:a16="http://schemas.microsoft.com/office/drawing/2014/main" id="{B9E2FF9B-0372-4448-9682-D0E3B23B9E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6" name="TextBox 7">
          <a:extLst>
            <a:ext uri="{FF2B5EF4-FFF2-40B4-BE49-F238E27FC236}">
              <a16:creationId xmlns:a16="http://schemas.microsoft.com/office/drawing/2014/main" id="{E6D10607-8CB0-43CC-935E-8B64F330292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7" name="TextBox 8">
          <a:extLst>
            <a:ext uri="{FF2B5EF4-FFF2-40B4-BE49-F238E27FC236}">
              <a16:creationId xmlns:a16="http://schemas.microsoft.com/office/drawing/2014/main" id="{7F603D4E-1F61-4F12-B3A8-642F4E22A7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8" name="TextBox 2">
          <a:extLst>
            <a:ext uri="{FF2B5EF4-FFF2-40B4-BE49-F238E27FC236}">
              <a16:creationId xmlns:a16="http://schemas.microsoft.com/office/drawing/2014/main" id="{CCE76F9E-F9F0-47B4-8CA8-5D1009B9B7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19" name="TextBox 4">
          <a:extLst>
            <a:ext uri="{FF2B5EF4-FFF2-40B4-BE49-F238E27FC236}">
              <a16:creationId xmlns:a16="http://schemas.microsoft.com/office/drawing/2014/main" id="{CA8748D8-43F1-4D37-B8A3-23282F1AFA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0" name="TextBox 5">
          <a:extLst>
            <a:ext uri="{FF2B5EF4-FFF2-40B4-BE49-F238E27FC236}">
              <a16:creationId xmlns:a16="http://schemas.microsoft.com/office/drawing/2014/main" id="{5FC68D5A-BB6A-40BA-8A92-295A239E68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1" name="TextBox 6">
          <a:extLst>
            <a:ext uri="{FF2B5EF4-FFF2-40B4-BE49-F238E27FC236}">
              <a16:creationId xmlns:a16="http://schemas.microsoft.com/office/drawing/2014/main" id="{EBC2C69C-AD4D-4721-AE4B-574E5E9726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2" name="TextBox 7">
          <a:extLst>
            <a:ext uri="{FF2B5EF4-FFF2-40B4-BE49-F238E27FC236}">
              <a16:creationId xmlns:a16="http://schemas.microsoft.com/office/drawing/2014/main" id="{55A4663E-1BF6-4430-B864-20E837E819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3" name="TextBox 8">
          <a:extLst>
            <a:ext uri="{FF2B5EF4-FFF2-40B4-BE49-F238E27FC236}">
              <a16:creationId xmlns:a16="http://schemas.microsoft.com/office/drawing/2014/main" id="{3FD9ED59-8B28-4362-863D-539330CCA8F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4" name="TextBox 2">
          <a:extLst>
            <a:ext uri="{FF2B5EF4-FFF2-40B4-BE49-F238E27FC236}">
              <a16:creationId xmlns:a16="http://schemas.microsoft.com/office/drawing/2014/main" id="{1B908D8C-F74A-4001-A80A-0F6E333AA1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5" name="TextBox 4">
          <a:extLst>
            <a:ext uri="{FF2B5EF4-FFF2-40B4-BE49-F238E27FC236}">
              <a16:creationId xmlns:a16="http://schemas.microsoft.com/office/drawing/2014/main" id="{C0308FBF-9C75-48D0-A8DB-7E6F16DF85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6" name="TextBox 5">
          <a:extLst>
            <a:ext uri="{FF2B5EF4-FFF2-40B4-BE49-F238E27FC236}">
              <a16:creationId xmlns:a16="http://schemas.microsoft.com/office/drawing/2014/main" id="{D14BE349-00F5-4A98-97DB-41BD6C590D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7" name="TextBox 6">
          <a:extLst>
            <a:ext uri="{FF2B5EF4-FFF2-40B4-BE49-F238E27FC236}">
              <a16:creationId xmlns:a16="http://schemas.microsoft.com/office/drawing/2014/main" id="{7C683A10-2665-4324-87D1-217F10B7F1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8" name="TextBox 7">
          <a:extLst>
            <a:ext uri="{FF2B5EF4-FFF2-40B4-BE49-F238E27FC236}">
              <a16:creationId xmlns:a16="http://schemas.microsoft.com/office/drawing/2014/main" id="{E40E81B5-89F2-4223-A4CA-16C7DCC9C8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29" name="TextBox 8">
          <a:extLst>
            <a:ext uri="{FF2B5EF4-FFF2-40B4-BE49-F238E27FC236}">
              <a16:creationId xmlns:a16="http://schemas.microsoft.com/office/drawing/2014/main" id="{8671AEA1-D9E8-4892-A5F4-52A52F7E8D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0" name="TextBox 2">
          <a:extLst>
            <a:ext uri="{FF2B5EF4-FFF2-40B4-BE49-F238E27FC236}">
              <a16:creationId xmlns:a16="http://schemas.microsoft.com/office/drawing/2014/main" id="{E53B4627-C6D6-40BC-BCFE-CC08C1A84A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1" name="TextBox 4">
          <a:extLst>
            <a:ext uri="{FF2B5EF4-FFF2-40B4-BE49-F238E27FC236}">
              <a16:creationId xmlns:a16="http://schemas.microsoft.com/office/drawing/2014/main" id="{DF3847AE-9D4F-4E8C-BC4B-E948C159A0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2" name="TextBox 5">
          <a:extLst>
            <a:ext uri="{FF2B5EF4-FFF2-40B4-BE49-F238E27FC236}">
              <a16:creationId xmlns:a16="http://schemas.microsoft.com/office/drawing/2014/main" id="{8A088ABC-DE0A-4278-8CCD-783111645C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3" name="TextBox 6">
          <a:extLst>
            <a:ext uri="{FF2B5EF4-FFF2-40B4-BE49-F238E27FC236}">
              <a16:creationId xmlns:a16="http://schemas.microsoft.com/office/drawing/2014/main" id="{45058950-7FFE-4FD5-A0B6-8AD3881311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4" name="TextBox 7">
          <a:extLst>
            <a:ext uri="{FF2B5EF4-FFF2-40B4-BE49-F238E27FC236}">
              <a16:creationId xmlns:a16="http://schemas.microsoft.com/office/drawing/2014/main" id="{7D2567ED-0FC5-418F-AC85-82C0F7212EF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5" name="TextBox 8">
          <a:extLst>
            <a:ext uri="{FF2B5EF4-FFF2-40B4-BE49-F238E27FC236}">
              <a16:creationId xmlns:a16="http://schemas.microsoft.com/office/drawing/2014/main" id="{58A794B4-5FF6-4786-97A3-88AC40D7E9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6" name="TextBox 2">
          <a:extLst>
            <a:ext uri="{FF2B5EF4-FFF2-40B4-BE49-F238E27FC236}">
              <a16:creationId xmlns:a16="http://schemas.microsoft.com/office/drawing/2014/main" id="{26CD3014-9F8A-4CA0-97C0-5EA94E668F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7" name="TextBox 4">
          <a:extLst>
            <a:ext uri="{FF2B5EF4-FFF2-40B4-BE49-F238E27FC236}">
              <a16:creationId xmlns:a16="http://schemas.microsoft.com/office/drawing/2014/main" id="{E56DEA98-9C75-4152-B8AE-D9D71F0AD7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8" name="TextBox 5">
          <a:extLst>
            <a:ext uri="{FF2B5EF4-FFF2-40B4-BE49-F238E27FC236}">
              <a16:creationId xmlns:a16="http://schemas.microsoft.com/office/drawing/2014/main" id="{ED5D918B-1A07-4EBD-B385-4A513F4296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39" name="TextBox 6">
          <a:extLst>
            <a:ext uri="{FF2B5EF4-FFF2-40B4-BE49-F238E27FC236}">
              <a16:creationId xmlns:a16="http://schemas.microsoft.com/office/drawing/2014/main" id="{528B09FE-E9EF-4ED4-8CC2-785FF72CFB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0" name="TextBox 7">
          <a:extLst>
            <a:ext uri="{FF2B5EF4-FFF2-40B4-BE49-F238E27FC236}">
              <a16:creationId xmlns:a16="http://schemas.microsoft.com/office/drawing/2014/main" id="{08185032-66A6-47B0-AF47-E2658EB1AF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1" name="TextBox 8">
          <a:extLst>
            <a:ext uri="{FF2B5EF4-FFF2-40B4-BE49-F238E27FC236}">
              <a16:creationId xmlns:a16="http://schemas.microsoft.com/office/drawing/2014/main" id="{8AD8578A-E8AA-4149-9C36-E6DFD9ED21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2" name="TextBox 2">
          <a:extLst>
            <a:ext uri="{FF2B5EF4-FFF2-40B4-BE49-F238E27FC236}">
              <a16:creationId xmlns:a16="http://schemas.microsoft.com/office/drawing/2014/main" id="{33814186-7BD8-4A1A-A64F-730DF4C7CE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3" name="TextBox 4">
          <a:extLst>
            <a:ext uri="{FF2B5EF4-FFF2-40B4-BE49-F238E27FC236}">
              <a16:creationId xmlns:a16="http://schemas.microsoft.com/office/drawing/2014/main" id="{07501FEA-4F9E-454D-BB34-5A64AC11A7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4" name="TextBox 5">
          <a:extLst>
            <a:ext uri="{FF2B5EF4-FFF2-40B4-BE49-F238E27FC236}">
              <a16:creationId xmlns:a16="http://schemas.microsoft.com/office/drawing/2014/main" id="{5328B947-5310-47FA-852F-D3D092C304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5" name="TextBox 6">
          <a:extLst>
            <a:ext uri="{FF2B5EF4-FFF2-40B4-BE49-F238E27FC236}">
              <a16:creationId xmlns:a16="http://schemas.microsoft.com/office/drawing/2014/main" id="{6B0EAEE3-23D9-4BA1-B20D-159D52564E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6" name="TextBox 7">
          <a:extLst>
            <a:ext uri="{FF2B5EF4-FFF2-40B4-BE49-F238E27FC236}">
              <a16:creationId xmlns:a16="http://schemas.microsoft.com/office/drawing/2014/main" id="{CEFCDCB0-A3B7-4C51-B9FD-A6ED8A6C17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7" name="TextBox 8">
          <a:extLst>
            <a:ext uri="{FF2B5EF4-FFF2-40B4-BE49-F238E27FC236}">
              <a16:creationId xmlns:a16="http://schemas.microsoft.com/office/drawing/2014/main" id="{E9B45C00-F65A-416F-85BD-3C31DF09E01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8" name="TextBox 2">
          <a:extLst>
            <a:ext uri="{FF2B5EF4-FFF2-40B4-BE49-F238E27FC236}">
              <a16:creationId xmlns:a16="http://schemas.microsoft.com/office/drawing/2014/main" id="{8A087B58-5FED-46B4-9335-212F20733A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49" name="TextBox 4">
          <a:extLst>
            <a:ext uri="{FF2B5EF4-FFF2-40B4-BE49-F238E27FC236}">
              <a16:creationId xmlns:a16="http://schemas.microsoft.com/office/drawing/2014/main" id="{119864A4-21E9-44B7-A099-18197D8C1A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0" name="TextBox 5">
          <a:extLst>
            <a:ext uri="{FF2B5EF4-FFF2-40B4-BE49-F238E27FC236}">
              <a16:creationId xmlns:a16="http://schemas.microsoft.com/office/drawing/2014/main" id="{BDE8043C-3155-451D-99D4-3D3F5130F9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1" name="TextBox 6">
          <a:extLst>
            <a:ext uri="{FF2B5EF4-FFF2-40B4-BE49-F238E27FC236}">
              <a16:creationId xmlns:a16="http://schemas.microsoft.com/office/drawing/2014/main" id="{1C6611F9-5D9D-4429-AC11-955FB95193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2" name="TextBox 7">
          <a:extLst>
            <a:ext uri="{FF2B5EF4-FFF2-40B4-BE49-F238E27FC236}">
              <a16:creationId xmlns:a16="http://schemas.microsoft.com/office/drawing/2014/main" id="{1E4C47DE-58D7-42DB-AC7D-EF5295709FC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3" name="TextBox 8">
          <a:extLst>
            <a:ext uri="{FF2B5EF4-FFF2-40B4-BE49-F238E27FC236}">
              <a16:creationId xmlns:a16="http://schemas.microsoft.com/office/drawing/2014/main" id="{F9712941-DC22-4D69-BC1A-032966312B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4" name="TextBox 2">
          <a:extLst>
            <a:ext uri="{FF2B5EF4-FFF2-40B4-BE49-F238E27FC236}">
              <a16:creationId xmlns:a16="http://schemas.microsoft.com/office/drawing/2014/main" id="{A21E90B4-3F7B-4C29-AC38-F8AEF13A84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5" name="TextBox 4">
          <a:extLst>
            <a:ext uri="{FF2B5EF4-FFF2-40B4-BE49-F238E27FC236}">
              <a16:creationId xmlns:a16="http://schemas.microsoft.com/office/drawing/2014/main" id="{072123CE-3671-4CAE-AE74-CAEA574455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6" name="TextBox 5">
          <a:extLst>
            <a:ext uri="{FF2B5EF4-FFF2-40B4-BE49-F238E27FC236}">
              <a16:creationId xmlns:a16="http://schemas.microsoft.com/office/drawing/2014/main" id="{E77CC955-2E8C-4630-8B73-3390238E95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7" name="TextBox 6">
          <a:extLst>
            <a:ext uri="{FF2B5EF4-FFF2-40B4-BE49-F238E27FC236}">
              <a16:creationId xmlns:a16="http://schemas.microsoft.com/office/drawing/2014/main" id="{0C1AD0FD-7954-4380-8C07-9C3B05350F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8" name="TextBox 7">
          <a:extLst>
            <a:ext uri="{FF2B5EF4-FFF2-40B4-BE49-F238E27FC236}">
              <a16:creationId xmlns:a16="http://schemas.microsoft.com/office/drawing/2014/main" id="{998483D8-C2F2-4B67-8FA8-74D29784CC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59" name="TextBox 8">
          <a:extLst>
            <a:ext uri="{FF2B5EF4-FFF2-40B4-BE49-F238E27FC236}">
              <a16:creationId xmlns:a16="http://schemas.microsoft.com/office/drawing/2014/main" id="{4478E7D2-0A12-4656-BE6C-9D305C2069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0" name="TextBox 2">
          <a:extLst>
            <a:ext uri="{FF2B5EF4-FFF2-40B4-BE49-F238E27FC236}">
              <a16:creationId xmlns:a16="http://schemas.microsoft.com/office/drawing/2014/main" id="{D998769F-B699-4C6B-A7CD-808A2753BD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1" name="TextBox 4">
          <a:extLst>
            <a:ext uri="{FF2B5EF4-FFF2-40B4-BE49-F238E27FC236}">
              <a16:creationId xmlns:a16="http://schemas.microsoft.com/office/drawing/2014/main" id="{8F9736EC-EF5E-4FB4-A510-F05AE06B1D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2" name="TextBox 5">
          <a:extLst>
            <a:ext uri="{FF2B5EF4-FFF2-40B4-BE49-F238E27FC236}">
              <a16:creationId xmlns:a16="http://schemas.microsoft.com/office/drawing/2014/main" id="{6FA5E71D-1267-4586-8622-D32C72879F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3" name="TextBox 6">
          <a:extLst>
            <a:ext uri="{FF2B5EF4-FFF2-40B4-BE49-F238E27FC236}">
              <a16:creationId xmlns:a16="http://schemas.microsoft.com/office/drawing/2014/main" id="{47AEBEA7-0939-4F5D-9FA5-7F42402973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4" name="TextBox 7">
          <a:extLst>
            <a:ext uri="{FF2B5EF4-FFF2-40B4-BE49-F238E27FC236}">
              <a16:creationId xmlns:a16="http://schemas.microsoft.com/office/drawing/2014/main" id="{30A10013-6F18-4E57-9345-727FE9B85B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5" name="TextBox 8">
          <a:extLst>
            <a:ext uri="{FF2B5EF4-FFF2-40B4-BE49-F238E27FC236}">
              <a16:creationId xmlns:a16="http://schemas.microsoft.com/office/drawing/2014/main" id="{1664A6B6-F1B3-42E4-BBC6-7D3ED60F94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6" name="TextBox 2">
          <a:extLst>
            <a:ext uri="{FF2B5EF4-FFF2-40B4-BE49-F238E27FC236}">
              <a16:creationId xmlns:a16="http://schemas.microsoft.com/office/drawing/2014/main" id="{A619B263-474E-486F-8D19-2FF8A8124F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7" name="TextBox 4">
          <a:extLst>
            <a:ext uri="{FF2B5EF4-FFF2-40B4-BE49-F238E27FC236}">
              <a16:creationId xmlns:a16="http://schemas.microsoft.com/office/drawing/2014/main" id="{B0A46A7C-1272-4C0C-8A83-1CE164B1B1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8" name="TextBox 5">
          <a:extLst>
            <a:ext uri="{FF2B5EF4-FFF2-40B4-BE49-F238E27FC236}">
              <a16:creationId xmlns:a16="http://schemas.microsoft.com/office/drawing/2014/main" id="{EB48610A-046B-42F8-883B-2B771A1202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69" name="TextBox 6">
          <a:extLst>
            <a:ext uri="{FF2B5EF4-FFF2-40B4-BE49-F238E27FC236}">
              <a16:creationId xmlns:a16="http://schemas.microsoft.com/office/drawing/2014/main" id="{71049708-9DFA-44AC-B978-313D133F37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0" name="TextBox 7">
          <a:extLst>
            <a:ext uri="{FF2B5EF4-FFF2-40B4-BE49-F238E27FC236}">
              <a16:creationId xmlns:a16="http://schemas.microsoft.com/office/drawing/2014/main" id="{6361C5D6-2B71-4C3F-A1F9-C8DF1588A3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1" name="TextBox 8">
          <a:extLst>
            <a:ext uri="{FF2B5EF4-FFF2-40B4-BE49-F238E27FC236}">
              <a16:creationId xmlns:a16="http://schemas.microsoft.com/office/drawing/2014/main" id="{518D1285-F493-49D1-BB4C-3490F664ED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2" name="TextBox 2">
          <a:extLst>
            <a:ext uri="{FF2B5EF4-FFF2-40B4-BE49-F238E27FC236}">
              <a16:creationId xmlns:a16="http://schemas.microsoft.com/office/drawing/2014/main" id="{1B62A0DD-6A26-42CF-A025-FDBB0D2B86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3" name="TextBox 4">
          <a:extLst>
            <a:ext uri="{FF2B5EF4-FFF2-40B4-BE49-F238E27FC236}">
              <a16:creationId xmlns:a16="http://schemas.microsoft.com/office/drawing/2014/main" id="{BC91E38B-7221-4049-BA88-4DFB861975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4" name="TextBox 5">
          <a:extLst>
            <a:ext uri="{FF2B5EF4-FFF2-40B4-BE49-F238E27FC236}">
              <a16:creationId xmlns:a16="http://schemas.microsoft.com/office/drawing/2014/main" id="{8622A6EF-00C1-4E04-BA4E-E59C08897E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5" name="TextBox 6">
          <a:extLst>
            <a:ext uri="{FF2B5EF4-FFF2-40B4-BE49-F238E27FC236}">
              <a16:creationId xmlns:a16="http://schemas.microsoft.com/office/drawing/2014/main" id="{B9777AF3-DE8F-4C41-8C86-5622AA3578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6" name="TextBox 7">
          <a:extLst>
            <a:ext uri="{FF2B5EF4-FFF2-40B4-BE49-F238E27FC236}">
              <a16:creationId xmlns:a16="http://schemas.microsoft.com/office/drawing/2014/main" id="{089E12E6-BB74-4A5E-B04D-5CD06DCD62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7" name="TextBox 8">
          <a:extLst>
            <a:ext uri="{FF2B5EF4-FFF2-40B4-BE49-F238E27FC236}">
              <a16:creationId xmlns:a16="http://schemas.microsoft.com/office/drawing/2014/main" id="{00F274C7-0171-4DF1-BF86-A233958525F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8" name="TextBox 2">
          <a:extLst>
            <a:ext uri="{FF2B5EF4-FFF2-40B4-BE49-F238E27FC236}">
              <a16:creationId xmlns:a16="http://schemas.microsoft.com/office/drawing/2014/main" id="{D4892631-D426-4754-92EB-B908B24A5C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79" name="TextBox 4">
          <a:extLst>
            <a:ext uri="{FF2B5EF4-FFF2-40B4-BE49-F238E27FC236}">
              <a16:creationId xmlns:a16="http://schemas.microsoft.com/office/drawing/2014/main" id="{5C8D8DB0-B304-4A21-8C9D-AC8778449D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0" name="TextBox 5">
          <a:extLst>
            <a:ext uri="{FF2B5EF4-FFF2-40B4-BE49-F238E27FC236}">
              <a16:creationId xmlns:a16="http://schemas.microsoft.com/office/drawing/2014/main" id="{AD663D59-5947-4CE3-B4B7-6C310C969D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1" name="TextBox 6">
          <a:extLst>
            <a:ext uri="{FF2B5EF4-FFF2-40B4-BE49-F238E27FC236}">
              <a16:creationId xmlns:a16="http://schemas.microsoft.com/office/drawing/2014/main" id="{C57D9C74-40EC-450A-96BC-DD2A995BFB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2" name="TextBox 7">
          <a:extLst>
            <a:ext uri="{FF2B5EF4-FFF2-40B4-BE49-F238E27FC236}">
              <a16:creationId xmlns:a16="http://schemas.microsoft.com/office/drawing/2014/main" id="{67524624-A75D-49B0-8A6A-0DD300A681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3" name="TextBox 8">
          <a:extLst>
            <a:ext uri="{FF2B5EF4-FFF2-40B4-BE49-F238E27FC236}">
              <a16:creationId xmlns:a16="http://schemas.microsoft.com/office/drawing/2014/main" id="{FE77C8DF-521C-40F8-9FE2-2EF34AC85D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4" name="TextBox 2">
          <a:extLst>
            <a:ext uri="{FF2B5EF4-FFF2-40B4-BE49-F238E27FC236}">
              <a16:creationId xmlns:a16="http://schemas.microsoft.com/office/drawing/2014/main" id="{5265C944-C4B5-4F09-9A67-30C44A24CD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5" name="TextBox 4">
          <a:extLst>
            <a:ext uri="{FF2B5EF4-FFF2-40B4-BE49-F238E27FC236}">
              <a16:creationId xmlns:a16="http://schemas.microsoft.com/office/drawing/2014/main" id="{A93287AA-51A9-4295-9A79-2C6E6E798E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6" name="TextBox 5">
          <a:extLst>
            <a:ext uri="{FF2B5EF4-FFF2-40B4-BE49-F238E27FC236}">
              <a16:creationId xmlns:a16="http://schemas.microsoft.com/office/drawing/2014/main" id="{752F5F95-B7D0-40C4-84A1-600FEB8584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7" name="TextBox 6">
          <a:extLst>
            <a:ext uri="{FF2B5EF4-FFF2-40B4-BE49-F238E27FC236}">
              <a16:creationId xmlns:a16="http://schemas.microsoft.com/office/drawing/2014/main" id="{4158CD09-F9BC-4635-AFBA-76DE1E9C35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8" name="TextBox 7">
          <a:extLst>
            <a:ext uri="{FF2B5EF4-FFF2-40B4-BE49-F238E27FC236}">
              <a16:creationId xmlns:a16="http://schemas.microsoft.com/office/drawing/2014/main" id="{A1B566BD-0BD6-41E5-9325-F9CFDB8BC4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89" name="TextBox 8">
          <a:extLst>
            <a:ext uri="{FF2B5EF4-FFF2-40B4-BE49-F238E27FC236}">
              <a16:creationId xmlns:a16="http://schemas.microsoft.com/office/drawing/2014/main" id="{64BA9196-AB77-4E0B-8ED9-1CD44B3D72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0" name="TextBox 2">
          <a:extLst>
            <a:ext uri="{FF2B5EF4-FFF2-40B4-BE49-F238E27FC236}">
              <a16:creationId xmlns:a16="http://schemas.microsoft.com/office/drawing/2014/main" id="{19F975EF-52C0-4DDB-B65A-587C45DBFE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1" name="TextBox 4">
          <a:extLst>
            <a:ext uri="{FF2B5EF4-FFF2-40B4-BE49-F238E27FC236}">
              <a16:creationId xmlns:a16="http://schemas.microsoft.com/office/drawing/2014/main" id="{C2B0FEA5-56B4-4DA8-ADD6-692B5A8982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2" name="TextBox 5">
          <a:extLst>
            <a:ext uri="{FF2B5EF4-FFF2-40B4-BE49-F238E27FC236}">
              <a16:creationId xmlns:a16="http://schemas.microsoft.com/office/drawing/2014/main" id="{2A6BBCE7-9B4C-4C2A-BF3A-7AE214B7DC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3" name="TextBox 6">
          <a:extLst>
            <a:ext uri="{FF2B5EF4-FFF2-40B4-BE49-F238E27FC236}">
              <a16:creationId xmlns:a16="http://schemas.microsoft.com/office/drawing/2014/main" id="{8A05E5B1-8B10-42AA-A2FA-AE840BDAA35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4" name="TextBox 7">
          <a:extLst>
            <a:ext uri="{FF2B5EF4-FFF2-40B4-BE49-F238E27FC236}">
              <a16:creationId xmlns:a16="http://schemas.microsoft.com/office/drawing/2014/main" id="{64045A7E-5DBE-4CFB-AC5C-459EF11C9F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5" name="TextBox 8">
          <a:extLst>
            <a:ext uri="{FF2B5EF4-FFF2-40B4-BE49-F238E27FC236}">
              <a16:creationId xmlns:a16="http://schemas.microsoft.com/office/drawing/2014/main" id="{E8479352-0064-4E85-97B3-3621F3DC31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6" name="TextBox 2">
          <a:extLst>
            <a:ext uri="{FF2B5EF4-FFF2-40B4-BE49-F238E27FC236}">
              <a16:creationId xmlns:a16="http://schemas.microsoft.com/office/drawing/2014/main" id="{2AF885E5-77DC-4F17-8100-E96F8A7173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7" name="TextBox 4">
          <a:extLst>
            <a:ext uri="{FF2B5EF4-FFF2-40B4-BE49-F238E27FC236}">
              <a16:creationId xmlns:a16="http://schemas.microsoft.com/office/drawing/2014/main" id="{1D3D3A14-F579-4A53-9592-5646C871FD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8" name="TextBox 5">
          <a:extLst>
            <a:ext uri="{FF2B5EF4-FFF2-40B4-BE49-F238E27FC236}">
              <a16:creationId xmlns:a16="http://schemas.microsoft.com/office/drawing/2014/main" id="{A87264A2-14DB-421C-93EA-6AB44BA7F57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499" name="TextBox 6">
          <a:extLst>
            <a:ext uri="{FF2B5EF4-FFF2-40B4-BE49-F238E27FC236}">
              <a16:creationId xmlns:a16="http://schemas.microsoft.com/office/drawing/2014/main" id="{BAC1A92E-3364-4269-962C-AFCA1BA5D1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0" name="TextBox 7">
          <a:extLst>
            <a:ext uri="{FF2B5EF4-FFF2-40B4-BE49-F238E27FC236}">
              <a16:creationId xmlns:a16="http://schemas.microsoft.com/office/drawing/2014/main" id="{9E55F97F-BA3B-43B4-84BD-E63E7D52221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1" name="TextBox 8">
          <a:extLst>
            <a:ext uri="{FF2B5EF4-FFF2-40B4-BE49-F238E27FC236}">
              <a16:creationId xmlns:a16="http://schemas.microsoft.com/office/drawing/2014/main" id="{334762CE-96D7-4698-9B8B-A60F9AFFA6B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2" name="TextBox 2">
          <a:extLst>
            <a:ext uri="{FF2B5EF4-FFF2-40B4-BE49-F238E27FC236}">
              <a16:creationId xmlns:a16="http://schemas.microsoft.com/office/drawing/2014/main" id="{59795EBC-A5DC-477E-AE37-109138C353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3" name="TextBox 4">
          <a:extLst>
            <a:ext uri="{FF2B5EF4-FFF2-40B4-BE49-F238E27FC236}">
              <a16:creationId xmlns:a16="http://schemas.microsoft.com/office/drawing/2014/main" id="{9B974178-671B-4115-96F0-DE43FCC143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4" name="TextBox 5">
          <a:extLst>
            <a:ext uri="{FF2B5EF4-FFF2-40B4-BE49-F238E27FC236}">
              <a16:creationId xmlns:a16="http://schemas.microsoft.com/office/drawing/2014/main" id="{34DFF18A-F4C5-4686-9A0E-B9C03AEACC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5" name="TextBox 6">
          <a:extLst>
            <a:ext uri="{FF2B5EF4-FFF2-40B4-BE49-F238E27FC236}">
              <a16:creationId xmlns:a16="http://schemas.microsoft.com/office/drawing/2014/main" id="{C5B94427-0A48-4BE0-98A6-B47DD2F82E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6" name="TextBox 7">
          <a:extLst>
            <a:ext uri="{FF2B5EF4-FFF2-40B4-BE49-F238E27FC236}">
              <a16:creationId xmlns:a16="http://schemas.microsoft.com/office/drawing/2014/main" id="{D16F40A6-1354-432B-BEF6-17AC4274CE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7" name="TextBox 8">
          <a:extLst>
            <a:ext uri="{FF2B5EF4-FFF2-40B4-BE49-F238E27FC236}">
              <a16:creationId xmlns:a16="http://schemas.microsoft.com/office/drawing/2014/main" id="{34B98E39-B192-4D3C-B37C-64D2A750F5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8" name="TextBox 2">
          <a:extLst>
            <a:ext uri="{FF2B5EF4-FFF2-40B4-BE49-F238E27FC236}">
              <a16:creationId xmlns:a16="http://schemas.microsoft.com/office/drawing/2014/main" id="{65428C7A-98D2-4E25-8CCF-AD7D680121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09" name="TextBox 4">
          <a:extLst>
            <a:ext uri="{FF2B5EF4-FFF2-40B4-BE49-F238E27FC236}">
              <a16:creationId xmlns:a16="http://schemas.microsoft.com/office/drawing/2014/main" id="{51EBBBB7-BB64-4093-A03F-D56085EBE2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0" name="TextBox 5">
          <a:extLst>
            <a:ext uri="{FF2B5EF4-FFF2-40B4-BE49-F238E27FC236}">
              <a16:creationId xmlns:a16="http://schemas.microsoft.com/office/drawing/2014/main" id="{26B96CEC-E5D8-4759-9349-E5148ADB1A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1" name="TextBox 6">
          <a:extLst>
            <a:ext uri="{FF2B5EF4-FFF2-40B4-BE49-F238E27FC236}">
              <a16:creationId xmlns:a16="http://schemas.microsoft.com/office/drawing/2014/main" id="{F9B07971-FD10-45A7-996F-D72B53AE8B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2" name="TextBox 7">
          <a:extLst>
            <a:ext uri="{FF2B5EF4-FFF2-40B4-BE49-F238E27FC236}">
              <a16:creationId xmlns:a16="http://schemas.microsoft.com/office/drawing/2014/main" id="{724ABE9F-8072-40B6-9021-447056DE47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3" name="TextBox 8">
          <a:extLst>
            <a:ext uri="{FF2B5EF4-FFF2-40B4-BE49-F238E27FC236}">
              <a16:creationId xmlns:a16="http://schemas.microsoft.com/office/drawing/2014/main" id="{251039BD-FFAB-4612-8D21-B53D6BBE64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4" name="TextBox 2">
          <a:extLst>
            <a:ext uri="{FF2B5EF4-FFF2-40B4-BE49-F238E27FC236}">
              <a16:creationId xmlns:a16="http://schemas.microsoft.com/office/drawing/2014/main" id="{D356DFA8-7753-4AA5-8CB4-CE7965B245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5" name="TextBox 4">
          <a:extLst>
            <a:ext uri="{FF2B5EF4-FFF2-40B4-BE49-F238E27FC236}">
              <a16:creationId xmlns:a16="http://schemas.microsoft.com/office/drawing/2014/main" id="{36B576EB-20A0-42C5-8BE7-3EEAD38A3BC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6" name="TextBox 5">
          <a:extLst>
            <a:ext uri="{FF2B5EF4-FFF2-40B4-BE49-F238E27FC236}">
              <a16:creationId xmlns:a16="http://schemas.microsoft.com/office/drawing/2014/main" id="{820FBFA6-4DB9-43E0-B2BA-4C9DE268F47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7" name="TextBox 6">
          <a:extLst>
            <a:ext uri="{FF2B5EF4-FFF2-40B4-BE49-F238E27FC236}">
              <a16:creationId xmlns:a16="http://schemas.microsoft.com/office/drawing/2014/main" id="{B145D013-9940-46F1-830A-36437F30E3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8" name="TextBox 7">
          <a:extLst>
            <a:ext uri="{FF2B5EF4-FFF2-40B4-BE49-F238E27FC236}">
              <a16:creationId xmlns:a16="http://schemas.microsoft.com/office/drawing/2014/main" id="{5D2F84BB-BA02-4B89-84C8-ADD85D21A4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19" name="TextBox 8">
          <a:extLst>
            <a:ext uri="{FF2B5EF4-FFF2-40B4-BE49-F238E27FC236}">
              <a16:creationId xmlns:a16="http://schemas.microsoft.com/office/drawing/2014/main" id="{B1E4CE75-6FFB-4DF8-A75D-8CBAA42F9E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0" name="TextBox 2">
          <a:extLst>
            <a:ext uri="{FF2B5EF4-FFF2-40B4-BE49-F238E27FC236}">
              <a16:creationId xmlns:a16="http://schemas.microsoft.com/office/drawing/2014/main" id="{C236410D-2350-49D1-BD2C-7A1366B015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1" name="TextBox 4">
          <a:extLst>
            <a:ext uri="{FF2B5EF4-FFF2-40B4-BE49-F238E27FC236}">
              <a16:creationId xmlns:a16="http://schemas.microsoft.com/office/drawing/2014/main" id="{9C044B63-FAAD-4D3D-8FF8-8AF50A50B1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2" name="TextBox 5">
          <a:extLst>
            <a:ext uri="{FF2B5EF4-FFF2-40B4-BE49-F238E27FC236}">
              <a16:creationId xmlns:a16="http://schemas.microsoft.com/office/drawing/2014/main" id="{E6808DE6-35AB-4581-9EF1-AB0B795F3F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3" name="TextBox 6">
          <a:extLst>
            <a:ext uri="{FF2B5EF4-FFF2-40B4-BE49-F238E27FC236}">
              <a16:creationId xmlns:a16="http://schemas.microsoft.com/office/drawing/2014/main" id="{0FC7F330-5C7F-46DF-897F-DD9CF07762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4" name="TextBox 7">
          <a:extLst>
            <a:ext uri="{FF2B5EF4-FFF2-40B4-BE49-F238E27FC236}">
              <a16:creationId xmlns:a16="http://schemas.microsoft.com/office/drawing/2014/main" id="{B9F78A66-CCFD-4611-81DA-21AF686FCA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5" name="TextBox 8">
          <a:extLst>
            <a:ext uri="{FF2B5EF4-FFF2-40B4-BE49-F238E27FC236}">
              <a16:creationId xmlns:a16="http://schemas.microsoft.com/office/drawing/2014/main" id="{A524A915-8FA0-404B-9A59-F4E522E643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6" name="TextBox 2">
          <a:extLst>
            <a:ext uri="{FF2B5EF4-FFF2-40B4-BE49-F238E27FC236}">
              <a16:creationId xmlns:a16="http://schemas.microsoft.com/office/drawing/2014/main" id="{0A83543E-9CE5-413D-BC2B-A4DB6BCEDB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7" name="TextBox 4">
          <a:extLst>
            <a:ext uri="{FF2B5EF4-FFF2-40B4-BE49-F238E27FC236}">
              <a16:creationId xmlns:a16="http://schemas.microsoft.com/office/drawing/2014/main" id="{2D513194-9B23-44CE-AA13-9DE0D8D181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8" name="TextBox 5">
          <a:extLst>
            <a:ext uri="{FF2B5EF4-FFF2-40B4-BE49-F238E27FC236}">
              <a16:creationId xmlns:a16="http://schemas.microsoft.com/office/drawing/2014/main" id="{E837E419-8FF6-4FBE-98F6-3C2F72CBB0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29" name="TextBox 6">
          <a:extLst>
            <a:ext uri="{FF2B5EF4-FFF2-40B4-BE49-F238E27FC236}">
              <a16:creationId xmlns:a16="http://schemas.microsoft.com/office/drawing/2014/main" id="{F919EC9C-D8F9-44E7-B3EF-CA5FD72784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0" name="TextBox 7">
          <a:extLst>
            <a:ext uri="{FF2B5EF4-FFF2-40B4-BE49-F238E27FC236}">
              <a16:creationId xmlns:a16="http://schemas.microsoft.com/office/drawing/2014/main" id="{0814B045-2F3A-4C7D-8173-3550803CF1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1" name="TextBox 8">
          <a:extLst>
            <a:ext uri="{FF2B5EF4-FFF2-40B4-BE49-F238E27FC236}">
              <a16:creationId xmlns:a16="http://schemas.microsoft.com/office/drawing/2014/main" id="{85F14FB6-C795-4157-8226-4C3665802F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2" name="TextBox 2">
          <a:extLst>
            <a:ext uri="{FF2B5EF4-FFF2-40B4-BE49-F238E27FC236}">
              <a16:creationId xmlns:a16="http://schemas.microsoft.com/office/drawing/2014/main" id="{46A0FD8B-D37F-4F94-8F72-C0C97C5311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3" name="TextBox 4">
          <a:extLst>
            <a:ext uri="{FF2B5EF4-FFF2-40B4-BE49-F238E27FC236}">
              <a16:creationId xmlns:a16="http://schemas.microsoft.com/office/drawing/2014/main" id="{1970CD42-D7DD-4624-B465-9E6858C825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4" name="TextBox 5">
          <a:extLst>
            <a:ext uri="{FF2B5EF4-FFF2-40B4-BE49-F238E27FC236}">
              <a16:creationId xmlns:a16="http://schemas.microsoft.com/office/drawing/2014/main" id="{E278AD82-2E58-4BE4-8353-1B3B1F1166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5" name="TextBox 6">
          <a:extLst>
            <a:ext uri="{FF2B5EF4-FFF2-40B4-BE49-F238E27FC236}">
              <a16:creationId xmlns:a16="http://schemas.microsoft.com/office/drawing/2014/main" id="{28475815-6227-41C7-AEE7-0DBDC7B783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6" name="TextBox 7">
          <a:extLst>
            <a:ext uri="{FF2B5EF4-FFF2-40B4-BE49-F238E27FC236}">
              <a16:creationId xmlns:a16="http://schemas.microsoft.com/office/drawing/2014/main" id="{D8BEC796-A9D8-4A9F-B150-9216C0C500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7" name="TextBox 8">
          <a:extLst>
            <a:ext uri="{FF2B5EF4-FFF2-40B4-BE49-F238E27FC236}">
              <a16:creationId xmlns:a16="http://schemas.microsoft.com/office/drawing/2014/main" id="{7DD5F9DA-DE35-447F-A93B-DB5863E9AB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8" name="TextBox 2">
          <a:extLst>
            <a:ext uri="{FF2B5EF4-FFF2-40B4-BE49-F238E27FC236}">
              <a16:creationId xmlns:a16="http://schemas.microsoft.com/office/drawing/2014/main" id="{5BBFB8CD-E6CC-4DD1-A6A0-E35C00154B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39" name="TextBox 4">
          <a:extLst>
            <a:ext uri="{FF2B5EF4-FFF2-40B4-BE49-F238E27FC236}">
              <a16:creationId xmlns:a16="http://schemas.microsoft.com/office/drawing/2014/main" id="{94D4D9D8-7688-4633-8742-09E65E86CF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0" name="TextBox 5">
          <a:extLst>
            <a:ext uri="{FF2B5EF4-FFF2-40B4-BE49-F238E27FC236}">
              <a16:creationId xmlns:a16="http://schemas.microsoft.com/office/drawing/2014/main" id="{C89E4347-70DF-4FE5-B4A8-801D470416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1" name="TextBox 6">
          <a:extLst>
            <a:ext uri="{FF2B5EF4-FFF2-40B4-BE49-F238E27FC236}">
              <a16:creationId xmlns:a16="http://schemas.microsoft.com/office/drawing/2014/main" id="{8C90962A-1E69-422D-903B-30BAD1420B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2" name="TextBox 7">
          <a:extLst>
            <a:ext uri="{FF2B5EF4-FFF2-40B4-BE49-F238E27FC236}">
              <a16:creationId xmlns:a16="http://schemas.microsoft.com/office/drawing/2014/main" id="{8A6F7EC7-96D0-48F7-A3C4-367971F6AD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3" name="TextBox 8">
          <a:extLst>
            <a:ext uri="{FF2B5EF4-FFF2-40B4-BE49-F238E27FC236}">
              <a16:creationId xmlns:a16="http://schemas.microsoft.com/office/drawing/2014/main" id="{A51F471F-959A-44B3-B73E-7FB09BE0E1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4" name="TextBox 2">
          <a:extLst>
            <a:ext uri="{FF2B5EF4-FFF2-40B4-BE49-F238E27FC236}">
              <a16:creationId xmlns:a16="http://schemas.microsoft.com/office/drawing/2014/main" id="{BF3C9C29-724B-4C8B-98C8-C6E64F1037B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5" name="TextBox 4">
          <a:extLst>
            <a:ext uri="{FF2B5EF4-FFF2-40B4-BE49-F238E27FC236}">
              <a16:creationId xmlns:a16="http://schemas.microsoft.com/office/drawing/2014/main" id="{65883662-318F-4D3D-A61D-981F9FB3B8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6" name="TextBox 5">
          <a:extLst>
            <a:ext uri="{FF2B5EF4-FFF2-40B4-BE49-F238E27FC236}">
              <a16:creationId xmlns:a16="http://schemas.microsoft.com/office/drawing/2014/main" id="{8EC9A895-CBA4-4187-8E45-D08505FAC68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7" name="TextBox 6">
          <a:extLst>
            <a:ext uri="{FF2B5EF4-FFF2-40B4-BE49-F238E27FC236}">
              <a16:creationId xmlns:a16="http://schemas.microsoft.com/office/drawing/2014/main" id="{EE83F1B1-B053-4188-85F6-A479C56E8F0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8" name="TextBox 7">
          <a:extLst>
            <a:ext uri="{FF2B5EF4-FFF2-40B4-BE49-F238E27FC236}">
              <a16:creationId xmlns:a16="http://schemas.microsoft.com/office/drawing/2014/main" id="{2EBB4A13-8F9D-4998-A5F7-60729E8BA0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49" name="TextBox 8">
          <a:extLst>
            <a:ext uri="{FF2B5EF4-FFF2-40B4-BE49-F238E27FC236}">
              <a16:creationId xmlns:a16="http://schemas.microsoft.com/office/drawing/2014/main" id="{F10805F0-01D3-4F61-B404-8D1E28EDEB5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0" name="TextBox 2">
          <a:extLst>
            <a:ext uri="{FF2B5EF4-FFF2-40B4-BE49-F238E27FC236}">
              <a16:creationId xmlns:a16="http://schemas.microsoft.com/office/drawing/2014/main" id="{3377042A-825C-40B2-875E-DC2AFC0FFB1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1" name="TextBox 4">
          <a:extLst>
            <a:ext uri="{FF2B5EF4-FFF2-40B4-BE49-F238E27FC236}">
              <a16:creationId xmlns:a16="http://schemas.microsoft.com/office/drawing/2014/main" id="{4CD76563-8044-47C2-AF4D-2FFFDD7B59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2" name="TextBox 5">
          <a:extLst>
            <a:ext uri="{FF2B5EF4-FFF2-40B4-BE49-F238E27FC236}">
              <a16:creationId xmlns:a16="http://schemas.microsoft.com/office/drawing/2014/main" id="{33D13ABB-AAF5-4D8E-82C3-EC3C93AFDD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3" name="TextBox 6">
          <a:extLst>
            <a:ext uri="{FF2B5EF4-FFF2-40B4-BE49-F238E27FC236}">
              <a16:creationId xmlns:a16="http://schemas.microsoft.com/office/drawing/2014/main" id="{DA49BDFF-F819-431A-B87A-AF8D8A23FB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4" name="TextBox 7">
          <a:extLst>
            <a:ext uri="{FF2B5EF4-FFF2-40B4-BE49-F238E27FC236}">
              <a16:creationId xmlns:a16="http://schemas.microsoft.com/office/drawing/2014/main" id="{84A2E961-79D1-4565-9266-96579277AF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5" name="TextBox 8">
          <a:extLst>
            <a:ext uri="{FF2B5EF4-FFF2-40B4-BE49-F238E27FC236}">
              <a16:creationId xmlns:a16="http://schemas.microsoft.com/office/drawing/2014/main" id="{813B394F-FB42-4E0E-8444-012E4EFEF1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6" name="TextBox 2">
          <a:extLst>
            <a:ext uri="{FF2B5EF4-FFF2-40B4-BE49-F238E27FC236}">
              <a16:creationId xmlns:a16="http://schemas.microsoft.com/office/drawing/2014/main" id="{50253C75-A071-4D29-85A8-4569A5E816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7" name="TextBox 4">
          <a:extLst>
            <a:ext uri="{FF2B5EF4-FFF2-40B4-BE49-F238E27FC236}">
              <a16:creationId xmlns:a16="http://schemas.microsoft.com/office/drawing/2014/main" id="{D6B67923-71DC-49D6-9BAE-15A531C959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8" name="TextBox 5">
          <a:extLst>
            <a:ext uri="{FF2B5EF4-FFF2-40B4-BE49-F238E27FC236}">
              <a16:creationId xmlns:a16="http://schemas.microsoft.com/office/drawing/2014/main" id="{D9CEADE0-8138-4A21-9E64-0925B18732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59" name="TextBox 6">
          <a:extLst>
            <a:ext uri="{FF2B5EF4-FFF2-40B4-BE49-F238E27FC236}">
              <a16:creationId xmlns:a16="http://schemas.microsoft.com/office/drawing/2014/main" id="{F2A4F7E4-46F4-487C-9B0E-781BA72A2E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0" name="TextBox 7">
          <a:extLst>
            <a:ext uri="{FF2B5EF4-FFF2-40B4-BE49-F238E27FC236}">
              <a16:creationId xmlns:a16="http://schemas.microsoft.com/office/drawing/2014/main" id="{DCFC8457-37FA-465D-923C-8CE64CA3A5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1" name="TextBox 8">
          <a:extLst>
            <a:ext uri="{FF2B5EF4-FFF2-40B4-BE49-F238E27FC236}">
              <a16:creationId xmlns:a16="http://schemas.microsoft.com/office/drawing/2014/main" id="{F677DC95-FFCC-4B30-AD20-ACA30CADD9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2" name="TextBox 2">
          <a:extLst>
            <a:ext uri="{FF2B5EF4-FFF2-40B4-BE49-F238E27FC236}">
              <a16:creationId xmlns:a16="http://schemas.microsoft.com/office/drawing/2014/main" id="{F6CC5EFA-6A83-410D-A5D6-1D93FEBBC5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3" name="TextBox 4">
          <a:extLst>
            <a:ext uri="{FF2B5EF4-FFF2-40B4-BE49-F238E27FC236}">
              <a16:creationId xmlns:a16="http://schemas.microsoft.com/office/drawing/2014/main" id="{1B9EF7E6-D085-4632-B6D1-E31FDFAD0B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4" name="TextBox 5">
          <a:extLst>
            <a:ext uri="{FF2B5EF4-FFF2-40B4-BE49-F238E27FC236}">
              <a16:creationId xmlns:a16="http://schemas.microsoft.com/office/drawing/2014/main" id="{6D09DBC9-C7CE-4B08-88D3-016060B8B3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5" name="TextBox 6">
          <a:extLst>
            <a:ext uri="{FF2B5EF4-FFF2-40B4-BE49-F238E27FC236}">
              <a16:creationId xmlns:a16="http://schemas.microsoft.com/office/drawing/2014/main" id="{AC652C70-9902-4406-AA5A-4BC879AEF1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6" name="TextBox 7">
          <a:extLst>
            <a:ext uri="{FF2B5EF4-FFF2-40B4-BE49-F238E27FC236}">
              <a16:creationId xmlns:a16="http://schemas.microsoft.com/office/drawing/2014/main" id="{72983FB9-B5D9-4C95-98B4-756DBC83CE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7" name="TextBox 8">
          <a:extLst>
            <a:ext uri="{FF2B5EF4-FFF2-40B4-BE49-F238E27FC236}">
              <a16:creationId xmlns:a16="http://schemas.microsoft.com/office/drawing/2014/main" id="{5E54EB37-CFD4-417D-B83E-0A0E5AB1D0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8" name="TextBox 2">
          <a:extLst>
            <a:ext uri="{FF2B5EF4-FFF2-40B4-BE49-F238E27FC236}">
              <a16:creationId xmlns:a16="http://schemas.microsoft.com/office/drawing/2014/main" id="{5F64D2CC-EE75-441D-B4E7-045781B23A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69" name="TextBox 4">
          <a:extLst>
            <a:ext uri="{FF2B5EF4-FFF2-40B4-BE49-F238E27FC236}">
              <a16:creationId xmlns:a16="http://schemas.microsoft.com/office/drawing/2014/main" id="{D8669DA3-8D66-4FD3-B802-B05A5FC3E1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0" name="TextBox 5">
          <a:extLst>
            <a:ext uri="{FF2B5EF4-FFF2-40B4-BE49-F238E27FC236}">
              <a16:creationId xmlns:a16="http://schemas.microsoft.com/office/drawing/2014/main" id="{1BCDBE0D-514C-4BBD-B06A-F5F2A8AA2A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1" name="TextBox 6">
          <a:extLst>
            <a:ext uri="{FF2B5EF4-FFF2-40B4-BE49-F238E27FC236}">
              <a16:creationId xmlns:a16="http://schemas.microsoft.com/office/drawing/2014/main" id="{0CC184D0-DBA4-4738-A13F-5A40001D62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2" name="TextBox 7">
          <a:extLst>
            <a:ext uri="{FF2B5EF4-FFF2-40B4-BE49-F238E27FC236}">
              <a16:creationId xmlns:a16="http://schemas.microsoft.com/office/drawing/2014/main" id="{4D5D28DB-6FE4-4F43-AA2E-19E38A5EC8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3" name="TextBox 8">
          <a:extLst>
            <a:ext uri="{FF2B5EF4-FFF2-40B4-BE49-F238E27FC236}">
              <a16:creationId xmlns:a16="http://schemas.microsoft.com/office/drawing/2014/main" id="{E7E76BCC-3541-4B98-B474-A80911468D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4" name="TextBox 2">
          <a:extLst>
            <a:ext uri="{FF2B5EF4-FFF2-40B4-BE49-F238E27FC236}">
              <a16:creationId xmlns:a16="http://schemas.microsoft.com/office/drawing/2014/main" id="{47C22174-EBB3-4BBE-896F-9C2DA170AE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5" name="TextBox 4">
          <a:extLst>
            <a:ext uri="{FF2B5EF4-FFF2-40B4-BE49-F238E27FC236}">
              <a16:creationId xmlns:a16="http://schemas.microsoft.com/office/drawing/2014/main" id="{5BF20624-9041-41C1-A98E-FB07E99715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6" name="TextBox 5">
          <a:extLst>
            <a:ext uri="{FF2B5EF4-FFF2-40B4-BE49-F238E27FC236}">
              <a16:creationId xmlns:a16="http://schemas.microsoft.com/office/drawing/2014/main" id="{7F22D029-887A-4FD9-909F-9DBBD9628F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7" name="TextBox 6">
          <a:extLst>
            <a:ext uri="{FF2B5EF4-FFF2-40B4-BE49-F238E27FC236}">
              <a16:creationId xmlns:a16="http://schemas.microsoft.com/office/drawing/2014/main" id="{593829A8-B8C3-4A70-A9FC-42388CCE5F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8" name="TextBox 7">
          <a:extLst>
            <a:ext uri="{FF2B5EF4-FFF2-40B4-BE49-F238E27FC236}">
              <a16:creationId xmlns:a16="http://schemas.microsoft.com/office/drawing/2014/main" id="{8D6302AD-4073-4FC7-BFEC-41B8126008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79" name="TextBox 8">
          <a:extLst>
            <a:ext uri="{FF2B5EF4-FFF2-40B4-BE49-F238E27FC236}">
              <a16:creationId xmlns:a16="http://schemas.microsoft.com/office/drawing/2014/main" id="{F2749BC9-7273-4CB6-BFD6-4B12AC8494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0" name="TextBox 2">
          <a:extLst>
            <a:ext uri="{FF2B5EF4-FFF2-40B4-BE49-F238E27FC236}">
              <a16:creationId xmlns:a16="http://schemas.microsoft.com/office/drawing/2014/main" id="{F5884726-38DB-4891-8387-322508D688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1" name="TextBox 4">
          <a:extLst>
            <a:ext uri="{FF2B5EF4-FFF2-40B4-BE49-F238E27FC236}">
              <a16:creationId xmlns:a16="http://schemas.microsoft.com/office/drawing/2014/main" id="{D90D81FE-2E80-42F0-AFD2-ECDA4EA924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2" name="TextBox 5">
          <a:extLst>
            <a:ext uri="{FF2B5EF4-FFF2-40B4-BE49-F238E27FC236}">
              <a16:creationId xmlns:a16="http://schemas.microsoft.com/office/drawing/2014/main" id="{DAFEE45B-7D25-4A7D-B1CE-3926090E0D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3" name="TextBox 6">
          <a:extLst>
            <a:ext uri="{FF2B5EF4-FFF2-40B4-BE49-F238E27FC236}">
              <a16:creationId xmlns:a16="http://schemas.microsoft.com/office/drawing/2014/main" id="{0F2D04C6-70F8-4B95-9915-CA85303F7C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4" name="TextBox 7">
          <a:extLst>
            <a:ext uri="{FF2B5EF4-FFF2-40B4-BE49-F238E27FC236}">
              <a16:creationId xmlns:a16="http://schemas.microsoft.com/office/drawing/2014/main" id="{F521FFE7-35A7-469D-88CF-DA07F5FA23B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5" name="TextBox 8">
          <a:extLst>
            <a:ext uri="{FF2B5EF4-FFF2-40B4-BE49-F238E27FC236}">
              <a16:creationId xmlns:a16="http://schemas.microsoft.com/office/drawing/2014/main" id="{4AF2C01E-D50E-4957-AB0D-2CE4757033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6" name="TextBox 2">
          <a:extLst>
            <a:ext uri="{FF2B5EF4-FFF2-40B4-BE49-F238E27FC236}">
              <a16:creationId xmlns:a16="http://schemas.microsoft.com/office/drawing/2014/main" id="{1B38F4A0-5A3C-4633-9FF0-6057EFEBF2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7" name="TextBox 4">
          <a:extLst>
            <a:ext uri="{FF2B5EF4-FFF2-40B4-BE49-F238E27FC236}">
              <a16:creationId xmlns:a16="http://schemas.microsoft.com/office/drawing/2014/main" id="{FFB66C50-6919-4EA5-BAF7-F2BDB29ABE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8" name="TextBox 5">
          <a:extLst>
            <a:ext uri="{FF2B5EF4-FFF2-40B4-BE49-F238E27FC236}">
              <a16:creationId xmlns:a16="http://schemas.microsoft.com/office/drawing/2014/main" id="{90E77ADA-75E7-4D7A-A1CD-E600FAA59F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89" name="TextBox 6">
          <a:extLst>
            <a:ext uri="{FF2B5EF4-FFF2-40B4-BE49-F238E27FC236}">
              <a16:creationId xmlns:a16="http://schemas.microsoft.com/office/drawing/2014/main" id="{69B22C01-8432-4A02-8576-A86D88DE03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0" name="TextBox 7">
          <a:extLst>
            <a:ext uri="{FF2B5EF4-FFF2-40B4-BE49-F238E27FC236}">
              <a16:creationId xmlns:a16="http://schemas.microsoft.com/office/drawing/2014/main" id="{51589FD9-3BBF-4986-B907-63F243040B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1" name="TextBox 8">
          <a:extLst>
            <a:ext uri="{FF2B5EF4-FFF2-40B4-BE49-F238E27FC236}">
              <a16:creationId xmlns:a16="http://schemas.microsoft.com/office/drawing/2014/main" id="{A60B26EF-E97F-4AE1-A218-34A4DAB3E8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2" name="TextBox 2">
          <a:extLst>
            <a:ext uri="{FF2B5EF4-FFF2-40B4-BE49-F238E27FC236}">
              <a16:creationId xmlns:a16="http://schemas.microsoft.com/office/drawing/2014/main" id="{98623940-51BE-4A47-99CC-9342D0673A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3" name="TextBox 4">
          <a:extLst>
            <a:ext uri="{FF2B5EF4-FFF2-40B4-BE49-F238E27FC236}">
              <a16:creationId xmlns:a16="http://schemas.microsoft.com/office/drawing/2014/main" id="{3F8C3AA0-B7AF-44AD-8FA3-5CBC2641409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4" name="TextBox 5">
          <a:extLst>
            <a:ext uri="{FF2B5EF4-FFF2-40B4-BE49-F238E27FC236}">
              <a16:creationId xmlns:a16="http://schemas.microsoft.com/office/drawing/2014/main" id="{635DE409-7E3E-4603-97F5-1A5531471F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5" name="TextBox 6">
          <a:extLst>
            <a:ext uri="{FF2B5EF4-FFF2-40B4-BE49-F238E27FC236}">
              <a16:creationId xmlns:a16="http://schemas.microsoft.com/office/drawing/2014/main" id="{F11D5CC5-193B-4BF0-BE04-0A4F56E091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6" name="TextBox 7">
          <a:extLst>
            <a:ext uri="{FF2B5EF4-FFF2-40B4-BE49-F238E27FC236}">
              <a16:creationId xmlns:a16="http://schemas.microsoft.com/office/drawing/2014/main" id="{BAED9E59-6F0F-4301-9751-D79F347BC2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7" name="TextBox 8">
          <a:extLst>
            <a:ext uri="{FF2B5EF4-FFF2-40B4-BE49-F238E27FC236}">
              <a16:creationId xmlns:a16="http://schemas.microsoft.com/office/drawing/2014/main" id="{81F1C392-0979-476C-BABB-D000BF3BD4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8" name="TextBox 2">
          <a:extLst>
            <a:ext uri="{FF2B5EF4-FFF2-40B4-BE49-F238E27FC236}">
              <a16:creationId xmlns:a16="http://schemas.microsoft.com/office/drawing/2014/main" id="{7CA82024-3087-4D5F-BDD3-05F35CBA2C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599" name="TextBox 4">
          <a:extLst>
            <a:ext uri="{FF2B5EF4-FFF2-40B4-BE49-F238E27FC236}">
              <a16:creationId xmlns:a16="http://schemas.microsoft.com/office/drawing/2014/main" id="{CDE33E49-5EB3-4CC8-A542-5441C666AE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0" name="TextBox 5">
          <a:extLst>
            <a:ext uri="{FF2B5EF4-FFF2-40B4-BE49-F238E27FC236}">
              <a16:creationId xmlns:a16="http://schemas.microsoft.com/office/drawing/2014/main" id="{1C379BAA-C726-44BB-9799-13D85D9A80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1" name="TextBox 6">
          <a:extLst>
            <a:ext uri="{FF2B5EF4-FFF2-40B4-BE49-F238E27FC236}">
              <a16:creationId xmlns:a16="http://schemas.microsoft.com/office/drawing/2014/main" id="{8649FA4F-8BFE-46D3-BA7B-4B186B3B1F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2" name="TextBox 7">
          <a:extLst>
            <a:ext uri="{FF2B5EF4-FFF2-40B4-BE49-F238E27FC236}">
              <a16:creationId xmlns:a16="http://schemas.microsoft.com/office/drawing/2014/main" id="{B663EB74-D2D5-4D7E-9CE7-A1558B76BC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3" name="TextBox 8">
          <a:extLst>
            <a:ext uri="{FF2B5EF4-FFF2-40B4-BE49-F238E27FC236}">
              <a16:creationId xmlns:a16="http://schemas.microsoft.com/office/drawing/2014/main" id="{FFE5B239-096A-4B35-A505-C1D4DE9A231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4" name="TextBox 2">
          <a:extLst>
            <a:ext uri="{FF2B5EF4-FFF2-40B4-BE49-F238E27FC236}">
              <a16:creationId xmlns:a16="http://schemas.microsoft.com/office/drawing/2014/main" id="{C31C233C-DE2F-4CE1-8363-9F41C8FB7C7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5" name="TextBox 4">
          <a:extLst>
            <a:ext uri="{FF2B5EF4-FFF2-40B4-BE49-F238E27FC236}">
              <a16:creationId xmlns:a16="http://schemas.microsoft.com/office/drawing/2014/main" id="{5BF2B844-DD06-4030-B632-09477F282D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6" name="TextBox 5">
          <a:extLst>
            <a:ext uri="{FF2B5EF4-FFF2-40B4-BE49-F238E27FC236}">
              <a16:creationId xmlns:a16="http://schemas.microsoft.com/office/drawing/2014/main" id="{9B1BD935-A6AB-4590-9FE7-6E3DBC9C8B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7" name="TextBox 6">
          <a:extLst>
            <a:ext uri="{FF2B5EF4-FFF2-40B4-BE49-F238E27FC236}">
              <a16:creationId xmlns:a16="http://schemas.microsoft.com/office/drawing/2014/main" id="{3E03F3F6-E8D0-43C8-A5E5-1910A33B35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8" name="TextBox 7">
          <a:extLst>
            <a:ext uri="{FF2B5EF4-FFF2-40B4-BE49-F238E27FC236}">
              <a16:creationId xmlns:a16="http://schemas.microsoft.com/office/drawing/2014/main" id="{94CBB091-6362-4AD5-882C-9F8EDA58DC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09" name="TextBox 8">
          <a:extLst>
            <a:ext uri="{FF2B5EF4-FFF2-40B4-BE49-F238E27FC236}">
              <a16:creationId xmlns:a16="http://schemas.microsoft.com/office/drawing/2014/main" id="{F449E0C0-6905-45CF-9C2C-26FCB36A7F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0" name="TextBox 2">
          <a:extLst>
            <a:ext uri="{FF2B5EF4-FFF2-40B4-BE49-F238E27FC236}">
              <a16:creationId xmlns:a16="http://schemas.microsoft.com/office/drawing/2014/main" id="{292317B6-B3F5-4DD6-940C-D33934DDB0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1" name="TextBox 4">
          <a:extLst>
            <a:ext uri="{FF2B5EF4-FFF2-40B4-BE49-F238E27FC236}">
              <a16:creationId xmlns:a16="http://schemas.microsoft.com/office/drawing/2014/main" id="{3F8DEDCF-DB37-4EA7-A724-2FB7F44853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2" name="TextBox 5">
          <a:extLst>
            <a:ext uri="{FF2B5EF4-FFF2-40B4-BE49-F238E27FC236}">
              <a16:creationId xmlns:a16="http://schemas.microsoft.com/office/drawing/2014/main" id="{C256BD50-5EFF-42AB-AD2F-6007796F7A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3" name="TextBox 6">
          <a:extLst>
            <a:ext uri="{FF2B5EF4-FFF2-40B4-BE49-F238E27FC236}">
              <a16:creationId xmlns:a16="http://schemas.microsoft.com/office/drawing/2014/main" id="{7BB36B2D-A6E7-4300-AFBB-EEDA9D8499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4" name="TextBox 7">
          <a:extLst>
            <a:ext uri="{FF2B5EF4-FFF2-40B4-BE49-F238E27FC236}">
              <a16:creationId xmlns:a16="http://schemas.microsoft.com/office/drawing/2014/main" id="{0E6616F0-135A-4C8E-95FB-0DC9D395CA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5" name="TextBox 8">
          <a:extLst>
            <a:ext uri="{FF2B5EF4-FFF2-40B4-BE49-F238E27FC236}">
              <a16:creationId xmlns:a16="http://schemas.microsoft.com/office/drawing/2014/main" id="{B0D29F64-748C-48B2-9858-0B6F831941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6" name="TextBox 2">
          <a:extLst>
            <a:ext uri="{FF2B5EF4-FFF2-40B4-BE49-F238E27FC236}">
              <a16:creationId xmlns:a16="http://schemas.microsoft.com/office/drawing/2014/main" id="{B594AA7E-73D4-4217-95A8-BF9C8D4A03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7" name="TextBox 4">
          <a:extLst>
            <a:ext uri="{FF2B5EF4-FFF2-40B4-BE49-F238E27FC236}">
              <a16:creationId xmlns:a16="http://schemas.microsoft.com/office/drawing/2014/main" id="{DB69CD09-DF7C-411B-B329-5578DAF712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8" name="TextBox 5">
          <a:extLst>
            <a:ext uri="{FF2B5EF4-FFF2-40B4-BE49-F238E27FC236}">
              <a16:creationId xmlns:a16="http://schemas.microsoft.com/office/drawing/2014/main" id="{76EB4B60-525B-4610-83A8-F8CCE885E6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19" name="TextBox 6">
          <a:extLst>
            <a:ext uri="{FF2B5EF4-FFF2-40B4-BE49-F238E27FC236}">
              <a16:creationId xmlns:a16="http://schemas.microsoft.com/office/drawing/2014/main" id="{FF3D139A-8CF8-49F1-B0E0-71D1086C8A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0" name="TextBox 7">
          <a:extLst>
            <a:ext uri="{FF2B5EF4-FFF2-40B4-BE49-F238E27FC236}">
              <a16:creationId xmlns:a16="http://schemas.microsoft.com/office/drawing/2014/main" id="{F5348E89-EEFD-4B07-871F-81367FAF12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1" name="TextBox 8">
          <a:extLst>
            <a:ext uri="{FF2B5EF4-FFF2-40B4-BE49-F238E27FC236}">
              <a16:creationId xmlns:a16="http://schemas.microsoft.com/office/drawing/2014/main" id="{530F737E-6F3B-4452-953F-CBF3C9B80A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2" name="TextBox 2">
          <a:extLst>
            <a:ext uri="{FF2B5EF4-FFF2-40B4-BE49-F238E27FC236}">
              <a16:creationId xmlns:a16="http://schemas.microsoft.com/office/drawing/2014/main" id="{46C6701F-C008-4BF3-A838-8BC9D9D668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3" name="TextBox 4">
          <a:extLst>
            <a:ext uri="{FF2B5EF4-FFF2-40B4-BE49-F238E27FC236}">
              <a16:creationId xmlns:a16="http://schemas.microsoft.com/office/drawing/2014/main" id="{2E424346-EBDC-4983-803C-AF57BF0731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4" name="TextBox 5">
          <a:extLst>
            <a:ext uri="{FF2B5EF4-FFF2-40B4-BE49-F238E27FC236}">
              <a16:creationId xmlns:a16="http://schemas.microsoft.com/office/drawing/2014/main" id="{582F7998-F087-4609-9FC2-24F7E3A54B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5" name="TextBox 6">
          <a:extLst>
            <a:ext uri="{FF2B5EF4-FFF2-40B4-BE49-F238E27FC236}">
              <a16:creationId xmlns:a16="http://schemas.microsoft.com/office/drawing/2014/main" id="{0B7FC0D4-B1CC-4D80-A24C-E7009AA96C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6" name="TextBox 7">
          <a:extLst>
            <a:ext uri="{FF2B5EF4-FFF2-40B4-BE49-F238E27FC236}">
              <a16:creationId xmlns:a16="http://schemas.microsoft.com/office/drawing/2014/main" id="{BEED3D8E-EA59-42C6-B587-03ACB9F298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7" name="TextBox 8">
          <a:extLst>
            <a:ext uri="{FF2B5EF4-FFF2-40B4-BE49-F238E27FC236}">
              <a16:creationId xmlns:a16="http://schemas.microsoft.com/office/drawing/2014/main" id="{47C4B11A-2E48-49B6-94B8-F338C3E3DA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8" name="TextBox 2">
          <a:extLst>
            <a:ext uri="{FF2B5EF4-FFF2-40B4-BE49-F238E27FC236}">
              <a16:creationId xmlns:a16="http://schemas.microsoft.com/office/drawing/2014/main" id="{4F7BF1CA-67F7-4369-960E-35D7B55521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29" name="TextBox 4">
          <a:extLst>
            <a:ext uri="{FF2B5EF4-FFF2-40B4-BE49-F238E27FC236}">
              <a16:creationId xmlns:a16="http://schemas.microsoft.com/office/drawing/2014/main" id="{62F7B28F-CC26-4DE6-9BAF-2EAD386F03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0" name="TextBox 5">
          <a:extLst>
            <a:ext uri="{FF2B5EF4-FFF2-40B4-BE49-F238E27FC236}">
              <a16:creationId xmlns:a16="http://schemas.microsoft.com/office/drawing/2014/main" id="{EBD4B6C9-F0B8-44E3-BD08-8255CD96ED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1" name="TextBox 6">
          <a:extLst>
            <a:ext uri="{FF2B5EF4-FFF2-40B4-BE49-F238E27FC236}">
              <a16:creationId xmlns:a16="http://schemas.microsoft.com/office/drawing/2014/main" id="{10BDD321-07B5-4C16-B99C-4469EB4BCC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2" name="TextBox 7">
          <a:extLst>
            <a:ext uri="{FF2B5EF4-FFF2-40B4-BE49-F238E27FC236}">
              <a16:creationId xmlns:a16="http://schemas.microsoft.com/office/drawing/2014/main" id="{25624F56-4B19-4394-8ADF-B7FB7E57FF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3" name="TextBox 8">
          <a:extLst>
            <a:ext uri="{FF2B5EF4-FFF2-40B4-BE49-F238E27FC236}">
              <a16:creationId xmlns:a16="http://schemas.microsoft.com/office/drawing/2014/main" id="{6893EFC5-503E-4F27-AA6E-51A618F022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4" name="TextBox 2">
          <a:extLst>
            <a:ext uri="{FF2B5EF4-FFF2-40B4-BE49-F238E27FC236}">
              <a16:creationId xmlns:a16="http://schemas.microsoft.com/office/drawing/2014/main" id="{2093D049-CA48-45FF-BD1E-4F3FF8053C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5" name="TextBox 4">
          <a:extLst>
            <a:ext uri="{FF2B5EF4-FFF2-40B4-BE49-F238E27FC236}">
              <a16:creationId xmlns:a16="http://schemas.microsoft.com/office/drawing/2014/main" id="{FB1AC2BF-4AA4-4FE2-B117-630C88B2E4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6" name="TextBox 5">
          <a:extLst>
            <a:ext uri="{FF2B5EF4-FFF2-40B4-BE49-F238E27FC236}">
              <a16:creationId xmlns:a16="http://schemas.microsoft.com/office/drawing/2014/main" id="{C119593E-BDAB-4325-869E-3749417AFD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7" name="TextBox 6">
          <a:extLst>
            <a:ext uri="{FF2B5EF4-FFF2-40B4-BE49-F238E27FC236}">
              <a16:creationId xmlns:a16="http://schemas.microsoft.com/office/drawing/2014/main" id="{487E0011-F960-4721-B14E-7FB2928394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8" name="TextBox 7">
          <a:extLst>
            <a:ext uri="{FF2B5EF4-FFF2-40B4-BE49-F238E27FC236}">
              <a16:creationId xmlns:a16="http://schemas.microsoft.com/office/drawing/2014/main" id="{09D640C9-55D5-44A1-B211-9EA3B0FDE4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39" name="TextBox 8">
          <a:extLst>
            <a:ext uri="{FF2B5EF4-FFF2-40B4-BE49-F238E27FC236}">
              <a16:creationId xmlns:a16="http://schemas.microsoft.com/office/drawing/2014/main" id="{24E31442-F2FB-42B7-8E29-91D56E70EF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0" name="TextBox 2">
          <a:extLst>
            <a:ext uri="{FF2B5EF4-FFF2-40B4-BE49-F238E27FC236}">
              <a16:creationId xmlns:a16="http://schemas.microsoft.com/office/drawing/2014/main" id="{7E65F5DF-B561-43EE-B964-0E56D0F96C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1" name="TextBox 4">
          <a:extLst>
            <a:ext uri="{FF2B5EF4-FFF2-40B4-BE49-F238E27FC236}">
              <a16:creationId xmlns:a16="http://schemas.microsoft.com/office/drawing/2014/main" id="{3B165A86-91E7-4FBF-9468-F0A69D596D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2" name="TextBox 5">
          <a:extLst>
            <a:ext uri="{FF2B5EF4-FFF2-40B4-BE49-F238E27FC236}">
              <a16:creationId xmlns:a16="http://schemas.microsoft.com/office/drawing/2014/main" id="{770D0715-9343-4ADE-AA0A-498F6584E2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3" name="TextBox 6">
          <a:extLst>
            <a:ext uri="{FF2B5EF4-FFF2-40B4-BE49-F238E27FC236}">
              <a16:creationId xmlns:a16="http://schemas.microsoft.com/office/drawing/2014/main" id="{A2EBD8CB-3F05-4157-8858-DA2E27D82A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4" name="TextBox 7">
          <a:extLst>
            <a:ext uri="{FF2B5EF4-FFF2-40B4-BE49-F238E27FC236}">
              <a16:creationId xmlns:a16="http://schemas.microsoft.com/office/drawing/2014/main" id="{6DD3D0B9-821C-4C6C-A738-4F433B9E35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5" name="TextBox 8">
          <a:extLst>
            <a:ext uri="{FF2B5EF4-FFF2-40B4-BE49-F238E27FC236}">
              <a16:creationId xmlns:a16="http://schemas.microsoft.com/office/drawing/2014/main" id="{F87CCAFC-9F3B-4CCB-9A9D-8DEFACE049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6" name="TextBox 2">
          <a:extLst>
            <a:ext uri="{FF2B5EF4-FFF2-40B4-BE49-F238E27FC236}">
              <a16:creationId xmlns:a16="http://schemas.microsoft.com/office/drawing/2014/main" id="{6B6BABF9-D961-470B-BF76-1DE4D206AC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7" name="TextBox 4">
          <a:extLst>
            <a:ext uri="{FF2B5EF4-FFF2-40B4-BE49-F238E27FC236}">
              <a16:creationId xmlns:a16="http://schemas.microsoft.com/office/drawing/2014/main" id="{2751F778-5DA6-43F4-92D7-E26A45980E5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8" name="TextBox 5">
          <a:extLst>
            <a:ext uri="{FF2B5EF4-FFF2-40B4-BE49-F238E27FC236}">
              <a16:creationId xmlns:a16="http://schemas.microsoft.com/office/drawing/2014/main" id="{4C06DE0F-666D-4DD5-A072-06C2803796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49" name="TextBox 6">
          <a:extLst>
            <a:ext uri="{FF2B5EF4-FFF2-40B4-BE49-F238E27FC236}">
              <a16:creationId xmlns:a16="http://schemas.microsoft.com/office/drawing/2014/main" id="{DB93FF48-478B-47C4-9460-447B2F64854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0" name="TextBox 7">
          <a:extLst>
            <a:ext uri="{FF2B5EF4-FFF2-40B4-BE49-F238E27FC236}">
              <a16:creationId xmlns:a16="http://schemas.microsoft.com/office/drawing/2014/main" id="{BA44AE3D-3207-4A2A-9EED-62CDB351CB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1" name="TextBox 8">
          <a:extLst>
            <a:ext uri="{FF2B5EF4-FFF2-40B4-BE49-F238E27FC236}">
              <a16:creationId xmlns:a16="http://schemas.microsoft.com/office/drawing/2014/main" id="{44032EFB-67D0-4D25-BE64-756E69F57A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2" name="TextBox 2">
          <a:extLst>
            <a:ext uri="{FF2B5EF4-FFF2-40B4-BE49-F238E27FC236}">
              <a16:creationId xmlns:a16="http://schemas.microsoft.com/office/drawing/2014/main" id="{086EF17E-B9F0-46A7-8A2A-3452F313B7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3" name="TextBox 4">
          <a:extLst>
            <a:ext uri="{FF2B5EF4-FFF2-40B4-BE49-F238E27FC236}">
              <a16:creationId xmlns:a16="http://schemas.microsoft.com/office/drawing/2014/main" id="{486D6079-17D5-4D9D-A388-7F09C009B5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4" name="TextBox 5">
          <a:extLst>
            <a:ext uri="{FF2B5EF4-FFF2-40B4-BE49-F238E27FC236}">
              <a16:creationId xmlns:a16="http://schemas.microsoft.com/office/drawing/2014/main" id="{9104487D-7154-47C0-A1D9-0DF1DAAB7A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5" name="TextBox 6">
          <a:extLst>
            <a:ext uri="{FF2B5EF4-FFF2-40B4-BE49-F238E27FC236}">
              <a16:creationId xmlns:a16="http://schemas.microsoft.com/office/drawing/2014/main" id="{4DED43B5-095D-4253-BDF5-8FD1F507D8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6" name="TextBox 7">
          <a:extLst>
            <a:ext uri="{FF2B5EF4-FFF2-40B4-BE49-F238E27FC236}">
              <a16:creationId xmlns:a16="http://schemas.microsoft.com/office/drawing/2014/main" id="{F5DFCF7C-996F-4FEA-B0B6-BE2A749B17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7" name="TextBox 8">
          <a:extLst>
            <a:ext uri="{FF2B5EF4-FFF2-40B4-BE49-F238E27FC236}">
              <a16:creationId xmlns:a16="http://schemas.microsoft.com/office/drawing/2014/main" id="{673F39E5-E473-46B3-9C05-85462BB999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8" name="TextBox 2">
          <a:extLst>
            <a:ext uri="{FF2B5EF4-FFF2-40B4-BE49-F238E27FC236}">
              <a16:creationId xmlns:a16="http://schemas.microsoft.com/office/drawing/2014/main" id="{F97BC0CD-727C-4E45-972B-E1736DFD17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59" name="TextBox 4">
          <a:extLst>
            <a:ext uri="{FF2B5EF4-FFF2-40B4-BE49-F238E27FC236}">
              <a16:creationId xmlns:a16="http://schemas.microsoft.com/office/drawing/2014/main" id="{549089D6-5747-446E-AC8C-582D137951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0" name="TextBox 5">
          <a:extLst>
            <a:ext uri="{FF2B5EF4-FFF2-40B4-BE49-F238E27FC236}">
              <a16:creationId xmlns:a16="http://schemas.microsoft.com/office/drawing/2014/main" id="{A34C7F1D-7C45-45D6-A35D-2B6E1EFDAA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1" name="TextBox 6">
          <a:extLst>
            <a:ext uri="{FF2B5EF4-FFF2-40B4-BE49-F238E27FC236}">
              <a16:creationId xmlns:a16="http://schemas.microsoft.com/office/drawing/2014/main" id="{6651CA03-A772-4320-AA29-99ABB751AE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2" name="TextBox 7">
          <a:extLst>
            <a:ext uri="{FF2B5EF4-FFF2-40B4-BE49-F238E27FC236}">
              <a16:creationId xmlns:a16="http://schemas.microsoft.com/office/drawing/2014/main" id="{33DCD0F8-F742-4EA1-BBAB-F47E1D918C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3" name="TextBox 8">
          <a:extLst>
            <a:ext uri="{FF2B5EF4-FFF2-40B4-BE49-F238E27FC236}">
              <a16:creationId xmlns:a16="http://schemas.microsoft.com/office/drawing/2014/main" id="{2F741EA9-0CF9-4F23-949F-829FCF20AA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4" name="TextBox 2">
          <a:extLst>
            <a:ext uri="{FF2B5EF4-FFF2-40B4-BE49-F238E27FC236}">
              <a16:creationId xmlns:a16="http://schemas.microsoft.com/office/drawing/2014/main" id="{4429D39F-38C6-4DF9-B57C-01184A1475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5" name="TextBox 4">
          <a:extLst>
            <a:ext uri="{FF2B5EF4-FFF2-40B4-BE49-F238E27FC236}">
              <a16:creationId xmlns:a16="http://schemas.microsoft.com/office/drawing/2014/main" id="{0A54DAAE-0F92-4FA9-A2C0-B720DFA828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6" name="TextBox 5">
          <a:extLst>
            <a:ext uri="{FF2B5EF4-FFF2-40B4-BE49-F238E27FC236}">
              <a16:creationId xmlns:a16="http://schemas.microsoft.com/office/drawing/2014/main" id="{B924A447-5DCD-4FC7-AC53-AAE4E30540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7" name="TextBox 6">
          <a:extLst>
            <a:ext uri="{FF2B5EF4-FFF2-40B4-BE49-F238E27FC236}">
              <a16:creationId xmlns:a16="http://schemas.microsoft.com/office/drawing/2014/main" id="{B929E8E6-DFDC-4F40-B184-2B7DB85669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8" name="TextBox 7">
          <a:extLst>
            <a:ext uri="{FF2B5EF4-FFF2-40B4-BE49-F238E27FC236}">
              <a16:creationId xmlns:a16="http://schemas.microsoft.com/office/drawing/2014/main" id="{0C2ECEB8-F079-4819-B4E4-B30C098690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69" name="TextBox 8">
          <a:extLst>
            <a:ext uri="{FF2B5EF4-FFF2-40B4-BE49-F238E27FC236}">
              <a16:creationId xmlns:a16="http://schemas.microsoft.com/office/drawing/2014/main" id="{B19D76C9-A5B7-42F2-8E1F-C3E7B4F6B8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0" name="TextBox 2">
          <a:extLst>
            <a:ext uri="{FF2B5EF4-FFF2-40B4-BE49-F238E27FC236}">
              <a16:creationId xmlns:a16="http://schemas.microsoft.com/office/drawing/2014/main" id="{E9D35D2C-56F6-492A-8FCC-4C41DF3003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1" name="TextBox 4">
          <a:extLst>
            <a:ext uri="{FF2B5EF4-FFF2-40B4-BE49-F238E27FC236}">
              <a16:creationId xmlns:a16="http://schemas.microsoft.com/office/drawing/2014/main" id="{D33647CF-4092-40DC-9D31-0413D65722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2" name="TextBox 5">
          <a:extLst>
            <a:ext uri="{FF2B5EF4-FFF2-40B4-BE49-F238E27FC236}">
              <a16:creationId xmlns:a16="http://schemas.microsoft.com/office/drawing/2014/main" id="{EFE176F9-EA48-49D0-B078-9826FE90BE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3" name="TextBox 6">
          <a:extLst>
            <a:ext uri="{FF2B5EF4-FFF2-40B4-BE49-F238E27FC236}">
              <a16:creationId xmlns:a16="http://schemas.microsoft.com/office/drawing/2014/main" id="{B455CE54-FE48-47D0-B6BD-C21E8E2FBF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4" name="TextBox 7">
          <a:extLst>
            <a:ext uri="{FF2B5EF4-FFF2-40B4-BE49-F238E27FC236}">
              <a16:creationId xmlns:a16="http://schemas.microsoft.com/office/drawing/2014/main" id="{8F6E894C-5CFF-4564-8D4D-57499A24F1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5" name="TextBox 8">
          <a:extLst>
            <a:ext uri="{FF2B5EF4-FFF2-40B4-BE49-F238E27FC236}">
              <a16:creationId xmlns:a16="http://schemas.microsoft.com/office/drawing/2014/main" id="{A6396D60-F11C-4B25-BB62-2B0F524AF0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6" name="TextBox 2">
          <a:extLst>
            <a:ext uri="{FF2B5EF4-FFF2-40B4-BE49-F238E27FC236}">
              <a16:creationId xmlns:a16="http://schemas.microsoft.com/office/drawing/2014/main" id="{F3E0C684-6DF5-4217-BB5D-52968CA622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7" name="TextBox 4">
          <a:extLst>
            <a:ext uri="{FF2B5EF4-FFF2-40B4-BE49-F238E27FC236}">
              <a16:creationId xmlns:a16="http://schemas.microsoft.com/office/drawing/2014/main" id="{0322D367-84DF-492F-BAAA-F7D0E6B05B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8" name="TextBox 5">
          <a:extLst>
            <a:ext uri="{FF2B5EF4-FFF2-40B4-BE49-F238E27FC236}">
              <a16:creationId xmlns:a16="http://schemas.microsoft.com/office/drawing/2014/main" id="{122EAF8E-3EFE-43A2-AD33-CDAE5B606E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79" name="TextBox 6">
          <a:extLst>
            <a:ext uri="{FF2B5EF4-FFF2-40B4-BE49-F238E27FC236}">
              <a16:creationId xmlns:a16="http://schemas.microsoft.com/office/drawing/2014/main" id="{7CA0806C-1351-4E6E-ACC0-93179C5083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0" name="TextBox 7">
          <a:extLst>
            <a:ext uri="{FF2B5EF4-FFF2-40B4-BE49-F238E27FC236}">
              <a16:creationId xmlns:a16="http://schemas.microsoft.com/office/drawing/2014/main" id="{57AB1920-F7A5-4089-B24E-71252C962A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1" name="TextBox 8">
          <a:extLst>
            <a:ext uri="{FF2B5EF4-FFF2-40B4-BE49-F238E27FC236}">
              <a16:creationId xmlns:a16="http://schemas.microsoft.com/office/drawing/2014/main" id="{466F4919-BC9B-4309-8F63-F0D5F36BE3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2" name="TextBox 2">
          <a:extLst>
            <a:ext uri="{FF2B5EF4-FFF2-40B4-BE49-F238E27FC236}">
              <a16:creationId xmlns:a16="http://schemas.microsoft.com/office/drawing/2014/main" id="{A583F6DE-73A4-4D09-BA3B-D97952CBE0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3" name="TextBox 4">
          <a:extLst>
            <a:ext uri="{FF2B5EF4-FFF2-40B4-BE49-F238E27FC236}">
              <a16:creationId xmlns:a16="http://schemas.microsoft.com/office/drawing/2014/main" id="{A005F875-53AD-49D3-8B95-7628B363E3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4" name="TextBox 5">
          <a:extLst>
            <a:ext uri="{FF2B5EF4-FFF2-40B4-BE49-F238E27FC236}">
              <a16:creationId xmlns:a16="http://schemas.microsoft.com/office/drawing/2014/main" id="{4FF9C76F-B717-44A9-9D37-A1B337D357F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5" name="TextBox 6">
          <a:extLst>
            <a:ext uri="{FF2B5EF4-FFF2-40B4-BE49-F238E27FC236}">
              <a16:creationId xmlns:a16="http://schemas.microsoft.com/office/drawing/2014/main" id="{463E8E28-0ED5-4D08-BC2F-EC4A77CD52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6" name="TextBox 7">
          <a:extLst>
            <a:ext uri="{FF2B5EF4-FFF2-40B4-BE49-F238E27FC236}">
              <a16:creationId xmlns:a16="http://schemas.microsoft.com/office/drawing/2014/main" id="{84F70DE4-8ECC-4800-B059-B5133A2CEB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7" name="TextBox 8">
          <a:extLst>
            <a:ext uri="{FF2B5EF4-FFF2-40B4-BE49-F238E27FC236}">
              <a16:creationId xmlns:a16="http://schemas.microsoft.com/office/drawing/2014/main" id="{B52AAB21-138C-413E-9E47-4F6A57F560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8" name="TextBox 2">
          <a:extLst>
            <a:ext uri="{FF2B5EF4-FFF2-40B4-BE49-F238E27FC236}">
              <a16:creationId xmlns:a16="http://schemas.microsoft.com/office/drawing/2014/main" id="{86888F99-43DE-4A4B-9865-449EB0D71B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89" name="TextBox 4">
          <a:extLst>
            <a:ext uri="{FF2B5EF4-FFF2-40B4-BE49-F238E27FC236}">
              <a16:creationId xmlns:a16="http://schemas.microsoft.com/office/drawing/2014/main" id="{BEDAFDF3-8DA7-4D16-BF69-78609528A6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0" name="TextBox 5">
          <a:extLst>
            <a:ext uri="{FF2B5EF4-FFF2-40B4-BE49-F238E27FC236}">
              <a16:creationId xmlns:a16="http://schemas.microsoft.com/office/drawing/2014/main" id="{84F7046C-4A5E-46AF-87B6-79BC04A853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1" name="TextBox 6">
          <a:extLst>
            <a:ext uri="{FF2B5EF4-FFF2-40B4-BE49-F238E27FC236}">
              <a16:creationId xmlns:a16="http://schemas.microsoft.com/office/drawing/2014/main" id="{453DC516-CE2E-4923-A902-814ED4DD8C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2" name="TextBox 7">
          <a:extLst>
            <a:ext uri="{FF2B5EF4-FFF2-40B4-BE49-F238E27FC236}">
              <a16:creationId xmlns:a16="http://schemas.microsoft.com/office/drawing/2014/main" id="{C40BD011-7087-4E6F-9B57-3101A21477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3" name="TextBox 8">
          <a:extLst>
            <a:ext uri="{FF2B5EF4-FFF2-40B4-BE49-F238E27FC236}">
              <a16:creationId xmlns:a16="http://schemas.microsoft.com/office/drawing/2014/main" id="{D2445EF7-F72C-454A-9C89-97D2B42734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4" name="TextBox 2">
          <a:extLst>
            <a:ext uri="{FF2B5EF4-FFF2-40B4-BE49-F238E27FC236}">
              <a16:creationId xmlns:a16="http://schemas.microsoft.com/office/drawing/2014/main" id="{3B75314E-798F-40AF-A5D5-FF2F9ADDCE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5" name="TextBox 4">
          <a:extLst>
            <a:ext uri="{FF2B5EF4-FFF2-40B4-BE49-F238E27FC236}">
              <a16:creationId xmlns:a16="http://schemas.microsoft.com/office/drawing/2014/main" id="{9A895329-256B-4CE6-8A43-749EFC8B2E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6" name="TextBox 5">
          <a:extLst>
            <a:ext uri="{FF2B5EF4-FFF2-40B4-BE49-F238E27FC236}">
              <a16:creationId xmlns:a16="http://schemas.microsoft.com/office/drawing/2014/main" id="{FAE1BC28-93A7-44B9-A888-2C4DB8BFA6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7" name="TextBox 6">
          <a:extLst>
            <a:ext uri="{FF2B5EF4-FFF2-40B4-BE49-F238E27FC236}">
              <a16:creationId xmlns:a16="http://schemas.microsoft.com/office/drawing/2014/main" id="{FDD207DE-BD2C-450E-837A-1E7C618C90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8" name="TextBox 7">
          <a:extLst>
            <a:ext uri="{FF2B5EF4-FFF2-40B4-BE49-F238E27FC236}">
              <a16:creationId xmlns:a16="http://schemas.microsoft.com/office/drawing/2014/main" id="{D24722A1-A15E-4738-A56F-C5143D8422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699" name="TextBox 8">
          <a:extLst>
            <a:ext uri="{FF2B5EF4-FFF2-40B4-BE49-F238E27FC236}">
              <a16:creationId xmlns:a16="http://schemas.microsoft.com/office/drawing/2014/main" id="{B193E8D6-C93D-4B05-A08E-790641B5DD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0" name="TextBox 2">
          <a:extLst>
            <a:ext uri="{FF2B5EF4-FFF2-40B4-BE49-F238E27FC236}">
              <a16:creationId xmlns:a16="http://schemas.microsoft.com/office/drawing/2014/main" id="{E0CA4600-BEEB-4DAA-B4C6-742DEFF155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1" name="TextBox 4">
          <a:extLst>
            <a:ext uri="{FF2B5EF4-FFF2-40B4-BE49-F238E27FC236}">
              <a16:creationId xmlns:a16="http://schemas.microsoft.com/office/drawing/2014/main" id="{95B32D57-8261-4B20-AB8D-1325AAA08E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2" name="TextBox 5">
          <a:extLst>
            <a:ext uri="{FF2B5EF4-FFF2-40B4-BE49-F238E27FC236}">
              <a16:creationId xmlns:a16="http://schemas.microsoft.com/office/drawing/2014/main" id="{16850E6C-BE29-49FF-B369-F1675BA7E8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3" name="TextBox 6">
          <a:extLst>
            <a:ext uri="{FF2B5EF4-FFF2-40B4-BE49-F238E27FC236}">
              <a16:creationId xmlns:a16="http://schemas.microsoft.com/office/drawing/2014/main" id="{81A9BB8A-EAF3-4CFB-901D-CB1C9C0917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4" name="TextBox 7">
          <a:extLst>
            <a:ext uri="{FF2B5EF4-FFF2-40B4-BE49-F238E27FC236}">
              <a16:creationId xmlns:a16="http://schemas.microsoft.com/office/drawing/2014/main" id="{B0CD1562-1099-48F3-8F6B-F21EABECC7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5" name="TextBox 8">
          <a:extLst>
            <a:ext uri="{FF2B5EF4-FFF2-40B4-BE49-F238E27FC236}">
              <a16:creationId xmlns:a16="http://schemas.microsoft.com/office/drawing/2014/main" id="{A1E50864-5E88-4BA4-8115-97497C6080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6" name="TextBox 2">
          <a:extLst>
            <a:ext uri="{FF2B5EF4-FFF2-40B4-BE49-F238E27FC236}">
              <a16:creationId xmlns:a16="http://schemas.microsoft.com/office/drawing/2014/main" id="{6B832404-7769-49F1-9B74-FD97056C96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7" name="TextBox 4">
          <a:extLst>
            <a:ext uri="{FF2B5EF4-FFF2-40B4-BE49-F238E27FC236}">
              <a16:creationId xmlns:a16="http://schemas.microsoft.com/office/drawing/2014/main" id="{190D4243-EC37-476C-9B57-4B20964827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8" name="TextBox 5">
          <a:extLst>
            <a:ext uri="{FF2B5EF4-FFF2-40B4-BE49-F238E27FC236}">
              <a16:creationId xmlns:a16="http://schemas.microsoft.com/office/drawing/2014/main" id="{2E6FCC45-298A-4862-A591-00AC13FF5F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09" name="TextBox 6">
          <a:extLst>
            <a:ext uri="{FF2B5EF4-FFF2-40B4-BE49-F238E27FC236}">
              <a16:creationId xmlns:a16="http://schemas.microsoft.com/office/drawing/2014/main" id="{6993687B-D0CB-49AE-BECC-1368B80BDA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0" name="TextBox 7">
          <a:extLst>
            <a:ext uri="{FF2B5EF4-FFF2-40B4-BE49-F238E27FC236}">
              <a16:creationId xmlns:a16="http://schemas.microsoft.com/office/drawing/2014/main" id="{964B1DE3-45FD-4F53-9082-C3E3EAD59D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1" name="TextBox 8">
          <a:extLst>
            <a:ext uri="{FF2B5EF4-FFF2-40B4-BE49-F238E27FC236}">
              <a16:creationId xmlns:a16="http://schemas.microsoft.com/office/drawing/2014/main" id="{DF64E141-3E3A-4FCB-9E20-73D922E5EB5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2" name="TextBox 2">
          <a:extLst>
            <a:ext uri="{FF2B5EF4-FFF2-40B4-BE49-F238E27FC236}">
              <a16:creationId xmlns:a16="http://schemas.microsoft.com/office/drawing/2014/main" id="{099F3E1F-C998-49DA-A0A1-F7141BB6040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3" name="TextBox 4">
          <a:extLst>
            <a:ext uri="{FF2B5EF4-FFF2-40B4-BE49-F238E27FC236}">
              <a16:creationId xmlns:a16="http://schemas.microsoft.com/office/drawing/2014/main" id="{49FF56ED-177C-4815-ACAD-F3C5A42FDD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4" name="TextBox 5">
          <a:extLst>
            <a:ext uri="{FF2B5EF4-FFF2-40B4-BE49-F238E27FC236}">
              <a16:creationId xmlns:a16="http://schemas.microsoft.com/office/drawing/2014/main" id="{81286B7D-5FCF-4842-A499-450D7F380A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5" name="TextBox 6">
          <a:extLst>
            <a:ext uri="{FF2B5EF4-FFF2-40B4-BE49-F238E27FC236}">
              <a16:creationId xmlns:a16="http://schemas.microsoft.com/office/drawing/2014/main" id="{48E147A9-CE01-4EB6-B592-903B920A12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6" name="TextBox 7">
          <a:extLst>
            <a:ext uri="{FF2B5EF4-FFF2-40B4-BE49-F238E27FC236}">
              <a16:creationId xmlns:a16="http://schemas.microsoft.com/office/drawing/2014/main" id="{4569DC81-9746-4F11-8294-8D31CED6D21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7" name="TextBox 8">
          <a:extLst>
            <a:ext uri="{FF2B5EF4-FFF2-40B4-BE49-F238E27FC236}">
              <a16:creationId xmlns:a16="http://schemas.microsoft.com/office/drawing/2014/main" id="{AEEC7B97-A9A9-499F-B98A-CF03F8462B1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8" name="TextBox 2">
          <a:extLst>
            <a:ext uri="{FF2B5EF4-FFF2-40B4-BE49-F238E27FC236}">
              <a16:creationId xmlns:a16="http://schemas.microsoft.com/office/drawing/2014/main" id="{63495C15-7C07-44CC-B52B-2124494E2C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19" name="TextBox 4">
          <a:extLst>
            <a:ext uri="{FF2B5EF4-FFF2-40B4-BE49-F238E27FC236}">
              <a16:creationId xmlns:a16="http://schemas.microsoft.com/office/drawing/2014/main" id="{0D5A5606-8499-4C55-812B-45F5A7D481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0" name="TextBox 5">
          <a:extLst>
            <a:ext uri="{FF2B5EF4-FFF2-40B4-BE49-F238E27FC236}">
              <a16:creationId xmlns:a16="http://schemas.microsoft.com/office/drawing/2014/main" id="{937D266C-1D78-4FA3-8C9C-BE644C82C6E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1" name="TextBox 6">
          <a:extLst>
            <a:ext uri="{FF2B5EF4-FFF2-40B4-BE49-F238E27FC236}">
              <a16:creationId xmlns:a16="http://schemas.microsoft.com/office/drawing/2014/main" id="{CF11E024-F221-433E-A7DA-7F9F2C8453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2" name="TextBox 7">
          <a:extLst>
            <a:ext uri="{FF2B5EF4-FFF2-40B4-BE49-F238E27FC236}">
              <a16:creationId xmlns:a16="http://schemas.microsoft.com/office/drawing/2014/main" id="{958249E3-3166-47D4-8F14-C68B6145F4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3" name="TextBox 8">
          <a:extLst>
            <a:ext uri="{FF2B5EF4-FFF2-40B4-BE49-F238E27FC236}">
              <a16:creationId xmlns:a16="http://schemas.microsoft.com/office/drawing/2014/main" id="{D96BC784-DD4C-4B9D-B4BC-007FD1B7BE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4" name="TextBox 2">
          <a:extLst>
            <a:ext uri="{FF2B5EF4-FFF2-40B4-BE49-F238E27FC236}">
              <a16:creationId xmlns:a16="http://schemas.microsoft.com/office/drawing/2014/main" id="{2148CFC4-691B-4109-9710-B573CF8162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5" name="TextBox 4">
          <a:extLst>
            <a:ext uri="{FF2B5EF4-FFF2-40B4-BE49-F238E27FC236}">
              <a16:creationId xmlns:a16="http://schemas.microsoft.com/office/drawing/2014/main" id="{755900E9-7966-4ABD-A095-B3E939801E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6" name="TextBox 5">
          <a:extLst>
            <a:ext uri="{FF2B5EF4-FFF2-40B4-BE49-F238E27FC236}">
              <a16:creationId xmlns:a16="http://schemas.microsoft.com/office/drawing/2014/main" id="{C0FF24D1-E373-438B-8E23-01C4C71B7D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7" name="TextBox 6">
          <a:extLst>
            <a:ext uri="{FF2B5EF4-FFF2-40B4-BE49-F238E27FC236}">
              <a16:creationId xmlns:a16="http://schemas.microsoft.com/office/drawing/2014/main" id="{249BA305-5CEE-4200-91DA-4B1190D5DF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8" name="TextBox 7">
          <a:extLst>
            <a:ext uri="{FF2B5EF4-FFF2-40B4-BE49-F238E27FC236}">
              <a16:creationId xmlns:a16="http://schemas.microsoft.com/office/drawing/2014/main" id="{4224169E-6F69-4F00-A489-C5E48C1139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29" name="TextBox 8">
          <a:extLst>
            <a:ext uri="{FF2B5EF4-FFF2-40B4-BE49-F238E27FC236}">
              <a16:creationId xmlns:a16="http://schemas.microsoft.com/office/drawing/2014/main" id="{1D3B03D5-253D-4019-9C15-DBFEA6F532A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0" name="TextBox 2">
          <a:extLst>
            <a:ext uri="{FF2B5EF4-FFF2-40B4-BE49-F238E27FC236}">
              <a16:creationId xmlns:a16="http://schemas.microsoft.com/office/drawing/2014/main" id="{9F431147-17EE-4909-BD0C-97530BCD6D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1" name="TextBox 4">
          <a:extLst>
            <a:ext uri="{FF2B5EF4-FFF2-40B4-BE49-F238E27FC236}">
              <a16:creationId xmlns:a16="http://schemas.microsoft.com/office/drawing/2014/main" id="{7A442FAD-A700-46EB-8CAC-3E55F9211D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2" name="TextBox 5">
          <a:extLst>
            <a:ext uri="{FF2B5EF4-FFF2-40B4-BE49-F238E27FC236}">
              <a16:creationId xmlns:a16="http://schemas.microsoft.com/office/drawing/2014/main" id="{F8DDCCF5-E740-404C-A97A-D79AAAEA311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3" name="TextBox 6">
          <a:extLst>
            <a:ext uri="{FF2B5EF4-FFF2-40B4-BE49-F238E27FC236}">
              <a16:creationId xmlns:a16="http://schemas.microsoft.com/office/drawing/2014/main" id="{CEAFCF5A-A9D0-4465-B8E7-2E4FB2FEF2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4" name="TextBox 7">
          <a:extLst>
            <a:ext uri="{FF2B5EF4-FFF2-40B4-BE49-F238E27FC236}">
              <a16:creationId xmlns:a16="http://schemas.microsoft.com/office/drawing/2014/main" id="{4B912834-B9FE-4263-92DF-DB2F194608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5" name="TextBox 8">
          <a:extLst>
            <a:ext uri="{FF2B5EF4-FFF2-40B4-BE49-F238E27FC236}">
              <a16:creationId xmlns:a16="http://schemas.microsoft.com/office/drawing/2014/main" id="{73D6979E-449C-4096-9C5F-71E20EF995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6" name="TextBox 2">
          <a:extLst>
            <a:ext uri="{FF2B5EF4-FFF2-40B4-BE49-F238E27FC236}">
              <a16:creationId xmlns:a16="http://schemas.microsoft.com/office/drawing/2014/main" id="{6CF6328C-DCD1-4D9D-9D36-07EB2F3AC5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7" name="TextBox 4">
          <a:extLst>
            <a:ext uri="{FF2B5EF4-FFF2-40B4-BE49-F238E27FC236}">
              <a16:creationId xmlns:a16="http://schemas.microsoft.com/office/drawing/2014/main" id="{8C4A1FE3-BDB7-4CEE-8756-AA1E4F6D45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8" name="TextBox 5">
          <a:extLst>
            <a:ext uri="{FF2B5EF4-FFF2-40B4-BE49-F238E27FC236}">
              <a16:creationId xmlns:a16="http://schemas.microsoft.com/office/drawing/2014/main" id="{8822BDD3-E5D7-450F-A839-5232470761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39" name="TextBox 6">
          <a:extLst>
            <a:ext uri="{FF2B5EF4-FFF2-40B4-BE49-F238E27FC236}">
              <a16:creationId xmlns:a16="http://schemas.microsoft.com/office/drawing/2014/main" id="{685629E5-9223-4EDC-A2E6-66910ED960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0" name="TextBox 7">
          <a:extLst>
            <a:ext uri="{FF2B5EF4-FFF2-40B4-BE49-F238E27FC236}">
              <a16:creationId xmlns:a16="http://schemas.microsoft.com/office/drawing/2014/main" id="{B214674C-781C-4482-8D6E-7347E672B41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1" name="TextBox 8">
          <a:extLst>
            <a:ext uri="{FF2B5EF4-FFF2-40B4-BE49-F238E27FC236}">
              <a16:creationId xmlns:a16="http://schemas.microsoft.com/office/drawing/2014/main" id="{FFB36196-7084-4550-914A-CD88CC356C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2" name="TextBox 2">
          <a:extLst>
            <a:ext uri="{FF2B5EF4-FFF2-40B4-BE49-F238E27FC236}">
              <a16:creationId xmlns:a16="http://schemas.microsoft.com/office/drawing/2014/main" id="{12863FBB-C934-4FF9-ABC2-E84C1A6E39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3" name="TextBox 4">
          <a:extLst>
            <a:ext uri="{FF2B5EF4-FFF2-40B4-BE49-F238E27FC236}">
              <a16:creationId xmlns:a16="http://schemas.microsoft.com/office/drawing/2014/main" id="{B97533C5-7F3A-4B67-B86A-545B2E61FB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4" name="TextBox 5">
          <a:extLst>
            <a:ext uri="{FF2B5EF4-FFF2-40B4-BE49-F238E27FC236}">
              <a16:creationId xmlns:a16="http://schemas.microsoft.com/office/drawing/2014/main" id="{5EBE56D1-4F3B-4C4C-93CB-BEA45C6249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5" name="TextBox 6">
          <a:extLst>
            <a:ext uri="{FF2B5EF4-FFF2-40B4-BE49-F238E27FC236}">
              <a16:creationId xmlns:a16="http://schemas.microsoft.com/office/drawing/2014/main" id="{93E0AEE2-7BF2-4092-93E0-E6767A569F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6" name="TextBox 7">
          <a:extLst>
            <a:ext uri="{FF2B5EF4-FFF2-40B4-BE49-F238E27FC236}">
              <a16:creationId xmlns:a16="http://schemas.microsoft.com/office/drawing/2014/main" id="{D1A346B9-D45C-4633-B1E1-D242FB4FCD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7" name="TextBox 8">
          <a:extLst>
            <a:ext uri="{FF2B5EF4-FFF2-40B4-BE49-F238E27FC236}">
              <a16:creationId xmlns:a16="http://schemas.microsoft.com/office/drawing/2014/main" id="{AF02743F-B36F-452B-B7FA-03DFAB84A5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8" name="TextBox 2">
          <a:extLst>
            <a:ext uri="{FF2B5EF4-FFF2-40B4-BE49-F238E27FC236}">
              <a16:creationId xmlns:a16="http://schemas.microsoft.com/office/drawing/2014/main" id="{F378966D-0236-4367-8D1C-6ABFB8A244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49" name="TextBox 4">
          <a:extLst>
            <a:ext uri="{FF2B5EF4-FFF2-40B4-BE49-F238E27FC236}">
              <a16:creationId xmlns:a16="http://schemas.microsoft.com/office/drawing/2014/main" id="{EF57061C-C1B1-45F7-9C1A-FEEF9F5117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0" name="TextBox 5">
          <a:extLst>
            <a:ext uri="{FF2B5EF4-FFF2-40B4-BE49-F238E27FC236}">
              <a16:creationId xmlns:a16="http://schemas.microsoft.com/office/drawing/2014/main" id="{4C4FF184-A2C2-488E-B38C-AF4D09D086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1" name="TextBox 6">
          <a:extLst>
            <a:ext uri="{FF2B5EF4-FFF2-40B4-BE49-F238E27FC236}">
              <a16:creationId xmlns:a16="http://schemas.microsoft.com/office/drawing/2014/main" id="{FB2A81B3-885E-453A-A3F5-4CF0FE6A4A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2" name="TextBox 7">
          <a:extLst>
            <a:ext uri="{FF2B5EF4-FFF2-40B4-BE49-F238E27FC236}">
              <a16:creationId xmlns:a16="http://schemas.microsoft.com/office/drawing/2014/main" id="{6224E81E-9FFE-4D49-9D2E-F9CBA4D4B7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3" name="TextBox 8">
          <a:extLst>
            <a:ext uri="{FF2B5EF4-FFF2-40B4-BE49-F238E27FC236}">
              <a16:creationId xmlns:a16="http://schemas.microsoft.com/office/drawing/2014/main" id="{D113615B-DD04-471F-BF70-BB8452F5465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4" name="TextBox 2">
          <a:extLst>
            <a:ext uri="{FF2B5EF4-FFF2-40B4-BE49-F238E27FC236}">
              <a16:creationId xmlns:a16="http://schemas.microsoft.com/office/drawing/2014/main" id="{C6A2678B-24E0-4205-ABC2-CFB053B9DF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5" name="TextBox 4">
          <a:extLst>
            <a:ext uri="{FF2B5EF4-FFF2-40B4-BE49-F238E27FC236}">
              <a16:creationId xmlns:a16="http://schemas.microsoft.com/office/drawing/2014/main" id="{51999F72-0714-4739-ABCF-EE1CB8205D8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6" name="TextBox 5">
          <a:extLst>
            <a:ext uri="{FF2B5EF4-FFF2-40B4-BE49-F238E27FC236}">
              <a16:creationId xmlns:a16="http://schemas.microsoft.com/office/drawing/2014/main" id="{B1FDAF1A-26A0-4F88-A78B-EC6056B5B4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7" name="TextBox 6">
          <a:extLst>
            <a:ext uri="{FF2B5EF4-FFF2-40B4-BE49-F238E27FC236}">
              <a16:creationId xmlns:a16="http://schemas.microsoft.com/office/drawing/2014/main" id="{38C923BF-65E3-40A4-8450-62E6F9D60E4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8" name="TextBox 7">
          <a:extLst>
            <a:ext uri="{FF2B5EF4-FFF2-40B4-BE49-F238E27FC236}">
              <a16:creationId xmlns:a16="http://schemas.microsoft.com/office/drawing/2014/main" id="{96DD9743-AC04-4FBF-878E-5929423CB9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59" name="TextBox 8">
          <a:extLst>
            <a:ext uri="{FF2B5EF4-FFF2-40B4-BE49-F238E27FC236}">
              <a16:creationId xmlns:a16="http://schemas.microsoft.com/office/drawing/2014/main" id="{C4BF6A9F-ABC9-468E-BE15-3E22E7BE3B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0" name="TextBox 2">
          <a:extLst>
            <a:ext uri="{FF2B5EF4-FFF2-40B4-BE49-F238E27FC236}">
              <a16:creationId xmlns:a16="http://schemas.microsoft.com/office/drawing/2014/main" id="{5DA998E1-1305-4A08-AF22-90F5C40378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1" name="TextBox 4">
          <a:extLst>
            <a:ext uri="{FF2B5EF4-FFF2-40B4-BE49-F238E27FC236}">
              <a16:creationId xmlns:a16="http://schemas.microsoft.com/office/drawing/2014/main" id="{61CFE5C7-1510-4314-AD36-E9A76DF1CA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2" name="TextBox 5">
          <a:extLst>
            <a:ext uri="{FF2B5EF4-FFF2-40B4-BE49-F238E27FC236}">
              <a16:creationId xmlns:a16="http://schemas.microsoft.com/office/drawing/2014/main" id="{52C865DF-1E00-4355-85F9-33EACB2ECC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3" name="TextBox 6">
          <a:extLst>
            <a:ext uri="{FF2B5EF4-FFF2-40B4-BE49-F238E27FC236}">
              <a16:creationId xmlns:a16="http://schemas.microsoft.com/office/drawing/2014/main" id="{D3DA55D2-E838-4631-933E-6B8E8CC56E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4" name="TextBox 7">
          <a:extLst>
            <a:ext uri="{FF2B5EF4-FFF2-40B4-BE49-F238E27FC236}">
              <a16:creationId xmlns:a16="http://schemas.microsoft.com/office/drawing/2014/main" id="{552FC5BB-6E1B-4A26-9A83-43BA0EB160C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5" name="TextBox 8">
          <a:extLst>
            <a:ext uri="{FF2B5EF4-FFF2-40B4-BE49-F238E27FC236}">
              <a16:creationId xmlns:a16="http://schemas.microsoft.com/office/drawing/2014/main" id="{B7055AA2-74D6-4B64-B2DA-AD2FA13415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6" name="TextBox 2">
          <a:extLst>
            <a:ext uri="{FF2B5EF4-FFF2-40B4-BE49-F238E27FC236}">
              <a16:creationId xmlns:a16="http://schemas.microsoft.com/office/drawing/2014/main" id="{EEC101D2-ADE6-40DC-B2AC-1628074339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7" name="TextBox 4">
          <a:extLst>
            <a:ext uri="{FF2B5EF4-FFF2-40B4-BE49-F238E27FC236}">
              <a16:creationId xmlns:a16="http://schemas.microsoft.com/office/drawing/2014/main" id="{8E53E60E-6835-4A6A-8FD3-C60B23B10B3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8" name="TextBox 5">
          <a:extLst>
            <a:ext uri="{FF2B5EF4-FFF2-40B4-BE49-F238E27FC236}">
              <a16:creationId xmlns:a16="http://schemas.microsoft.com/office/drawing/2014/main" id="{6B14E7A1-6DD9-4C27-B1F7-5E92F05D58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69" name="TextBox 6">
          <a:extLst>
            <a:ext uri="{FF2B5EF4-FFF2-40B4-BE49-F238E27FC236}">
              <a16:creationId xmlns:a16="http://schemas.microsoft.com/office/drawing/2014/main" id="{B3C46679-E69A-4502-B6AE-84FD5C34063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0" name="TextBox 7">
          <a:extLst>
            <a:ext uri="{FF2B5EF4-FFF2-40B4-BE49-F238E27FC236}">
              <a16:creationId xmlns:a16="http://schemas.microsoft.com/office/drawing/2014/main" id="{20D328F0-15DF-4A14-A583-F99437CF78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1" name="TextBox 8">
          <a:extLst>
            <a:ext uri="{FF2B5EF4-FFF2-40B4-BE49-F238E27FC236}">
              <a16:creationId xmlns:a16="http://schemas.microsoft.com/office/drawing/2014/main" id="{60654394-534D-4856-8C2A-424EA6F8C4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2" name="TextBox 2">
          <a:extLst>
            <a:ext uri="{FF2B5EF4-FFF2-40B4-BE49-F238E27FC236}">
              <a16:creationId xmlns:a16="http://schemas.microsoft.com/office/drawing/2014/main" id="{72BB427E-749D-48BA-BE88-3D778A29364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3" name="TextBox 4">
          <a:extLst>
            <a:ext uri="{FF2B5EF4-FFF2-40B4-BE49-F238E27FC236}">
              <a16:creationId xmlns:a16="http://schemas.microsoft.com/office/drawing/2014/main" id="{16E26B67-258B-45E6-89B8-CAB0C6F71B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4" name="TextBox 5">
          <a:extLst>
            <a:ext uri="{FF2B5EF4-FFF2-40B4-BE49-F238E27FC236}">
              <a16:creationId xmlns:a16="http://schemas.microsoft.com/office/drawing/2014/main" id="{8C73CEE7-33C5-4AA8-B977-CE86BAFF4B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5" name="TextBox 6">
          <a:extLst>
            <a:ext uri="{FF2B5EF4-FFF2-40B4-BE49-F238E27FC236}">
              <a16:creationId xmlns:a16="http://schemas.microsoft.com/office/drawing/2014/main" id="{C28DAF15-5AC2-41DD-968B-8FACAD7896F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6" name="TextBox 7">
          <a:extLst>
            <a:ext uri="{FF2B5EF4-FFF2-40B4-BE49-F238E27FC236}">
              <a16:creationId xmlns:a16="http://schemas.microsoft.com/office/drawing/2014/main" id="{682BEC7A-DE0D-4DDE-93CB-681B4AC65A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7" name="TextBox 8">
          <a:extLst>
            <a:ext uri="{FF2B5EF4-FFF2-40B4-BE49-F238E27FC236}">
              <a16:creationId xmlns:a16="http://schemas.microsoft.com/office/drawing/2014/main" id="{93127EDB-B6AD-43CB-8412-8610F0A8F6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8" name="TextBox 2">
          <a:extLst>
            <a:ext uri="{FF2B5EF4-FFF2-40B4-BE49-F238E27FC236}">
              <a16:creationId xmlns:a16="http://schemas.microsoft.com/office/drawing/2014/main" id="{AD7BFF72-C5BF-48E2-8FD5-46606F49BC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79" name="TextBox 4">
          <a:extLst>
            <a:ext uri="{FF2B5EF4-FFF2-40B4-BE49-F238E27FC236}">
              <a16:creationId xmlns:a16="http://schemas.microsoft.com/office/drawing/2014/main" id="{69C85F4D-360C-4D44-B7F8-6783467375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0" name="TextBox 5">
          <a:extLst>
            <a:ext uri="{FF2B5EF4-FFF2-40B4-BE49-F238E27FC236}">
              <a16:creationId xmlns:a16="http://schemas.microsoft.com/office/drawing/2014/main" id="{0E863C84-A113-4092-9262-F109411C1B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1" name="TextBox 6">
          <a:extLst>
            <a:ext uri="{FF2B5EF4-FFF2-40B4-BE49-F238E27FC236}">
              <a16:creationId xmlns:a16="http://schemas.microsoft.com/office/drawing/2014/main" id="{5A4ED9D0-E6C2-47E2-82AB-6AEC2A86AF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2" name="TextBox 7">
          <a:extLst>
            <a:ext uri="{FF2B5EF4-FFF2-40B4-BE49-F238E27FC236}">
              <a16:creationId xmlns:a16="http://schemas.microsoft.com/office/drawing/2014/main" id="{A7B635D4-BD1B-4838-AA8C-EEECF296ED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3" name="TextBox 8">
          <a:extLst>
            <a:ext uri="{FF2B5EF4-FFF2-40B4-BE49-F238E27FC236}">
              <a16:creationId xmlns:a16="http://schemas.microsoft.com/office/drawing/2014/main" id="{C8B4A2F9-E03C-49FA-ABDE-4C6FEFD382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4" name="TextBox 2">
          <a:extLst>
            <a:ext uri="{FF2B5EF4-FFF2-40B4-BE49-F238E27FC236}">
              <a16:creationId xmlns:a16="http://schemas.microsoft.com/office/drawing/2014/main" id="{EE6AFA6A-D870-4A9F-97D0-C066E49227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5" name="TextBox 4">
          <a:extLst>
            <a:ext uri="{FF2B5EF4-FFF2-40B4-BE49-F238E27FC236}">
              <a16:creationId xmlns:a16="http://schemas.microsoft.com/office/drawing/2014/main" id="{DB579ACA-05E2-4DF3-9204-EF9C5BDEF5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6" name="TextBox 5">
          <a:extLst>
            <a:ext uri="{FF2B5EF4-FFF2-40B4-BE49-F238E27FC236}">
              <a16:creationId xmlns:a16="http://schemas.microsoft.com/office/drawing/2014/main" id="{D9FB91E4-83BF-4440-B1E9-76BB53D55C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7" name="TextBox 6">
          <a:extLst>
            <a:ext uri="{FF2B5EF4-FFF2-40B4-BE49-F238E27FC236}">
              <a16:creationId xmlns:a16="http://schemas.microsoft.com/office/drawing/2014/main" id="{943A1EC6-0D30-48A5-8160-57F9B1C026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8" name="TextBox 7">
          <a:extLst>
            <a:ext uri="{FF2B5EF4-FFF2-40B4-BE49-F238E27FC236}">
              <a16:creationId xmlns:a16="http://schemas.microsoft.com/office/drawing/2014/main" id="{7D7BD384-5B39-4732-8D50-93AB080402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89" name="TextBox 8">
          <a:extLst>
            <a:ext uri="{FF2B5EF4-FFF2-40B4-BE49-F238E27FC236}">
              <a16:creationId xmlns:a16="http://schemas.microsoft.com/office/drawing/2014/main" id="{8DFBF934-D947-41F5-8B30-DC14101EF2F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0" name="TextBox 2">
          <a:extLst>
            <a:ext uri="{FF2B5EF4-FFF2-40B4-BE49-F238E27FC236}">
              <a16:creationId xmlns:a16="http://schemas.microsoft.com/office/drawing/2014/main" id="{EFBDEB45-265D-4E75-B193-F4EFABB8A4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1" name="TextBox 4">
          <a:extLst>
            <a:ext uri="{FF2B5EF4-FFF2-40B4-BE49-F238E27FC236}">
              <a16:creationId xmlns:a16="http://schemas.microsoft.com/office/drawing/2014/main" id="{029724C2-1681-4510-8B20-ED00C760AC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2" name="TextBox 5">
          <a:extLst>
            <a:ext uri="{FF2B5EF4-FFF2-40B4-BE49-F238E27FC236}">
              <a16:creationId xmlns:a16="http://schemas.microsoft.com/office/drawing/2014/main" id="{5C0B70B2-B6FA-4D23-AE43-1BDDB9CD31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3" name="TextBox 6">
          <a:extLst>
            <a:ext uri="{FF2B5EF4-FFF2-40B4-BE49-F238E27FC236}">
              <a16:creationId xmlns:a16="http://schemas.microsoft.com/office/drawing/2014/main" id="{044AB46C-F75E-4F48-BF61-0DFBAEB5DD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4" name="TextBox 7">
          <a:extLst>
            <a:ext uri="{FF2B5EF4-FFF2-40B4-BE49-F238E27FC236}">
              <a16:creationId xmlns:a16="http://schemas.microsoft.com/office/drawing/2014/main" id="{0988EAF9-49E3-4C8C-9E45-2ADF405EFE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5" name="TextBox 8">
          <a:extLst>
            <a:ext uri="{FF2B5EF4-FFF2-40B4-BE49-F238E27FC236}">
              <a16:creationId xmlns:a16="http://schemas.microsoft.com/office/drawing/2014/main" id="{36BAAC42-6826-4AC4-BBA7-555A36B177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6" name="TextBox 2">
          <a:extLst>
            <a:ext uri="{FF2B5EF4-FFF2-40B4-BE49-F238E27FC236}">
              <a16:creationId xmlns:a16="http://schemas.microsoft.com/office/drawing/2014/main" id="{36B06977-4639-4980-A6D0-D8ED8DD282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7" name="TextBox 4">
          <a:extLst>
            <a:ext uri="{FF2B5EF4-FFF2-40B4-BE49-F238E27FC236}">
              <a16:creationId xmlns:a16="http://schemas.microsoft.com/office/drawing/2014/main" id="{61676CEB-60DF-4D43-9A5C-691770F2CD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8" name="TextBox 5">
          <a:extLst>
            <a:ext uri="{FF2B5EF4-FFF2-40B4-BE49-F238E27FC236}">
              <a16:creationId xmlns:a16="http://schemas.microsoft.com/office/drawing/2014/main" id="{02B5B0D1-F38C-4349-A277-DFF3CDCF59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799" name="TextBox 6">
          <a:extLst>
            <a:ext uri="{FF2B5EF4-FFF2-40B4-BE49-F238E27FC236}">
              <a16:creationId xmlns:a16="http://schemas.microsoft.com/office/drawing/2014/main" id="{E9095464-9D52-498C-83BE-2B4071FA9DE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0" name="TextBox 7">
          <a:extLst>
            <a:ext uri="{FF2B5EF4-FFF2-40B4-BE49-F238E27FC236}">
              <a16:creationId xmlns:a16="http://schemas.microsoft.com/office/drawing/2014/main" id="{EE1E748A-FAF9-49D4-A65B-9EFE167A7B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1" name="TextBox 8">
          <a:extLst>
            <a:ext uri="{FF2B5EF4-FFF2-40B4-BE49-F238E27FC236}">
              <a16:creationId xmlns:a16="http://schemas.microsoft.com/office/drawing/2014/main" id="{571400C9-0E7F-42F4-8A3A-5E97FB9925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2" name="TextBox 2">
          <a:extLst>
            <a:ext uri="{FF2B5EF4-FFF2-40B4-BE49-F238E27FC236}">
              <a16:creationId xmlns:a16="http://schemas.microsoft.com/office/drawing/2014/main" id="{65209847-01CB-4ACF-9B59-938046EDC0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3" name="TextBox 4">
          <a:extLst>
            <a:ext uri="{FF2B5EF4-FFF2-40B4-BE49-F238E27FC236}">
              <a16:creationId xmlns:a16="http://schemas.microsoft.com/office/drawing/2014/main" id="{F17E3005-707D-472C-9B25-6C08AE6CA0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4" name="TextBox 5">
          <a:extLst>
            <a:ext uri="{FF2B5EF4-FFF2-40B4-BE49-F238E27FC236}">
              <a16:creationId xmlns:a16="http://schemas.microsoft.com/office/drawing/2014/main" id="{E3264796-EF83-46A7-A526-179EECF52F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5" name="TextBox 6">
          <a:extLst>
            <a:ext uri="{FF2B5EF4-FFF2-40B4-BE49-F238E27FC236}">
              <a16:creationId xmlns:a16="http://schemas.microsoft.com/office/drawing/2014/main" id="{14AAA2BD-3DC2-441F-8605-F095A8F3C3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6" name="TextBox 7">
          <a:extLst>
            <a:ext uri="{FF2B5EF4-FFF2-40B4-BE49-F238E27FC236}">
              <a16:creationId xmlns:a16="http://schemas.microsoft.com/office/drawing/2014/main" id="{7331CEA8-3B90-45B5-A242-12952E48999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7" name="TextBox 8">
          <a:extLst>
            <a:ext uri="{FF2B5EF4-FFF2-40B4-BE49-F238E27FC236}">
              <a16:creationId xmlns:a16="http://schemas.microsoft.com/office/drawing/2014/main" id="{B2FA775A-578B-4887-95F1-92F4FB7063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8" name="TextBox 2">
          <a:extLst>
            <a:ext uri="{FF2B5EF4-FFF2-40B4-BE49-F238E27FC236}">
              <a16:creationId xmlns:a16="http://schemas.microsoft.com/office/drawing/2014/main" id="{C1B325A0-0A69-4CEA-BF85-A06F997FD5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09" name="TextBox 4">
          <a:extLst>
            <a:ext uri="{FF2B5EF4-FFF2-40B4-BE49-F238E27FC236}">
              <a16:creationId xmlns:a16="http://schemas.microsoft.com/office/drawing/2014/main" id="{9C4312B1-4C2E-4910-9DA3-D3DE65C855D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0" name="TextBox 5">
          <a:extLst>
            <a:ext uri="{FF2B5EF4-FFF2-40B4-BE49-F238E27FC236}">
              <a16:creationId xmlns:a16="http://schemas.microsoft.com/office/drawing/2014/main" id="{CBEC3CE5-21F3-4C86-B73D-5F60D7B109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1" name="TextBox 6">
          <a:extLst>
            <a:ext uri="{FF2B5EF4-FFF2-40B4-BE49-F238E27FC236}">
              <a16:creationId xmlns:a16="http://schemas.microsoft.com/office/drawing/2014/main" id="{30B25866-D19E-492A-99B8-7397291778F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2" name="TextBox 7">
          <a:extLst>
            <a:ext uri="{FF2B5EF4-FFF2-40B4-BE49-F238E27FC236}">
              <a16:creationId xmlns:a16="http://schemas.microsoft.com/office/drawing/2014/main" id="{9F81E45C-0E9E-4F1C-9AB8-9AC30EFF1D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3" name="TextBox 8">
          <a:extLst>
            <a:ext uri="{FF2B5EF4-FFF2-40B4-BE49-F238E27FC236}">
              <a16:creationId xmlns:a16="http://schemas.microsoft.com/office/drawing/2014/main" id="{F7472E34-84A8-426B-8D5C-04870BD021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4" name="TextBox 2">
          <a:extLst>
            <a:ext uri="{FF2B5EF4-FFF2-40B4-BE49-F238E27FC236}">
              <a16:creationId xmlns:a16="http://schemas.microsoft.com/office/drawing/2014/main" id="{DF3B2CFD-2D37-434C-83E6-3EEA440B21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5" name="TextBox 4">
          <a:extLst>
            <a:ext uri="{FF2B5EF4-FFF2-40B4-BE49-F238E27FC236}">
              <a16:creationId xmlns:a16="http://schemas.microsoft.com/office/drawing/2014/main" id="{183F4124-0C1E-4482-8301-E1361B3AE7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6" name="TextBox 5">
          <a:extLst>
            <a:ext uri="{FF2B5EF4-FFF2-40B4-BE49-F238E27FC236}">
              <a16:creationId xmlns:a16="http://schemas.microsoft.com/office/drawing/2014/main" id="{58FA6A58-15C5-4692-B1EA-054B789190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7" name="TextBox 6">
          <a:extLst>
            <a:ext uri="{FF2B5EF4-FFF2-40B4-BE49-F238E27FC236}">
              <a16:creationId xmlns:a16="http://schemas.microsoft.com/office/drawing/2014/main" id="{CDDB84F6-CE4E-4C65-97FA-5AD40F9953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8" name="TextBox 7">
          <a:extLst>
            <a:ext uri="{FF2B5EF4-FFF2-40B4-BE49-F238E27FC236}">
              <a16:creationId xmlns:a16="http://schemas.microsoft.com/office/drawing/2014/main" id="{C02A8BFA-A682-4C7C-BB9D-E9300D32C8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19" name="TextBox 8">
          <a:extLst>
            <a:ext uri="{FF2B5EF4-FFF2-40B4-BE49-F238E27FC236}">
              <a16:creationId xmlns:a16="http://schemas.microsoft.com/office/drawing/2014/main" id="{9686FC80-C3BA-4C61-9269-0E0B093DDB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0" name="TextBox 2">
          <a:extLst>
            <a:ext uri="{FF2B5EF4-FFF2-40B4-BE49-F238E27FC236}">
              <a16:creationId xmlns:a16="http://schemas.microsoft.com/office/drawing/2014/main" id="{58F31129-F59E-4C58-8000-7BEAFAA254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1" name="TextBox 4">
          <a:extLst>
            <a:ext uri="{FF2B5EF4-FFF2-40B4-BE49-F238E27FC236}">
              <a16:creationId xmlns:a16="http://schemas.microsoft.com/office/drawing/2014/main" id="{F80FE0D6-66FB-4A23-B912-B6F41A451C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2" name="TextBox 5">
          <a:extLst>
            <a:ext uri="{FF2B5EF4-FFF2-40B4-BE49-F238E27FC236}">
              <a16:creationId xmlns:a16="http://schemas.microsoft.com/office/drawing/2014/main" id="{57D437ED-6605-4553-B9BC-C865D39DD3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3" name="TextBox 6">
          <a:extLst>
            <a:ext uri="{FF2B5EF4-FFF2-40B4-BE49-F238E27FC236}">
              <a16:creationId xmlns:a16="http://schemas.microsoft.com/office/drawing/2014/main" id="{FCB109C7-C887-46FF-81C4-D46B795AE1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4" name="TextBox 7">
          <a:extLst>
            <a:ext uri="{FF2B5EF4-FFF2-40B4-BE49-F238E27FC236}">
              <a16:creationId xmlns:a16="http://schemas.microsoft.com/office/drawing/2014/main" id="{172396C0-E45E-45B8-B832-7DB4528925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5" name="TextBox 8">
          <a:extLst>
            <a:ext uri="{FF2B5EF4-FFF2-40B4-BE49-F238E27FC236}">
              <a16:creationId xmlns:a16="http://schemas.microsoft.com/office/drawing/2014/main" id="{07BCDDF1-5145-48F4-A61B-5A15D40A21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6" name="TextBox 2">
          <a:extLst>
            <a:ext uri="{FF2B5EF4-FFF2-40B4-BE49-F238E27FC236}">
              <a16:creationId xmlns:a16="http://schemas.microsoft.com/office/drawing/2014/main" id="{7A26CDB4-494E-42EB-82F1-FFEA824EBE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7" name="TextBox 4">
          <a:extLst>
            <a:ext uri="{FF2B5EF4-FFF2-40B4-BE49-F238E27FC236}">
              <a16:creationId xmlns:a16="http://schemas.microsoft.com/office/drawing/2014/main" id="{43B0D63E-557F-4EA2-A7D6-71508B2E93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8" name="TextBox 5">
          <a:extLst>
            <a:ext uri="{FF2B5EF4-FFF2-40B4-BE49-F238E27FC236}">
              <a16:creationId xmlns:a16="http://schemas.microsoft.com/office/drawing/2014/main" id="{AD462205-0423-4ACA-B5FA-3B52ECEB67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29" name="TextBox 6">
          <a:extLst>
            <a:ext uri="{FF2B5EF4-FFF2-40B4-BE49-F238E27FC236}">
              <a16:creationId xmlns:a16="http://schemas.microsoft.com/office/drawing/2014/main" id="{480E4F08-6574-4BA9-92AF-A7787E0DE8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0" name="TextBox 7">
          <a:extLst>
            <a:ext uri="{FF2B5EF4-FFF2-40B4-BE49-F238E27FC236}">
              <a16:creationId xmlns:a16="http://schemas.microsoft.com/office/drawing/2014/main" id="{49A5985B-C3DA-442F-A985-F29A9DBE40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1" name="TextBox 8">
          <a:extLst>
            <a:ext uri="{FF2B5EF4-FFF2-40B4-BE49-F238E27FC236}">
              <a16:creationId xmlns:a16="http://schemas.microsoft.com/office/drawing/2014/main" id="{04E4F142-5982-4001-B5B7-49CE38CA2E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2" name="TextBox 2">
          <a:extLst>
            <a:ext uri="{FF2B5EF4-FFF2-40B4-BE49-F238E27FC236}">
              <a16:creationId xmlns:a16="http://schemas.microsoft.com/office/drawing/2014/main" id="{427DF2BE-2CF7-45EA-AD02-921BDD2614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3" name="TextBox 4">
          <a:extLst>
            <a:ext uri="{FF2B5EF4-FFF2-40B4-BE49-F238E27FC236}">
              <a16:creationId xmlns:a16="http://schemas.microsoft.com/office/drawing/2014/main" id="{8311B097-5E87-43CD-9318-2747630E1D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4" name="TextBox 5">
          <a:extLst>
            <a:ext uri="{FF2B5EF4-FFF2-40B4-BE49-F238E27FC236}">
              <a16:creationId xmlns:a16="http://schemas.microsoft.com/office/drawing/2014/main" id="{1BC48813-FDB3-487A-B508-98D91CF003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5" name="TextBox 6">
          <a:extLst>
            <a:ext uri="{FF2B5EF4-FFF2-40B4-BE49-F238E27FC236}">
              <a16:creationId xmlns:a16="http://schemas.microsoft.com/office/drawing/2014/main" id="{A5E6ACE8-1B2B-4E3C-9087-9CF1FFC462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6" name="TextBox 7">
          <a:extLst>
            <a:ext uri="{FF2B5EF4-FFF2-40B4-BE49-F238E27FC236}">
              <a16:creationId xmlns:a16="http://schemas.microsoft.com/office/drawing/2014/main" id="{378D6D73-2282-459A-B825-3A151D0B90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7" name="TextBox 8">
          <a:extLst>
            <a:ext uri="{FF2B5EF4-FFF2-40B4-BE49-F238E27FC236}">
              <a16:creationId xmlns:a16="http://schemas.microsoft.com/office/drawing/2014/main" id="{8A435634-647A-46B6-88C9-B2165692DB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8" name="TextBox 2">
          <a:extLst>
            <a:ext uri="{FF2B5EF4-FFF2-40B4-BE49-F238E27FC236}">
              <a16:creationId xmlns:a16="http://schemas.microsoft.com/office/drawing/2014/main" id="{70ED3965-70E9-491C-9906-43FE6B3EA2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39" name="TextBox 4">
          <a:extLst>
            <a:ext uri="{FF2B5EF4-FFF2-40B4-BE49-F238E27FC236}">
              <a16:creationId xmlns:a16="http://schemas.microsoft.com/office/drawing/2014/main" id="{D9FC96BC-D167-4D26-ACD8-3EE501642A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0" name="TextBox 5">
          <a:extLst>
            <a:ext uri="{FF2B5EF4-FFF2-40B4-BE49-F238E27FC236}">
              <a16:creationId xmlns:a16="http://schemas.microsoft.com/office/drawing/2014/main" id="{E76734AC-B9C7-4679-ABF8-98A314F7D2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1" name="TextBox 6">
          <a:extLst>
            <a:ext uri="{FF2B5EF4-FFF2-40B4-BE49-F238E27FC236}">
              <a16:creationId xmlns:a16="http://schemas.microsoft.com/office/drawing/2014/main" id="{F10F8317-7C9F-4676-9BE3-753EC825A4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2" name="TextBox 7">
          <a:extLst>
            <a:ext uri="{FF2B5EF4-FFF2-40B4-BE49-F238E27FC236}">
              <a16:creationId xmlns:a16="http://schemas.microsoft.com/office/drawing/2014/main" id="{3A0A537F-50FF-4315-9268-574E2E5406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3" name="TextBox 8">
          <a:extLst>
            <a:ext uri="{FF2B5EF4-FFF2-40B4-BE49-F238E27FC236}">
              <a16:creationId xmlns:a16="http://schemas.microsoft.com/office/drawing/2014/main" id="{03BC7795-1246-4E6B-9890-67D9103EE7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4" name="TextBox 2">
          <a:extLst>
            <a:ext uri="{FF2B5EF4-FFF2-40B4-BE49-F238E27FC236}">
              <a16:creationId xmlns:a16="http://schemas.microsoft.com/office/drawing/2014/main" id="{1DC9920D-271D-43EA-B2B0-DC2234C3A6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5" name="TextBox 4">
          <a:extLst>
            <a:ext uri="{FF2B5EF4-FFF2-40B4-BE49-F238E27FC236}">
              <a16:creationId xmlns:a16="http://schemas.microsoft.com/office/drawing/2014/main" id="{41643CA4-A00A-40CB-ACE5-4A8BB865FA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6" name="TextBox 5">
          <a:extLst>
            <a:ext uri="{FF2B5EF4-FFF2-40B4-BE49-F238E27FC236}">
              <a16:creationId xmlns:a16="http://schemas.microsoft.com/office/drawing/2014/main" id="{D2F359F4-66A2-4316-B768-9D733B7948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7" name="TextBox 6">
          <a:extLst>
            <a:ext uri="{FF2B5EF4-FFF2-40B4-BE49-F238E27FC236}">
              <a16:creationId xmlns:a16="http://schemas.microsoft.com/office/drawing/2014/main" id="{0D2B0BC2-26E4-4363-A5B3-1645769A3D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8" name="TextBox 7">
          <a:extLst>
            <a:ext uri="{FF2B5EF4-FFF2-40B4-BE49-F238E27FC236}">
              <a16:creationId xmlns:a16="http://schemas.microsoft.com/office/drawing/2014/main" id="{8BE25FAB-70E3-4C6C-869D-DC4C86DC9E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49" name="TextBox 8">
          <a:extLst>
            <a:ext uri="{FF2B5EF4-FFF2-40B4-BE49-F238E27FC236}">
              <a16:creationId xmlns:a16="http://schemas.microsoft.com/office/drawing/2014/main" id="{358AAAC1-E238-49BD-B83F-2CF012D8C2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0" name="TextBox 2">
          <a:extLst>
            <a:ext uri="{FF2B5EF4-FFF2-40B4-BE49-F238E27FC236}">
              <a16:creationId xmlns:a16="http://schemas.microsoft.com/office/drawing/2014/main" id="{384272BB-5343-4F75-AE44-99910AE793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1" name="TextBox 4">
          <a:extLst>
            <a:ext uri="{FF2B5EF4-FFF2-40B4-BE49-F238E27FC236}">
              <a16:creationId xmlns:a16="http://schemas.microsoft.com/office/drawing/2014/main" id="{EE8117F0-4474-452A-9DEA-F01B4E05C4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2" name="TextBox 5">
          <a:extLst>
            <a:ext uri="{FF2B5EF4-FFF2-40B4-BE49-F238E27FC236}">
              <a16:creationId xmlns:a16="http://schemas.microsoft.com/office/drawing/2014/main" id="{49B2D34B-C040-4A91-8FB5-961344D84E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3" name="TextBox 6">
          <a:extLst>
            <a:ext uri="{FF2B5EF4-FFF2-40B4-BE49-F238E27FC236}">
              <a16:creationId xmlns:a16="http://schemas.microsoft.com/office/drawing/2014/main" id="{7959BAA2-13EB-414F-B0DB-75BCC1E3AE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4" name="TextBox 7">
          <a:extLst>
            <a:ext uri="{FF2B5EF4-FFF2-40B4-BE49-F238E27FC236}">
              <a16:creationId xmlns:a16="http://schemas.microsoft.com/office/drawing/2014/main" id="{F60C3E12-0FF1-45E3-B07A-1FA6BA19D1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5" name="TextBox 8">
          <a:extLst>
            <a:ext uri="{FF2B5EF4-FFF2-40B4-BE49-F238E27FC236}">
              <a16:creationId xmlns:a16="http://schemas.microsoft.com/office/drawing/2014/main" id="{EB9733DA-7942-4BBD-A25D-98F55E5D9B2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6" name="TextBox 2">
          <a:extLst>
            <a:ext uri="{FF2B5EF4-FFF2-40B4-BE49-F238E27FC236}">
              <a16:creationId xmlns:a16="http://schemas.microsoft.com/office/drawing/2014/main" id="{271AFB93-0986-4288-B278-22277613B9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7" name="TextBox 4">
          <a:extLst>
            <a:ext uri="{FF2B5EF4-FFF2-40B4-BE49-F238E27FC236}">
              <a16:creationId xmlns:a16="http://schemas.microsoft.com/office/drawing/2014/main" id="{263D74DC-86D7-42AE-AF01-9A1A566D7E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8" name="TextBox 5">
          <a:extLst>
            <a:ext uri="{FF2B5EF4-FFF2-40B4-BE49-F238E27FC236}">
              <a16:creationId xmlns:a16="http://schemas.microsoft.com/office/drawing/2014/main" id="{2254ADE4-D8E1-44AE-963F-85D19BC57F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59" name="TextBox 6">
          <a:extLst>
            <a:ext uri="{FF2B5EF4-FFF2-40B4-BE49-F238E27FC236}">
              <a16:creationId xmlns:a16="http://schemas.microsoft.com/office/drawing/2014/main" id="{CF8E5E79-90E3-4406-90BD-9037276B0C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0" name="TextBox 7">
          <a:extLst>
            <a:ext uri="{FF2B5EF4-FFF2-40B4-BE49-F238E27FC236}">
              <a16:creationId xmlns:a16="http://schemas.microsoft.com/office/drawing/2014/main" id="{54C9969E-03BF-4555-A194-10C4315E8E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1" name="TextBox 8">
          <a:extLst>
            <a:ext uri="{FF2B5EF4-FFF2-40B4-BE49-F238E27FC236}">
              <a16:creationId xmlns:a16="http://schemas.microsoft.com/office/drawing/2014/main" id="{BFE6C341-B828-4B26-A4E1-E1E8260F72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2" name="TextBox 2">
          <a:extLst>
            <a:ext uri="{FF2B5EF4-FFF2-40B4-BE49-F238E27FC236}">
              <a16:creationId xmlns:a16="http://schemas.microsoft.com/office/drawing/2014/main" id="{7EAD7B07-52CC-40D4-8E5F-530CF51AA9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3" name="TextBox 4">
          <a:extLst>
            <a:ext uri="{FF2B5EF4-FFF2-40B4-BE49-F238E27FC236}">
              <a16:creationId xmlns:a16="http://schemas.microsoft.com/office/drawing/2014/main" id="{196FBAD3-561F-4050-B5B7-46C29DEB27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4" name="TextBox 5">
          <a:extLst>
            <a:ext uri="{FF2B5EF4-FFF2-40B4-BE49-F238E27FC236}">
              <a16:creationId xmlns:a16="http://schemas.microsoft.com/office/drawing/2014/main" id="{C5873B1A-BD64-4C58-B81B-BAFC9D116A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5" name="TextBox 6">
          <a:extLst>
            <a:ext uri="{FF2B5EF4-FFF2-40B4-BE49-F238E27FC236}">
              <a16:creationId xmlns:a16="http://schemas.microsoft.com/office/drawing/2014/main" id="{7954A5E7-BF66-4FC5-AD7D-19C730CA05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6" name="TextBox 7">
          <a:extLst>
            <a:ext uri="{FF2B5EF4-FFF2-40B4-BE49-F238E27FC236}">
              <a16:creationId xmlns:a16="http://schemas.microsoft.com/office/drawing/2014/main" id="{2CAD70FA-A96D-471A-991C-FE0205BCF8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7" name="TextBox 8">
          <a:extLst>
            <a:ext uri="{FF2B5EF4-FFF2-40B4-BE49-F238E27FC236}">
              <a16:creationId xmlns:a16="http://schemas.microsoft.com/office/drawing/2014/main" id="{C4ABB02A-D4EF-4B6C-9EE6-4EC29EAED9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8" name="TextBox 2">
          <a:extLst>
            <a:ext uri="{FF2B5EF4-FFF2-40B4-BE49-F238E27FC236}">
              <a16:creationId xmlns:a16="http://schemas.microsoft.com/office/drawing/2014/main" id="{6D912ADA-A2E9-4E3F-9678-E6763597C8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69" name="TextBox 4">
          <a:extLst>
            <a:ext uri="{FF2B5EF4-FFF2-40B4-BE49-F238E27FC236}">
              <a16:creationId xmlns:a16="http://schemas.microsoft.com/office/drawing/2014/main" id="{88D59F90-1FE7-4E87-A7E7-4D83B52754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0" name="TextBox 5">
          <a:extLst>
            <a:ext uri="{FF2B5EF4-FFF2-40B4-BE49-F238E27FC236}">
              <a16:creationId xmlns:a16="http://schemas.microsoft.com/office/drawing/2014/main" id="{3D6D0368-52AB-460A-87C8-C4F034E7FC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1" name="TextBox 6">
          <a:extLst>
            <a:ext uri="{FF2B5EF4-FFF2-40B4-BE49-F238E27FC236}">
              <a16:creationId xmlns:a16="http://schemas.microsoft.com/office/drawing/2014/main" id="{B90F4246-78E2-49E3-B00D-882119E019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2" name="TextBox 7">
          <a:extLst>
            <a:ext uri="{FF2B5EF4-FFF2-40B4-BE49-F238E27FC236}">
              <a16:creationId xmlns:a16="http://schemas.microsoft.com/office/drawing/2014/main" id="{BD3EF82A-3F03-47EA-90B5-C12177039B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3" name="TextBox 8">
          <a:extLst>
            <a:ext uri="{FF2B5EF4-FFF2-40B4-BE49-F238E27FC236}">
              <a16:creationId xmlns:a16="http://schemas.microsoft.com/office/drawing/2014/main" id="{7036CBB2-A1F8-4722-89AE-2AC67EEA74D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4" name="TextBox 2">
          <a:extLst>
            <a:ext uri="{FF2B5EF4-FFF2-40B4-BE49-F238E27FC236}">
              <a16:creationId xmlns:a16="http://schemas.microsoft.com/office/drawing/2014/main" id="{2C183A8C-0E40-477E-937B-B6272BE8CF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5" name="TextBox 4">
          <a:extLst>
            <a:ext uri="{FF2B5EF4-FFF2-40B4-BE49-F238E27FC236}">
              <a16:creationId xmlns:a16="http://schemas.microsoft.com/office/drawing/2014/main" id="{77525628-CAAC-48D4-8EC7-8CCCA34DF0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6" name="TextBox 5">
          <a:extLst>
            <a:ext uri="{FF2B5EF4-FFF2-40B4-BE49-F238E27FC236}">
              <a16:creationId xmlns:a16="http://schemas.microsoft.com/office/drawing/2014/main" id="{2F22D31F-E6F8-4CCD-AB86-FBF87F2D54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7" name="TextBox 6">
          <a:extLst>
            <a:ext uri="{FF2B5EF4-FFF2-40B4-BE49-F238E27FC236}">
              <a16:creationId xmlns:a16="http://schemas.microsoft.com/office/drawing/2014/main" id="{FB435FA0-42C0-4F46-AF10-325D7EDF10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8" name="TextBox 7">
          <a:extLst>
            <a:ext uri="{FF2B5EF4-FFF2-40B4-BE49-F238E27FC236}">
              <a16:creationId xmlns:a16="http://schemas.microsoft.com/office/drawing/2014/main" id="{D5369468-55AD-4E72-A330-6B106C322C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79" name="TextBox 8">
          <a:extLst>
            <a:ext uri="{FF2B5EF4-FFF2-40B4-BE49-F238E27FC236}">
              <a16:creationId xmlns:a16="http://schemas.microsoft.com/office/drawing/2014/main" id="{7FF661D5-2AE9-486D-AEF9-15FBC6E487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0" name="TextBox 2">
          <a:extLst>
            <a:ext uri="{FF2B5EF4-FFF2-40B4-BE49-F238E27FC236}">
              <a16:creationId xmlns:a16="http://schemas.microsoft.com/office/drawing/2014/main" id="{C66075A4-D940-4C9A-9A72-2F3A66E6BD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1" name="TextBox 4">
          <a:extLst>
            <a:ext uri="{FF2B5EF4-FFF2-40B4-BE49-F238E27FC236}">
              <a16:creationId xmlns:a16="http://schemas.microsoft.com/office/drawing/2014/main" id="{E8691BFB-0892-48D3-8D94-30752F2D21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2" name="TextBox 5">
          <a:extLst>
            <a:ext uri="{FF2B5EF4-FFF2-40B4-BE49-F238E27FC236}">
              <a16:creationId xmlns:a16="http://schemas.microsoft.com/office/drawing/2014/main" id="{33F33AD7-71BC-4255-9980-F410E5AA0E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3" name="TextBox 6">
          <a:extLst>
            <a:ext uri="{FF2B5EF4-FFF2-40B4-BE49-F238E27FC236}">
              <a16:creationId xmlns:a16="http://schemas.microsoft.com/office/drawing/2014/main" id="{17978568-BEA4-4B07-9AEE-37B1C0D60A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4" name="TextBox 7">
          <a:extLst>
            <a:ext uri="{FF2B5EF4-FFF2-40B4-BE49-F238E27FC236}">
              <a16:creationId xmlns:a16="http://schemas.microsoft.com/office/drawing/2014/main" id="{E140D2B7-C3D2-451F-8C5F-ECD9980715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5" name="TextBox 8">
          <a:extLst>
            <a:ext uri="{FF2B5EF4-FFF2-40B4-BE49-F238E27FC236}">
              <a16:creationId xmlns:a16="http://schemas.microsoft.com/office/drawing/2014/main" id="{AC6CC49E-E6B8-4B2A-859A-8A5E30528C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6" name="TextBox 2">
          <a:extLst>
            <a:ext uri="{FF2B5EF4-FFF2-40B4-BE49-F238E27FC236}">
              <a16:creationId xmlns:a16="http://schemas.microsoft.com/office/drawing/2014/main" id="{7E3D6F9D-35D2-4706-B7BB-46B442DFCC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7" name="TextBox 4">
          <a:extLst>
            <a:ext uri="{FF2B5EF4-FFF2-40B4-BE49-F238E27FC236}">
              <a16:creationId xmlns:a16="http://schemas.microsoft.com/office/drawing/2014/main" id="{74605D4A-EFE0-4046-98D8-FA08A3FE58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8" name="TextBox 5">
          <a:extLst>
            <a:ext uri="{FF2B5EF4-FFF2-40B4-BE49-F238E27FC236}">
              <a16:creationId xmlns:a16="http://schemas.microsoft.com/office/drawing/2014/main" id="{AA1523AB-69D8-4BF6-8F10-0B77ED69FA2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89" name="TextBox 6">
          <a:extLst>
            <a:ext uri="{FF2B5EF4-FFF2-40B4-BE49-F238E27FC236}">
              <a16:creationId xmlns:a16="http://schemas.microsoft.com/office/drawing/2014/main" id="{43493A5E-F6F5-409E-A72B-F50DF60841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0" name="TextBox 7">
          <a:extLst>
            <a:ext uri="{FF2B5EF4-FFF2-40B4-BE49-F238E27FC236}">
              <a16:creationId xmlns:a16="http://schemas.microsoft.com/office/drawing/2014/main" id="{5B2FD901-E1D0-4CBB-92E9-8EE48F854A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1" name="TextBox 8">
          <a:extLst>
            <a:ext uri="{FF2B5EF4-FFF2-40B4-BE49-F238E27FC236}">
              <a16:creationId xmlns:a16="http://schemas.microsoft.com/office/drawing/2014/main" id="{9041504D-2063-4231-894A-4050976E63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2" name="TextBox 2">
          <a:extLst>
            <a:ext uri="{FF2B5EF4-FFF2-40B4-BE49-F238E27FC236}">
              <a16:creationId xmlns:a16="http://schemas.microsoft.com/office/drawing/2014/main" id="{48952A0E-6CDB-4810-8589-7E3179E7FE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3" name="TextBox 4">
          <a:extLst>
            <a:ext uri="{FF2B5EF4-FFF2-40B4-BE49-F238E27FC236}">
              <a16:creationId xmlns:a16="http://schemas.microsoft.com/office/drawing/2014/main" id="{A136948A-C6FE-4EEF-83AC-F0E4BB89AD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4" name="TextBox 5">
          <a:extLst>
            <a:ext uri="{FF2B5EF4-FFF2-40B4-BE49-F238E27FC236}">
              <a16:creationId xmlns:a16="http://schemas.microsoft.com/office/drawing/2014/main" id="{80CFC4DE-49C6-42A3-B752-3B5575E54A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5" name="TextBox 6">
          <a:extLst>
            <a:ext uri="{FF2B5EF4-FFF2-40B4-BE49-F238E27FC236}">
              <a16:creationId xmlns:a16="http://schemas.microsoft.com/office/drawing/2014/main" id="{F858E0C7-75BF-41CA-BB72-C654CF667C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6" name="TextBox 7">
          <a:extLst>
            <a:ext uri="{FF2B5EF4-FFF2-40B4-BE49-F238E27FC236}">
              <a16:creationId xmlns:a16="http://schemas.microsoft.com/office/drawing/2014/main" id="{91975769-B0EB-492A-A2D5-2F90DC4440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7" name="TextBox 8">
          <a:extLst>
            <a:ext uri="{FF2B5EF4-FFF2-40B4-BE49-F238E27FC236}">
              <a16:creationId xmlns:a16="http://schemas.microsoft.com/office/drawing/2014/main" id="{C1EDA6BB-25BA-44CD-8938-9A54FD2358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8" name="TextBox 2">
          <a:extLst>
            <a:ext uri="{FF2B5EF4-FFF2-40B4-BE49-F238E27FC236}">
              <a16:creationId xmlns:a16="http://schemas.microsoft.com/office/drawing/2014/main" id="{6DB7DCF7-D755-4558-9D78-60EC232B84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899" name="TextBox 4">
          <a:extLst>
            <a:ext uri="{FF2B5EF4-FFF2-40B4-BE49-F238E27FC236}">
              <a16:creationId xmlns:a16="http://schemas.microsoft.com/office/drawing/2014/main" id="{39F285F7-8BD2-4B26-AC60-8AFF7D0B0B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0" name="TextBox 5">
          <a:extLst>
            <a:ext uri="{FF2B5EF4-FFF2-40B4-BE49-F238E27FC236}">
              <a16:creationId xmlns:a16="http://schemas.microsoft.com/office/drawing/2014/main" id="{47C96EDA-AFE2-4637-BD35-61669DC68A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1" name="TextBox 6">
          <a:extLst>
            <a:ext uri="{FF2B5EF4-FFF2-40B4-BE49-F238E27FC236}">
              <a16:creationId xmlns:a16="http://schemas.microsoft.com/office/drawing/2014/main" id="{1A1DA306-A80F-4E20-B2D3-0A4B456BC6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2" name="TextBox 7">
          <a:extLst>
            <a:ext uri="{FF2B5EF4-FFF2-40B4-BE49-F238E27FC236}">
              <a16:creationId xmlns:a16="http://schemas.microsoft.com/office/drawing/2014/main" id="{2D94DB49-0482-4661-92F6-F01E56DE22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3" name="TextBox 8">
          <a:extLst>
            <a:ext uri="{FF2B5EF4-FFF2-40B4-BE49-F238E27FC236}">
              <a16:creationId xmlns:a16="http://schemas.microsoft.com/office/drawing/2014/main" id="{BF45CBEE-C9F3-4FAD-9921-FAB88A09B2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4" name="TextBox 2">
          <a:extLst>
            <a:ext uri="{FF2B5EF4-FFF2-40B4-BE49-F238E27FC236}">
              <a16:creationId xmlns:a16="http://schemas.microsoft.com/office/drawing/2014/main" id="{A60AFB1F-1EBD-41A8-952A-88CE6CC493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5" name="TextBox 4">
          <a:extLst>
            <a:ext uri="{FF2B5EF4-FFF2-40B4-BE49-F238E27FC236}">
              <a16:creationId xmlns:a16="http://schemas.microsoft.com/office/drawing/2014/main" id="{335A0157-45B4-441F-8E39-F9C334849E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6" name="TextBox 5">
          <a:extLst>
            <a:ext uri="{FF2B5EF4-FFF2-40B4-BE49-F238E27FC236}">
              <a16:creationId xmlns:a16="http://schemas.microsoft.com/office/drawing/2014/main" id="{9E0884D8-DFDF-4591-ABD0-8BB6180862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7" name="TextBox 6">
          <a:extLst>
            <a:ext uri="{FF2B5EF4-FFF2-40B4-BE49-F238E27FC236}">
              <a16:creationId xmlns:a16="http://schemas.microsoft.com/office/drawing/2014/main" id="{8568743A-9B9E-4C89-96C2-9362618B9E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8" name="TextBox 7">
          <a:extLst>
            <a:ext uri="{FF2B5EF4-FFF2-40B4-BE49-F238E27FC236}">
              <a16:creationId xmlns:a16="http://schemas.microsoft.com/office/drawing/2014/main" id="{29D4CD0F-B6D3-45D8-8D85-330D24A115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09" name="TextBox 8">
          <a:extLst>
            <a:ext uri="{FF2B5EF4-FFF2-40B4-BE49-F238E27FC236}">
              <a16:creationId xmlns:a16="http://schemas.microsoft.com/office/drawing/2014/main" id="{B0D1CAF9-625D-4D08-993D-8B725F7900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0" name="TextBox 2">
          <a:extLst>
            <a:ext uri="{FF2B5EF4-FFF2-40B4-BE49-F238E27FC236}">
              <a16:creationId xmlns:a16="http://schemas.microsoft.com/office/drawing/2014/main" id="{5099F832-8E0E-4E98-AB60-1013A57C5F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1" name="TextBox 4">
          <a:extLst>
            <a:ext uri="{FF2B5EF4-FFF2-40B4-BE49-F238E27FC236}">
              <a16:creationId xmlns:a16="http://schemas.microsoft.com/office/drawing/2014/main" id="{A11B1247-B251-45D1-BE1A-F380B1D0B9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2" name="TextBox 5">
          <a:extLst>
            <a:ext uri="{FF2B5EF4-FFF2-40B4-BE49-F238E27FC236}">
              <a16:creationId xmlns:a16="http://schemas.microsoft.com/office/drawing/2014/main" id="{82D2E131-B74D-4E55-8BD3-0BBC9E57A8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3" name="TextBox 6">
          <a:extLst>
            <a:ext uri="{FF2B5EF4-FFF2-40B4-BE49-F238E27FC236}">
              <a16:creationId xmlns:a16="http://schemas.microsoft.com/office/drawing/2014/main" id="{52DCBF3D-0709-4FDA-B54D-B0367CF457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4" name="TextBox 7">
          <a:extLst>
            <a:ext uri="{FF2B5EF4-FFF2-40B4-BE49-F238E27FC236}">
              <a16:creationId xmlns:a16="http://schemas.microsoft.com/office/drawing/2014/main" id="{A0B1D943-27B7-446B-81F7-F27978DD21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5" name="TextBox 8">
          <a:extLst>
            <a:ext uri="{FF2B5EF4-FFF2-40B4-BE49-F238E27FC236}">
              <a16:creationId xmlns:a16="http://schemas.microsoft.com/office/drawing/2014/main" id="{8E9E50D1-9E9F-455F-89BA-32F6B983E4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6" name="TextBox 2">
          <a:extLst>
            <a:ext uri="{FF2B5EF4-FFF2-40B4-BE49-F238E27FC236}">
              <a16:creationId xmlns:a16="http://schemas.microsoft.com/office/drawing/2014/main" id="{337FA983-1917-40EB-B068-49611B585D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7" name="TextBox 4">
          <a:extLst>
            <a:ext uri="{FF2B5EF4-FFF2-40B4-BE49-F238E27FC236}">
              <a16:creationId xmlns:a16="http://schemas.microsoft.com/office/drawing/2014/main" id="{F0154789-8CAC-44ED-B0BA-BC5BF67670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8" name="TextBox 5">
          <a:extLst>
            <a:ext uri="{FF2B5EF4-FFF2-40B4-BE49-F238E27FC236}">
              <a16:creationId xmlns:a16="http://schemas.microsoft.com/office/drawing/2014/main" id="{94B9044E-BE29-43AC-BEFA-1D1350232D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19" name="TextBox 6">
          <a:extLst>
            <a:ext uri="{FF2B5EF4-FFF2-40B4-BE49-F238E27FC236}">
              <a16:creationId xmlns:a16="http://schemas.microsoft.com/office/drawing/2014/main" id="{D3D37855-A83D-4AC5-BACD-6D0AE02904F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0" name="TextBox 7">
          <a:extLst>
            <a:ext uri="{FF2B5EF4-FFF2-40B4-BE49-F238E27FC236}">
              <a16:creationId xmlns:a16="http://schemas.microsoft.com/office/drawing/2014/main" id="{33713C53-EEFE-48B9-9DB9-FD93E23B3E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1" name="TextBox 8">
          <a:extLst>
            <a:ext uri="{FF2B5EF4-FFF2-40B4-BE49-F238E27FC236}">
              <a16:creationId xmlns:a16="http://schemas.microsoft.com/office/drawing/2014/main" id="{7D618986-C00E-4743-85A0-0F41BA07B98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2" name="TextBox 2">
          <a:extLst>
            <a:ext uri="{FF2B5EF4-FFF2-40B4-BE49-F238E27FC236}">
              <a16:creationId xmlns:a16="http://schemas.microsoft.com/office/drawing/2014/main" id="{7962C5BD-5509-41DA-9EDD-4C2955AA81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3" name="TextBox 4">
          <a:extLst>
            <a:ext uri="{FF2B5EF4-FFF2-40B4-BE49-F238E27FC236}">
              <a16:creationId xmlns:a16="http://schemas.microsoft.com/office/drawing/2014/main" id="{E5C0EC34-1396-4721-8761-5EEFB3F034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4" name="TextBox 5">
          <a:extLst>
            <a:ext uri="{FF2B5EF4-FFF2-40B4-BE49-F238E27FC236}">
              <a16:creationId xmlns:a16="http://schemas.microsoft.com/office/drawing/2014/main" id="{8EBB8CDE-48A7-4B15-A385-64769B6F6C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5" name="TextBox 6">
          <a:extLst>
            <a:ext uri="{FF2B5EF4-FFF2-40B4-BE49-F238E27FC236}">
              <a16:creationId xmlns:a16="http://schemas.microsoft.com/office/drawing/2014/main" id="{8DBD81F3-D9CE-46CD-A31A-EB347CB619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6" name="TextBox 7">
          <a:extLst>
            <a:ext uri="{FF2B5EF4-FFF2-40B4-BE49-F238E27FC236}">
              <a16:creationId xmlns:a16="http://schemas.microsoft.com/office/drawing/2014/main" id="{2F6937AF-8A7F-4973-BF6C-73B9F5162E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7" name="TextBox 8">
          <a:extLst>
            <a:ext uri="{FF2B5EF4-FFF2-40B4-BE49-F238E27FC236}">
              <a16:creationId xmlns:a16="http://schemas.microsoft.com/office/drawing/2014/main" id="{76A57F6C-1630-4B10-A514-6218EFBB2E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8" name="TextBox 2">
          <a:extLst>
            <a:ext uri="{FF2B5EF4-FFF2-40B4-BE49-F238E27FC236}">
              <a16:creationId xmlns:a16="http://schemas.microsoft.com/office/drawing/2014/main" id="{617D6A17-90F9-4367-9765-FDE56611DD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29" name="TextBox 4">
          <a:extLst>
            <a:ext uri="{FF2B5EF4-FFF2-40B4-BE49-F238E27FC236}">
              <a16:creationId xmlns:a16="http://schemas.microsoft.com/office/drawing/2014/main" id="{9E055F07-43A7-46C7-8440-0201417232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0" name="TextBox 5">
          <a:extLst>
            <a:ext uri="{FF2B5EF4-FFF2-40B4-BE49-F238E27FC236}">
              <a16:creationId xmlns:a16="http://schemas.microsoft.com/office/drawing/2014/main" id="{C3179F39-BF75-4D51-934B-82E9E89447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1" name="TextBox 6">
          <a:extLst>
            <a:ext uri="{FF2B5EF4-FFF2-40B4-BE49-F238E27FC236}">
              <a16:creationId xmlns:a16="http://schemas.microsoft.com/office/drawing/2014/main" id="{9489C391-EEC9-44FF-B0EB-8CFA8257E1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2" name="TextBox 7">
          <a:extLst>
            <a:ext uri="{FF2B5EF4-FFF2-40B4-BE49-F238E27FC236}">
              <a16:creationId xmlns:a16="http://schemas.microsoft.com/office/drawing/2014/main" id="{E5E8A96A-7B13-45BA-822C-686D47C797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3" name="TextBox 8">
          <a:extLst>
            <a:ext uri="{FF2B5EF4-FFF2-40B4-BE49-F238E27FC236}">
              <a16:creationId xmlns:a16="http://schemas.microsoft.com/office/drawing/2014/main" id="{366691F1-17C2-44C5-A403-FF8E989FF6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4" name="TextBox 2">
          <a:extLst>
            <a:ext uri="{FF2B5EF4-FFF2-40B4-BE49-F238E27FC236}">
              <a16:creationId xmlns:a16="http://schemas.microsoft.com/office/drawing/2014/main" id="{1EC96837-F612-49B0-92E2-AF76A6C394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5" name="TextBox 4">
          <a:extLst>
            <a:ext uri="{FF2B5EF4-FFF2-40B4-BE49-F238E27FC236}">
              <a16:creationId xmlns:a16="http://schemas.microsoft.com/office/drawing/2014/main" id="{7394B78C-ED8A-4A9A-8579-4329ACDEFF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6" name="TextBox 5">
          <a:extLst>
            <a:ext uri="{FF2B5EF4-FFF2-40B4-BE49-F238E27FC236}">
              <a16:creationId xmlns:a16="http://schemas.microsoft.com/office/drawing/2014/main" id="{8F927378-2E3F-4342-83BF-1EE3817F54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7" name="TextBox 6">
          <a:extLst>
            <a:ext uri="{FF2B5EF4-FFF2-40B4-BE49-F238E27FC236}">
              <a16:creationId xmlns:a16="http://schemas.microsoft.com/office/drawing/2014/main" id="{7D46E5E8-6EF2-408A-8278-3A6096F530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8" name="TextBox 7">
          <a:extLst>
            <a:ext uri="{FF2B5EF4-FFF2-40B4-BE49-F238E27FC236}">
              <a16:creationId xmlns:a16="http://schemas.microsoft.com/office/drawing/2014/main" id="{168CAEE7-09C4-4627-AC81-0B5B2372B1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39" name="TextBox 8">
          <a:extLst>
            <a:ext uri="{FF2B5EF4-FFF2-40B4-BE49-F238E27FC236}">
              <a16:creationId xmlns:a16="http://schemas.microsoft.com/office/drawing/2014/main" id="{52CE1353-0828-430A-A670-E48D2A6FA7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0" name="TextBox 2">
          <a:extLst>
            <a:ext uri="{FF2B5EF4-FFF2-40B4-BE49-F238E27FC236}">
              <a16:creationId xmlns:a16="http://schemas.microsoft.com/office/drawing/2014/main" id="{BD1703D7-8C77-4DDE-A002-3BA50A00EDA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1" name="TextBox 4">
          <a:extLst>
            <a:ext uri="{FF2B5EF4-FFF2-40B4-BE49-F238E27FC236}">
              <a16:creationId xmlns:a16="http://schemas.microsoft.com/office/drawing/2014/main" id="{CD5EBF32-0F09-47A0-980A-8764FAF7AF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2" name="TextBox 5">
          <a:extLst>
            <a:ext uri="{FF2B5EF4-FFF2-40B4-BE49-F238E27FC236}">
              <a16:creationId xmlns:a16="http://schemas.microsoft.com/office/drawing/2014/main" id="{BF73347D-B700-4964-946E-3304F19C64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3" name="TextBox 6">
          <a:extLst>
            <a:ext uri="{FF2B5EF4-FFF2-40B4-BE49-F238E27FC236}">
              <a16:creationId xmlns:a16="http://schemas.microsoft.com/office/drawing/2014/main" id="{50646DF1-1F92-4893-AF6B-5CFD57D6A5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4" name="TextBox 7">
          <a:extLst>
            <a:ext uri="{FF2B5EF4-FFF2-40B4-BE49-F238E27FC236}">
              <a16:creationId xmlns:a16="http://schemas.microsoft.com/office/drawing/2014/main" id="{FBFD0249-0F56-4378-A4A5-84C184B250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5" name="TextBox 8">
          <a:extLst>
            <a:ext uri="{FF2B5EF4-FFF2-40B4-BE49-F238E27FC236}">
              <a16:creationId xmlns:a16="http://schemas.microsoft.com/office/drawing/2014/main" id="{2E73FD48-C4AD-4708-9CB6-1DCAEE5E6D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6" name="TextBox 2">
          <a:extLst>
            <a:ext uri="{FF2B5EF4-FFF2-40B4-BE49-F238E27FC236}">
              <a16:creationId xmlns:a16="http://schemas.microsoft.com/office/drawing/2014/main" id="{6BF004E6-5A50-43E5-9125-FA27367983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7" name="TextBox 4">
          <a:extLst>
            <a:ext uri="{FF2B5EF4-FFF2-40B4-BE49-F238E27FC236}">
              <a16:creationId xmlns:a16="http://schemas.microsoft.com/office/drawing/2014/main" id="{E8230270-BB2E-47FB-A8DE-73C504518B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8" name="TextBox 5">
          <a:extLst>
            <a:ext uri="{FF2B5EF4-FFF2-40B4-BE49-F238E27FC236}">
              <a16:creationId xmlns:a16="http://schemas.microsoft.com/office/drawing/2014/main" id="{02C04253-1A82-40A3-A25E-0302D58B78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49" name="TextBox 6">
          <a:extLst>
            <a:ext uri="{FF2B5EF4-FFF2-40B4-BE49-F238E27FC236}">
              <a16:creationId xmlns:a16="http://schemas.microsoft.com/office/drawing/2014/main" id="{162A7FAF-826D-4D62-8F37-ABA977563B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0" name="TextBox 7">
          <a:extLst>
            <a:ext uri="{FF2B5EF4-FFF2-40B4-BE49-F238E27FC236}">
              <a16:creationId xmlns:a16="http://schemas.microsoft.com/office/drawing/2014/main" id="{A4DEA218-669B-436E-91CF-4A5BF49C95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1" name="TextBox 8">
          <a:extLst>
            <a:ext uri="{FF2B5EF4-FFF2-40B4-BE49-F238E27FC236}">
              <a16:creationId xmlns:a16="http://schemas.microsoft.com/office/drawing/2014/main" id="{62DA7F91-F100-4470-9889-EFA62784D8C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2" name="TextBox 2">
          <a:extLst>
            <a:ext uri="{FF2B5EF4-FFF2-40B4-BE49-F238E27FC236}">
              <a16:creationId xmlns:a16="http://schemas.microsoft.com/office/drawing/2014/main" id="{B215E29A-40BF-47D2-81C1-915C1B1E91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3" name="TextBox 4">
          <a:extLst>
            <a:ext uri="{FF2B5EF4-FFF2-40B4-BE49-F238E27FC236}">
              <a16:creationId xmlns:a16="http://schemas.microsoft.com/office/drawing/2014/main" id="{07FAEB00-2CCA-488D-94C5-31C8AA3CEB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4" name="TextBox 5">
          <a:extLst>
            <a:ext uri="{FF2B5EF4-FFF2-40B4-BE49-F238E27FC236}">
              <a16:creationId xmlns:a16="http://schemas.microsoft.com/office/drawing/2014/main" id="{09CAB734-7AFA-4711-83C2-1376B8043B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5" name="TextBox 6">
          <a:extLst>
            <a:ext uri="{FF2B5EF4-FFF2-40B4-BE49-F238E27FC236}">
              <a16:creationId xmlns:a16="http://schemas.microsoft.com/office/drawing/2014/main" id="{F31EB341-ACCA-4A44-963F-A45F0FD17C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6" name="TextBox 7">
          <a:extLst>
            <a:ext uri="{FF2B5EF4-FFF2-40B4-BE49-F238E27FC236}">
              <a16:creationId xmlns:a16="http://schemas.microsoft.com/office/drawing/2014/main" id="{35F10E84-5AB5-47FC-AA5F-08D0CB02657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7" name="TextBox 8">
          <a:extLst>
            <a:ext uri="{FF2B5EF4-FFF2-40B4-BE49-F238E27FC236}">
              <a16:creationId xmlns:a16="http://schemas.microsoft.com/office/drawing/2014/main" id="{9EE41693-3899-42CD-B39B-849378D0B8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8" name="TextBox 2">
          <a:extLst>
            <a:ext uri="{FF2B5EF4-FFF2-40B4-BE49-F238E27FC236}">
              <a16:creationId xmlns:a16="http://schemas.microsoft.com/office/drawing/2014/main" id="{449338FC-ECA6-4E6C-92FE-2F73196912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59" name="TextBox 4">
          <a:extLst>
            <a:ext uri="{FF2B5EF4-FFF2-40B4-BE49-F238E27FC236}">
              <a16:creationId xmlns:a16="http://schemas.microsoft.com/office/drawing/2014/main" id="{CC1C2219-307F-470B-82B8-D50FDB4241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0" name="TextBox 5">
          <a:extLst>
            <a:ext uri="{FF2B5EF4-FFF2-40B4-BE49-F238E27FC236}">
              <a16:creationId xmlns:a16="http://schemas.microsoft.com/office/drawing/2014/main" id="{CD3848E5-DF96-4A8D-8CF1-856EA875E7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1" name="TextBox 6">
          <a:extLst>
            <a:ext uri="{FF2B5EF4-FFF2-40B4-BE49-F238E27FC236}">
              <a16:creationId xmlns:a16="http://schemas.microsoft.com/office/drawing/2014/main" id="{3081E049-3ADA-4EF2-B229-6697C309A3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2" name="TextBox 7">
          <a:extLst>
            <a:ext uri="{FF2B5EF4-FFF2-40B4-BE49-F238E27FC236}">
              <a16:creationId xmlns:a16="http://schemas.microsoft.com/office/drawing/2014/main" id="{E8D4AF72-1E5D-4429-A325-3D5682DBEA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3" name="TextBox 8">
          <a:extLst>
            <a:ext uri="{FF2B5EF4-FFF2-40B4-BE49-F238E27FC236}">
              <a16:creationId xmlns:a16="http://schemas.microsoft.com/office/drawing/2014/main" id="{7A614257-A802-48EB-9DC5-63B3300740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4" name="TextBox 2">
          <a:extLst>
            <a:ext uri="{FF2B5EF4-FFF2-40B4-BE49-F238E27FC236}">
              <a16:creationId xmlns:a16="http://schemas.microsoft.com/office/drawing/2014/main" id="{E31B69D4-5497-4AD0-8B1F-AAE55CD02F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5" name="TextBox 4">
          <a:extLst>
            <a:ext uri="{FF2B5EF4-FFF2-40B4-BE49-F238E27FC236}">
              <a16:creationId xmlns:a16="http://schemas.microsoft.com/office/drawing/2014/main" id="{F9BBCCD5-8192-46C5-B475-5801057C40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6" name="TextBox 5">
          <a:extLst>
            <a:ext uri="{FF2B5EF4-FFF2-40B4-BE49-F238E27FC236}">
              <a16:creationId xmlns:a16="http://schemas.microsoft.com/office/drawing/2014/main" id="{2DD8EF29-E9E1-403A-BE2B-A91A5F336D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7" name="TextBox 6">
          <a:extLst>
            <a:ext uri="{FF2B5EF4-FFF2-40B4-BE49-F238E27FC236}">
              <a16:creationId xmlns:a16="http://schemas.microsoft.com/office/drawing/2014/main" id="{7E563F20-7354-45E6-A86E-7F2523DF9B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8" name="TextBox 7">
          <a:extLst>
            <a:ext uri="{FF2B5EF4-FFF2-40B4-BE49-F238E27FC236}">
              <a16:creationId xmlns:a16="http://schemas.microsoft.com/office/drawing/2014/main" id="{257F45C7-C0A6-4391-938D-C941B3DFBF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69" name="TextBox 8">
          <a:extLst>
            <a:ext uri="{FF2B5EF4-FFF2-40B4-BE49-F238E27FC236}">
              <a16:creationId xmlns:a16="http://schemas.microsoft.com/office/drawing/2014/main" id="{EBED2255-0E6E-431F-974D-028E779284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0" name="TextBox 2">
          <a:extLst>
            <a:ext uri="{FF2B5EF4-FFF2-40B4-BE49-F238E27FC236}">
              <a16:creationId xmlns:a16="http://schemas.microsoft.com/office/drawing/2014/main" id="{7BFDD072-4E2D-4BF6-BB78-267AD1A333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1" name="TextBox 4">
          <a:extLst>
            <a:ext uri="{FF2B5EF4-FFF2-40B4-BE49-F238E27FC236}">
              <a16:creationId xmlns:a16="http://schemas.microsoft.com/office/drawing/2014/main" id="{A890F3F8-D107-44EC-AC85-17A39DFF14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2" name="TextBox 5">
          <a:extLst>
            <a:ext uri="{FF2B5EF4-FFF2-40B4-BE49-F238E27FC236}">
              <a16:creationId xmlns:a16="http://schemas.microsoft.com/office/drawing/2014/main" id="{EC396121-F3B1-44EA-AA10-DDE871A70F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3" name="TextBox 6">
          <a:extLst>
            <a:ext uri="{FF2B5EF4-FFF2-40B4-BE49-F238E27FC236}">
              <a16:creationId xmlns:a16="http://schemas.microsoft.com/office/drawing/2014/main" id="{EF1E0DD0-5AF3-4724-828F-E8AEC600BA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4" name="TextBox 7">
          <a:extLst>
            <a:ext uri="{FF2B5EF4-FFF2-40B4-BE49-F238E27FC236}">
              <a16:creationId xmlns:a16="http://schemas.microsoft.com/office/drawing/2014/main" id="{218E64C3-A7DA-4FA6-B31B-CF66E1B943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5" name="TextBox 8">
          <a:extLst>
            <a:ext uri="{FF2B5EF4-FFF2-40B4-BE49-F238E27FC236}">
              <a16:creationId xmlns:a16="http://schemas.microsoft.com/office/drawing/2014/main" id="{A8DBB59A-BDC3-4E1C-8CAE-ED0DE3C192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6" name="TextBox 2">
          <a:extLst>
            <a:ext uri="{FF2B5EF4-FFF2-40B4-BE49-F238E27FC236}">
              <a16:creationId xmlns:a16="http://schemas.microsoft.com/office/drawing/2014/main" id="{A54638AB-CF29-44E0-A89A-E1C5AE8347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7" name="TextBox 4">
          <a:extLst>
            <a:ext uri="{FF2B5EF4-FFF2-40B4-BE49-F238E27FC236}">
              <a16:creationId xmlns:a16="http://schemas.microsoft.com/office/drawing/2014/main" id="{778830D1-51C0-4FBB-B437-43423EFDA5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8" name="TextBox 5">
          <a:extLst>
            <a:ext uri="{FF2B5EF4-FFF2-40B4-BE49-F238E27FC236}">
              <a16:creationId xmlns:a16="http://schemas.microsoft.com/office/drawing/2014/main" id="{ACBD75DB-9EF4-4130-A66E-E2F7761C0C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79" name="TextBox 6">
          <a:extLst>
            <a:ext uri="{FF2B5EF4-FFF2-40B4-BE49-F238E27FC236}">
              <a16:creationId xmlns:a16="http://schemas.microsoft.com/office/drawing/2014/main" id="{28E03F61-B7A9-4482-BC45-B6613DD1CD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0" name="TextBox 7">
          <a:extLst>
            <a:ext uri="{FF2B5EF4-FFF2-40B4-BE49-F238E27FC236}">
              <a16:creationId xmlns:a16="http://schemas.microsoft.com/office/drawing/2014/main" id="{4556D0E6-CA0D-49E8-A17D-F291FD635D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1" name="TextBox 8">
          <a:extLst>
            <a:ext uri="{FF2B5EF4-FFF2-40B4-BE49-F238E27FC236}">
              <a16:creationId xmlns:a16="http://schemas.microsoft.com/office/drawing/2014/main" id="{5FE0BD87-FB04-403B-99FB-2C2063BF31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2" name="TextBox 2">
          <a:extLst>
            <a:ext uri="{FF2B5EF4-FFF2-40B4-BE49-F238E27FC236}">
              <a16:creationId xmlns:a16="http://schemas.microsoft.com/office/drawing/2014/main" id="{AF444461-130F-4B30-8BFB-269FA8119C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3" name="TextBox 4">
          <a:extLst>
            <a:ext uri="{FF2B5EF4-FFF2-40B4-BE49-F238E27FC236}">
              <a16:creationId xmlns:a16="http://schemas.microsoft.com/office/drawing/2014/main" id="{0151557D-B70F-41BA-A18F-7BE352962C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4" name="TextBox 5">
          <a:extLst>
            <a:ext uri="{FF2B5EF4-FFF2-40B4-BE49-F238E27FC236}">
              <a16:creationId xmlns:a16="http://schemas.microsoft.com/office/drawing/2014/main" id="{23DA6EF2-BB51-4D54-8A43-B681FC98CB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5" name="TextBox 6">
          <a:extLst>
            <a:ext uri="{FF2B5EF4-FFF2-40B4-BE49-F238E27FC236}">
              <a16:creationId xmlns:a16="http://schemas.microsoft.com/office/drawing/2014/main" id="{79C17A85-E9F1-4EAE-A53C-2F62E04942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6" name="TextBox 7">
          <a:extLst>
            <a:ext uri="{FF2B5EF4-FFF2-40B4-BE49-F238E27FC236}">
              <a16:creationId xmlns:a16="http://schemas.microsoft.com/office/drawing/2014/main" id="{869610E5-463B-45D6-A04F-226F7FB520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7" name="TextBox 8">
          <a:extLst>
            <a:ext uri="{FF2B5EF4-FFF2-40B4-BE49-F238E27FC236}">
              <a16:creationId xmlns:a16="http://schemas.microsoft.com/office/drawing/2014/main" id="{63048661-2D27-4EB9-846A-62E3B09F35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8" name="TextBox 2">
          <a:extLst>
            <a:ext uri="{FF2B5EF4-FFF2-40B4-BE49-F238E27FC236}">
              <a16:creationId xmlns:a16="http://schemas.microsoft.com/office/drawing/2014/main" id="{0632A29C-1BFB-4611-B2DB-B7E5F56796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89" name="TextBox 4">
          <a:extLst>
            <a:ext uri="{FF2B5EF4-FFF2-40B4-BE49-F238E27FC236}">
              <a16:creationId xmlns:a16="http://schemas.microsoft.com/office/drawing/2014/main" id="{6AFD7E52-C1EE-4FF0-BFC7-8CED370A4A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0" name="TextBox 5">
          <a:extLst>
            <a:ext uri="{FF2B5EF4-FFF2-40B4-BE49-F238E27FC236}">
              <a16:creationId xmlns:a16="http://schemas.microsoft.com/office/drawing/2014/main" id="{C603AE3F-7C8B-477C-82AB-936B81BBB2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1" name="TextBox 6">
          <a:extLst>
            <a:ext uri="{FF2B5EF4-FFF2-40B4-BE49-F238E27FC236}">
              <a16:creationId xmlns:a16="http://schemas.microsoft.com/office/drawing/2014/main" id="{9D4D2137-7AF9-42D8-BF2A-791067F7E5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2" name="TextBox 7">
          <a:extLst>
            <a:ext uri="{FF2B5EF4-FFF2-40B4-BE49-F238E27FC236}">
              <a16:creationId xmlns:a16="http://schemas.microsoft.com/office/drawing/2014/main" id="{354B7C81-2AB9-49DB-AAA4-B613801EBE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3" name="TextBox 8">
          <a:extLst>
            <a:ext uri="{FF2B5EF4-FFF2-40B4-BE49-F238E27FC236}">
              <a16:creationId xmlns:a16="http://schemas.microsoft.com/office/drawing/2014/main" id="{682E197D-1D9F-4A3E-B8A0-39FC15FEC0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4" name="TextBox 2">
          <a:extLst>
            <a:ext uri="{FF2B5EF4-FFF2-40B4-BE49-F238E27FC236}">
              <a16:creationId xmlns:a16="http://schemas.microsoft.com/office/drawing/2014/main" id="{7AFB747B-A82E-4D26-BE6F-543733A47F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5" name="TextBox 4">
          <a:extLst>
            <a:ext uri="{FF2B5EF4-FFF2-40B4-BE49-F238E27FC236}">
              <a16:creationId xmlns:a16="http://schemas.microsoft.com/office/drawing/2014/main" id="{3FEB5023-D8C4-4B14-AA42-1B85C70565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6" name="TextBox 5">
          <a:extLst>
            <a:ext uri="{FF2B5EF4-FFF2-40B4-BE49-F238E27FC236}">
              <a16:creationId xmlns:a16="http://schemas.microsoft.com/office/drawing/2014/main" id="{FF69049E-A496-4867-B263-56C305FCE9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7" name="TextBox 6">
          <a:extLst>
            <a:ext uri="{FF2B5EF4-FFF2-40B4-BE49-F238E27FC236}">
              <a16:creationId xmlns:a16="http://schemas.microsoft.com/office/drawing/2014/main" id="{74876264-1462-4331-B6AA-1C423D2B3F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8" name="TextBox 7">
          <a:extLst>
            <a:ext uri="{FF2B5EF4-FFF2-40B4-BE49-F238E27FC236}">
              <a16:creationId xmlns:a16="http://schemas.microsoft.com/office/drawing/2014/main" id="{AFA908CE-9F3C-4513-B387-E3896530DD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999" name="TextBox 8">
          <a:extLst>
            <a:ext uri="{FF2B5EF4-FFF2-40B4-BE49-F238E27FC236}">
              <a16:creationId xmlns:a16="http://schemas.microsoft.com/office/drawing/2014/main" id="{03D83210-58CB-44BD-BB2F-47AE5DE3B6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0" name="TextBox 2">
          <a:extLst>
            <a:ext uri="{FF2B5EF4-FFF2-40B4-BE49-F238E27FC236}">
              <a16:creationId xmlns:a16="http://schemas.microsoft.com/office/drawing/2014/main" id="{12121359-9D10-41E1-A4D5-4534522329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1" name="TextBox 4">
          <a:extLst>
            <a:ext uri="{FF2B5EF4-FFF2-40B4-BE49-F238E27FC236}">
              <a16:creationId xmlns:a16="http://schemas.microsoft.com/office/drawing/2014/main" id="{B64A422C-ADDB-4CE1-9AC6-0EF3B0430E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2" name="TextBox 5">
          <a:extLst>
            <a:ext uri="{FF2B5EF4-FFF2-40B4-BE49-F238E27FC236}">
              <a16:creationId xmlns:a16="http://schemas.microsoft.com/office/drawing/2014/main" id="{77BB1786-C550-4B5F-9ECC-3810DA1BE0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3" name="TextBox 6">
          <a:extLst>
            <a:ext uri="{FF2B5EF4-FFF2-40B4-BE49-F238E27FC236}">
              <a16:creationId xmlns:a16="http://schemas.microsoft.com/office/drawing/2014/main" id="{AD9D7560-652B-4A91-84D4-6963E2B803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4" name="TextBox 7">
          <a:extLst>
            <a:ext uri="{FF2B5EF4-FFF2-40B4-BE49-F238E27FC236}">
              <a16:creationId xmlns:a16="http://schemas.microsoft.com/office/drawing/2014/main" id="{A7135B34-CA15-43CB-A591-43C34D3370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5" name="TextBox 8">
          <a:extLst>
            <a:ext uri="{FF2B5EF4-FFF2-40B4-BE49-F238E27FC236}">
              <a16:creationId xmlns:a16="http://schemas.microsoft.com/office/drawing/2014/main" id="{FC4BDD22-7F10-449E-B937-D53CBAC69A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6" name="TextBox 2">
          <a:extLst>
            <a:ext uri="{FF2B5EF4-FFF2-40B4-BE49-F238E27FC236}">
              <a16:creationId xmlns:a16="http://schemas.microsoft.com/office/drawing/2014/main" id="{C38C224C-F40D-4BBD-BCBB-67397445AC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7" name="TextBox 4">
          <a:extLst>
            <a:ext uri="{FF2B5EF4-FFF2-40B4-BE49-F238E27FC236}">
              <a16:creationId xmlns:a16="http://schemas.microsoft.com/office/drawing/2014/main" id="{0CB389ED-D2C7-4BA8-A6FA-6D4DC8E4E2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8" name="TextBox 5">
          <a:extLst>
            <a:ext uri="{FF2B5EF4-FFF2-40B4-BE49-F238E27FC236}">
              <a16:creationId xmlns:a16="http://schemas.microsoft.com/office/drawing/2014/main" id="{A4260121-1C4E-4214-A72A-C93491BD6A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09" name="TextBox 6">
          <a:extLst>
            <a:ext uri="{FF2B5EF4-FFF2-40B4-BE49-F238E27FC236}">
              <a16:creationId xmlns:a16="http://schemas.microsoft.com/office/drawing/2014/main" id="{5CFD2434-BAA3-4D8E-93C6-55E99EC8A1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0" name="TextBox 7">
          <a:extLst>
            <a:ext uri="{FF2B5EF4-FFF2-40B4-BE49-F238E27FC236}">
              <a16:creationId xmlns:a16="http://schemas.microsoft.com/office/drawing/2014/main" id="{6382A16F-3AF2-41A8-829B-C45A75F55E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1" name="TextBox 8">
          <a:extLst>
            <a:ext uri="{FF2B5EF4-FFF2-40B4-BE49-F238E27FC236}">
              <a16:creationId xmlns:a16="http://schemas.microsoft.com/office/drawing/2014/main" id="{2E2A9AA6-5B9B-4FF9-A229-8E8E27899E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2" name="TextBox 2">
          <a:extLst>
            <a:ext uri="{FF2B5EF4-FFF2-40B4-BE49-F238E27FC236}">
              <a16:creationId xmlns:a16="http://schemas.microsoft.com/office/drawing/2014/main" id="{D6F9790D-0354-4896-A406-4B0DDBC698C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3" name="TextBox 4">
          <a:extLst>
            <a:ext uri="{FF2B5EF4-FFF2-40B4-BE49-F238E27FC236}">
              <a16:creationId xmlns:a16="http://schemas.microsoft.com/office/drawing/2014/main" id="{B765AF02-8EA2-40B3-B6D1-B8DA970957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4" name="TextBox 5">
          <a:extLst>
            <a:ext uri="{FF2B5EF4-FFF2-40B4-BE49-F238E27FC236}">
              <a16:creationId xmlns:a16="http://schemas.microsoft.com/office/drawing/2014/main" id="{BAD45876-EA80-43D3-A69E-6FC8A9E9F6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5" name="TextBox 6">
          <a:extLst>
            <a:ext uri="{FF2B5EF4-FFF2-40B4-BE49-F238E27FC236}">
              <a16:creationId xmlns:a16="http://schemas.microsoft.com/office/drawing/2014/main" id="{D91070C8-39BD-4BC0-9405-9925367E6A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6" name="TextBox 7">
          <a:extLst>
            <a:ext uri="{FF2B5EF4-FFF2-40B4-BE49-F238E27FC236}">
              <a16:creationId xmlns:a16="http://schemas.microsoft.com/office/drawing/2014/main" id="{26704957-626F-4B59-BD71-58AC624237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7" name="TextBox 8">
          <a:extLst>
            <a:ext uri="{FF2B5EF4-FFF2-40B4-BE49-F238E27FC236}">
              <a16:creationId xmlns:a16="http://schemas.microsoft.com/office/drawing/2014/main" id="{E28AA5E5-7B54-44A5-95E2-0C21C5E3AD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8" name="TextBox 2">
          <a:extLst>
            <a:ext uri="{FF2B5EF4-FFF2-40B4-BE49-F238E27FC236}">
              <a16:creationId xmlns:a16="http://schemas.microsoft.com/office/drawing/2014/main" id="{0E5C098C-2C8C-4118-A8B0-B09E18F779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19" name="TextBox 4">
          <a:extLst>
            <a:ext uri="{FF2B5EF4-FFF2-40B4-BE49-F238E27FC236}">
              <a16:creationId xmlns:a16="http://schemas.microsoft.com/office/drawing/2014/main" id="{4106D74A-866E-40D6-ADA7-4402B813E5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0" name="TextBox 5">
          <a:extLst>
            <a:ext uri="{FF2B5EF4-FFF2-40B4-BE49-F238E27FC236}">
              <a16:creationId xmlns:a16="http://schemas.microsoft.com/office/drawing/2014/main" id="{33C258F6-9B6F-4F25-A37E-A6135F098B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1" name="TextBox 6">
          <a:extLst>
            <a:ext uri="{FF2B5EF4-FFF2-40B4-BE49-F238E27FC236}">
              <a16:creationId xmlns:a16="http://schemas.microsoft.com/office/drawing/2014/main" id="{98E9C93D-2985-4B6C-95BE-19DC4E6721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2" name="TextBox 7">
          <a:extLst>
            <a:ext uri="{FF2B5EF4-FFF2-40B4-BE49-F238E27FC236}">
              <a16:creationId xmlns:a16="http://schemas.microsoft.com/office/drawing/2014/main" id="{C86D0CE2-22AE-4E14-B063-3BB85ADE60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3" name="TextBox 8">
          <a:extLst>
            <a:ext uri="{FF2B5EF4-FFF2-40B4-BE49-F238E27FC236}">
              <a16:creationId xmlns:a16="http://schemas.microsoft.com/office/drawing/2014/main" id="{8F5E5BF3-D76A-4C48-A2B8-7B93AF8F45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4" name="TextBox 2">
          <a:extLst>
            <a:ext uri="{FF2B5EF4-FFF2-40B4-BE49-F238E27FC236}">
              <a16:creationId xmlns:a16="http://schemas.microsoft.com/office/drawing/2014/main" id="{4902C3B6-1F56-42FC-8223-3B0FA6CE39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5" name="TextBox 4">
          <a:extLst>
            <a:ext uri="{FF2B5EF4-FFF2-40B4-BE49-F238E27FC236}">
              <a16:creationId xmlns:a16="http://schemas.microsoft.com/office/drawing/2014/main" id="{8D77DF27-FB3B-4080-A9A3-852CF618B8C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6" name="TextBox 5">
          <a:extLst>
            <a:ext uri="{FF2B5EF4-FFF2-40B4-BE49-F238E27FC236}">
              <a16:creationId xmlns:a16="http://schemas.microsoft.com/office/drawing/2014/main" id="{1A3CF21D-EC8B-4254-976C-D801A06CFEB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7" name="TextBox 6">
          <a:extLst>
            <a:ext uri="{FF2B5EF4-FFF2-40B4-BE49-F238E27FC236}">
              <a16:creationId xmlns:a16="http://schemas.microsoft.com/office/drawing/2014/main" id="{FD50D2EB-59D9-4BA3-84BE-4D089B1343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8" name="TextBox 7">
          <a:extLst>
            <a:ext uri="{FF2B5EF4-FFF2-40B4-BE49-F238E27FC236}">
              <a16:creationId xmlns:a16="http://schemas.microsoft.com/office/drawing/2014/main" id="{C44D3676-EC33-4D44-9B9B-5DD8796E97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29" name="TextBox 8">
          <a:extLst>
            <a:ext uri="{FF2B5EF4-FFF2-40B4-BE49-F238E27FC236}">
              <a16:creationId xmlns:a16="http://schemas.microsoft.com/office/drawing/2014/main" id="{4CA7435A-52A1-40AB-8322-59EF74837F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0" name="TextBox 2">
          <a:extLst>
            <a:ext uri="{FF2B5EF4-FFF2-40B4-BE49-F238E27FC236}">
              <a16:creationId xmlns:a16="http://schemas.microsoft.com/office/drawing/2014/main" id="{0B86F84A-1891-41C6-88B0-BDC7402B3B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1" name="TextBox 4">
          <a:extLst>
            <a:ext uri="{FF2B5EF4-FFF2-40B4-BE49-F238E27FC236}">
              <a16:creationId xmlns:a16="http://schemas.microsoft.com/office/drawing/2014/main" id="{9FE091D0-2352-47BB-8831-E54E768E159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2" name="TextBox 5">
          <a:extLst>
            <a:ext uri="{FF2B5EF4-FFF2-40B4-BE49-F238E27FC236}">
              <a16:creationId xmlns:a16="http://schemas.microsoft.com/office/drawing/2014/main" id="{99D374D9-DF93-48D6-9ADF-5318BD7844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3" name="TextBox 6">
          <a:extLst>
            <a:ext uri="{FF2B5EF4-FFF2-40B4-BE49-F238E27FC236}">
              <a16:creationId xmlns:a16="http://schemas.microsoft.com/office/drawing/2014/main" id="{EFD8DA33-49CC-43B1-B775-67224A0A0C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4" name="TextBox 7">
          <a:extLst>
            <a:ext uri="{FF2B5EF4-FFF2-40B4-BE49-F238E27FC236}">
              <a16:creationId xmlns:a16="http://schemas.microsoft.com/office/drawing/2014/main" id="{10FA9E53-C474-4CC4-A2B7-668BD99CD7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5" name="TextBox 8">
          <a:extLst>
            <a:ext uri="{FF2B5EF4-FFF2-40B4-BE49-F238E27FC236}">
              <a16:creationId xmlns:a16="http://schemas.microsoft.com/office/drawing/2014/main" id="{6CC6C9FC-1459-44CC-9F5C-06D20CB532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6" name="TextBox 2">
          <a:extLst>
            <a:ext uri="{FF2B5EF4-FFF2-40B4-BE49-F238E27FC236}">
              <a16:creationId xmlns:a16="http://schemas.microsoft.com/office/drawing/2014/main" id="{2C315D7A-2041-4B68-98B7-58542EFE31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7" name="TextBox 4">
          <a:extLst>
            <a:ext uri="{FF2B5EF4-FFF2-40B4-BE49-F238E27FC236}">
              <a16:creationId xmlns:a16="http://schemas.microsoft.com/office/drawing/2014/main" id="{D2C64494-2D43-4E88-8E7C-FD2204EABD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8" name="TextBox 5">
          <a:extLst>
            <a:ext uri="{FF2B5EF4-FFF2-40B4-BE49-F238E27FC236}">
              <a16:creationId xmlns:a16="http://schemas.microsoft.com/office/drawing/2014/main" id="{4868C047-669E-47E2-B6F6-165076D73E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39" name="TextBox 6">
          <a:extLst>
            <a:ext uri="{FF2B5EF4-FFF2-40B4-BE49-F238E27FC236}">
              <a16:creationId xmlns:a16="http://schemas.microsoft.com/office/drawing/2014/main" id="{1DF6C695-B6CC-40DD-8865-B740930BB3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0" name="TextBox 7">
          <a:extLst>
            <a:ext uri="{FF2B5EF4-FFF2-40B4-BE49-F238E27FC236}">
              <a16:creationId xmlns:a16="http://schemas.microsoft.com/office/drawing/2014/main" id="{CFA23C4C-7D77-442C-ABB5-808CC57151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1" name="TextBox 8">
          <a:extLst>
            <a:ext uri="{FF2B5EF4-FFF2-40B4-BE49-F238E27FC236}">
              <a16:creationId xmlns:a16="http://schemas.microsoft.com/office/drawing/2014/main" id="{E392457B-66EF-4966-8983-CD003B9779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2" name="TextBox 2">
          <a:extLst>
            <a:ext uri="{FF2B5EF4-FFF2-40B4-BE49-F238E27FC236}">
              <a16:creationId xmlns:a16="http://schemas.microsoft.com/office/drawing/2014/main" id="{3CFCA9AE-EC1E-449F-9A7A-5806BD53CE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3" name="TextBox 4">
          <a:extLst>
            <a:ext uri="{FF2B5EF4-FFF2-40B4-BE49-F238E27FC236}">
              <a16:creationId xmlns:a16="http://schemas.microsoft.com/office/drawing/2014/main" id="{F0165F80-4B04-4F33-A70D-DB2B9A27E7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4" name="TextBox 5">
          <a:extLst>
            <a:ext uri="{FF2B5EF4-FFF2-40B4-BE49-F238E27FC236}">
              <a16:creationId xmlns:a16="http://schemas.microsoft.com/office/drawing/2014/main" id="{3FAD22BF-EBFA-4B49-B519-0E030A42DF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5" name="TextBox 6">
          <a:extLst>
            <a:ext uri="{FF2B5EF4-FFF2-40B4-BE49-F238E27FC236}">
              <a16:creationId xmlns:a16="http://schemas.microsoft.com/office/drawing/2014/main" id="{80A8303F-9AA9-4A77-811C-50288ACCC3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6" name="TextBox 7">
          <a:extLst>
            <a:ext uri="{FF2B5EF4-FFF2-40B4-BE49-F238E27FC236}">
              <a16:creationId xmlns:a16="http://schemas.microsoft.com/office/drawing/2014/main" id="{7ADF983C-DDB4-4C84-A962-7B11BE9A97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7" name="TextBox 8">
          <a:extLst>
            <a:ext uri="{FF2B5EF4-FFF2-40B4-BE49-F238E27FC236}">
              <a16:creationId xmlns:a16="http://schemas.microsoft.com/office/drawing/2014/main" id="{69C8892D-015D-41CE-BA2C-D0C2FFA67C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8" name="TextBox 2">
          <a:extLst>
            <a:ext uri="{FF2B5EF4-FFF2-40B4-BE49-F238E27FC236}">
              <a16:creationId xmlns:a16="http://schemas.microsoft.com/office/drawing/2014/main" id="{F0E5EF88-46EC-42F2-A083-04A627DE50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49" name="TextBox 4">
          <a:extLst>
            <a:ext uri="{FF2B5EF4-FFF2-40B4-BE49-F238E27FC236}">
              <a16:creationId xmlns:a16="http://schemas.microsoft.com/office/drawing/2014/main" id="{AB37FD71-C6A2-4696-A249-B41F514156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0" name="TextBox 5">
          <a:extLst>
            <a:ext uri="{FF2B5EF4-FFF2-40B4-BE49-F238E27FC236}">
              <a16:creationId xmlns:a16="http://schemas.microsoft.com/office/drawing/2014/main" id="{F2B443D2-E1F0-482C-9C58-1E3C861E44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1" name="TextBox 6">
          <a:extLst>
            <a:ext uri="{FF2B5EF4-FFF2-40B4-BE49-F238E27FC236}">
              <a16:creationId xmlns:a16="http://schemas.microsoft.com/office/drawing/2014/main" id="{F3D608A7-09A8-4293-99C3-17028A0989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2" name="TextBox 7">
          <a:extLst>
            <a:ext uri="{FF2B5EF4-FFF2-40B4-BE49-F238E27FC236}">
              <a16:creationId xmlns:a16="http://schemas.microsoft.com/office/drawing/2014/main" id="{001C2616-6055-45F8-AD23-6BD4E7F4C58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3" name="TextBox 8">
          <a:extLst>
            <a:ext uri="{FF2B5EF4-FFF2-40B4-BE49-F238E27FC236}">
              <a16:creationId xmlns:a16="http://schemas.microsoft.com/office/drawing/2014/main" id="{C48FCBD8-2064-404D-ADE7-8EB2B0688F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4" name="TextBox 2">
          <a:extLst>
            <a:ext uri="{FF2B5EF4-FFF2-40B4-BE49-F238E27FC236}">
              <a16:creationId xmlns:a16="http://schemas.microsoft.com/office/drawing/2014/main" id="{74A448E9-0CD6-4CEE-B952-01AC18F86D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5" name="TextBox 4">
          <a:extLst>
            <a:ext uri="{FF2B5EF4-FFF2-40B4-BE49-F238E27FC236}">
              <a16:creationId xmlns:a16="http://schemas.microsoft.com/office/drawing/2014/main" id="{F6F1901D-4D5F-43F1-A93D-76C70C897D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6" name="TextBox 5">
          <a:extLst>
            <a:ext uri="{FF2B5EF4-FFF2-40B4-BE49-F238E27FC236}">
              <a16:creationId xmlns:a16="http://schemas.microsoft.com/office/drawing/2014/main" id="{F16D4E20-27D0-4202-88B3-EB68604576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7" name="TextBox 6">
          <a:extLst>
            <a:ext uri="{FF2B5EF4-FFF2-40B4-BE49-F238E27FC236}">
              <a16:creationId xmlns:a16="http://schemas.microsoft.com/office/drawing/2014/main" id="{080265C0-FAFD-4B4F-82BE-A21C932577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8" name="TextBox 7">
          <a:extLst>
            <a:ext uri="{FF2B5EF4-FFF2-40B4-BE49-F238E27FC236}">
              <a16:creationId xmlns:a16="http://schemas.microsoft.com/office/drawing/2014/main" id="{88C31E7A-52D7-4AB2-9A6B-638B3AE97EF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59" name="TextBox 8">
          <a:extLst>
            <a:ext uri="{FF2B5EF4-FFF2-40B4-BE49-F238E27FC236}">
              <a16:creationId xmlns:a16="http://schemas.microsoft.com/office/drawing/2014/main" id="{C246C0D3-C9EC-4448-9C1B-A2892AE3BB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0" name="TextBox 2">
          <a:extLst>
            <a:ext uri="{FF2B5EF4-FFF2-40B4-BE49-F238E27FC236}">
              <a16:creationId xmlns:a16="http://schemas.microsoft.com/office/drawing/2014/main" id="{58F0DAA7-57E0-4EB5-958C-76B4B7CBD1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1" name="TextBox 4">
          <a:extLst>
            <a:ext uri="{FF2B5EF4-FFF2-40B4-BE49-F238E27FC236}">
              <a16:creationId xmlns:a16="http://schemas.microsoft.com/office/drawing/2014/main" id="{107AF98D-21F6-4148-9812-C00E18B047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2" name="TextBox 5">
          <a:extLst>
            <a:ext uri="{FF2B5EF4-FFF2-40B4-BE49-F238E27FC236}">
              <a16:creationId xmlns:a16="http://schemas.microsoft.com/office/drawing/2014/main" id="{20C28680-7281-479A-9AD8-5804684106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3" name="TextBox 6">
          <a:extLst>
            <a:ext uri="{FF2B5EF4-FFF2-40B4-BE49-F238E27FC236}">
              <a16:creationId xmlns:a16="http://schemas.microsoft.com/office/drawing/2014/main" id="{A92E141F-81EB-4702-8C81-B32E58E9D3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4" name="TextBox 7">
          <a:extLst>
            <a:ext uri="{FF2B5EF4-FFF2-40B4-BE49-F238E27FC236}">
              <a16:creationId xmlns:a16="http://schemas.microsoft.com/office/drawing/2014/main" id="{97E984BB-FE59-4603-9456-D2D36320EB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5" name="TextBox 8">
          <a:extLst>
            <a:ext uri="{FF2B5EF4-FFF2-40B4-BE49-F238E27FC236}">
              <a16:creationId xmlns:a16="http://schemas.microsoft.com/office/drawing/2014/main" id="{AFC5C131-AF4A-4347-B33F-A9D48DC8076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6" name="TextBox 2">
          <a:extLst>
            <a:ext uri="{FF2B5EF4-FFF2-40B4-BE49-F238E27FC236}">
              <a16:creationId xmlns:a16="http://schemas.microsoft.com/office/drawing/2014/main" id="{14B35935-B488-4582-864C-69AD843FC0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7" name="TextBox 4">
          <a:extLst>
            <a:ext uri="{FF2B5EF4-FFF2-40B4-BE49-F238E27FC236}">
              <a16:creationId xmlns:a16="http://schemas.microsoft.com/office/drawing/2014/main" id="{723075F3-C7C3-4AF0-92F3-875383959E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8" name="TextBox 5">
          <a:extLst>
            <a:ext uri="{FF2B5EF4-FFF2-40B4-BE49-F238E27FC236}">
              <a16:creationId xmlns:a16="http://schemas.microsoft.com/office/drawing/2014/main" id="{DD811AE7-9144-49F9-B8AA-E0718D26E1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69" name="TextBox 6">
          <a:extLst>
            <a:ext uri="{FF2B5EF4-FFF2-40B4-BE49-F238E27FC236}">
              <a16:creationId xmlns:a16="http://schemas.microsoft.com/office/drawing/2014/main" id="{6E050D10-E5F1-4108-84C2-96613DF93E0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0" name="TextBox 7">
          <a:extLst>
            <a:ext uri="{FF2B5EF4-FFF2-40B4-BE49-F238E27FC236}">
              <a16:creationId xmlns:a16="http://schemas.microsoft.com/office/drawing/2014/main" id="{A30C81FD-D019-463E-8190-84B34D3F65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1" name="TextBox 8">
          <a:extLst>
            <a:ext uri="{FF2B5EF4-FFF2-40B4-BE49-F238E27FC236}">
              <a16:creationId xmlns:a16="http://schemas.microsoft.com/office/drawing/2014/main" id="{7E6E2EA3-D8D6-4910-9FD4-5BB0D3F196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2" name="TextBox 2">
          <a:extLst>
            <a:ext uri="{FF2B5EF4-FFF2-40B4-BE49-F238E27FC236}">
              <a16:creationId xmlns:a16="http://schemas.microsoft.com/office/drawing/2014/main" id="{591B4B31-73AA-46E4-BA6E-7A3C5FB57B4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3" name="TextBox 4">
          <a:extLst>
            <a:ext uri="{FF2B5EF4-FFF2-40B4-BE49-F238E27FC236}">
              <a16:creationId xmlns:a16="http://schemas.microsoft.com/office/drawing/2014/main" id="{E73E6BA9-0DC0-4D54-8166-CFFB7606BB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4" name="TextBox 5">
          <a:extLst>
            <a:ext uri="{FF2B5EF4-FFF2-40B4-BE49-F238E27FC236}">
              <a16:creationId xmlns:a16="http://schemas.microsoft.com/office/drawing/2014/main" id="{4BCEBFAE-AB7A-4C47-924A-C71432E0A5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5" name="TextBox 6">
          <a:extLst>
            <a:ext uri="{FF2B5EF4-FFF2-40B4-BE49-F238E27FC236}">
              <a16:creationId xmlns:a16="http://schemas.microsoft.com/office/drawing/2014/main" id="{7F618CC5-07C0-46D8-9C53-578A987154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6" name="TextBox 7">
          <a:extLst>
            <a:ext uri="{FF2B5EF4-FFF2-40B4-BE49-F238E27FC236}">
              <a16:creationId xmlns:a16="http://schemas.microsoft.com/office/drawing/2014/main" id="{6DA90E6B-6D09-4597-9E06-B71CB334E6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7" name="TextBox 8">
          <a:extLst>
            <a:ext uri="{FF2B5EF4-FFF2-40B4-BE49-F238E27FC236}">
              <a16:creationId xmlns:a16="http://schemas.microsoft.com/office/drawing/2014/main" id="{CBC315B4-1E92-4F91-9CAE-17DF0546B9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8" name="TextBox 2">
          <a:extLst>
            <a:ext uri="{FF2B5EF4-FFF2-40B4-BE49-F238E27FC236}">
              <a16:creationId xmlns:a16="http://schemas.microsoft.com/office/drawing/2014/main" id="{C35700A5-D217-4E38-A71B-281C53CB42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79" name="TextBox 4">
          <a:extLst>
            <a:ext uri="{FF2B5EF4-FFF2-40B4-BE49-F238E27FC236}">
              <a16:creationId xmlns:a16="http://schemas.microsoft.com/office/drawing/2014/main" id="{504BCD7F-EB67-414A-A19A-D001D8744E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0" name="TextBox 5">
          <a:extLst>
            <a:ext uri="{FF2B5EF4-FFF2-40B4-BE49-F238E27FC236}">
              <a16:creationId xmlns:a16="http://schemas.microsoft.com/office/drawing/2014/main" id="{F626E900-46EC-4D38-90E7-8D6B6D82A9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1" name="TextBox 6">
          <a:extLst>
            <a:ext uri="{FF2B5EF4-FFF2-40B4-BE49-F238E27FC236}">
              <a16:creationId xmlns:a16="http://schemas.microsoft.com/office/drawing/2014/main" id="{309B553D-9022-4EA0-A960-43F5022D6A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2" name="TextBox 7">
          <a:extLst>
            <a:ext uri="{FF2B5EF4-FFF2-40B4-BE49-F238E27FC236}">
              <a16:creationId xmlns:a16="http://schemas.microsoft.com/office/drawing/2014/main" id="{2E646A59-D6D5-4BC4-9533-BEBE1C38C8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3" name="TextBox 8">
          <a:extLst>
            <a:ext uri="{FF2B5EF4-FFF2-40B4-BE49-F238E27FC236}">
              <a16:creationId xmlns:a16="http://schemas.microsoft.com/office/drawing/2014/main" id="{FCE29C0B-40D3-4861-BA8E-6FDA5FB977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4" name="TextBox 2">
          <a:extLst>
            <a:ext uri="{FF2B5EF4-FFF2-40B4-BE49-F238E27FC236}">
              <a16:creationId xmlns:a16="http://schemas.microsoft.com/office/drawing/2014/main" id="{E936E2B4-7A76-4BAA-A509-0768F1AA324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5" name="TextBox 4">
          <a:extLst>
            <a:ext uri="{FF2B5EF4-FFF2-40B4-BE49-F238E27FC236}">
              <a16:creationId xmlns:a16="http://schemas.microsoft.com/office/drawing/2014/main" id="{F511D153-F2C9-46DD-AE1E-9E9384A22D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6" name="TextBox 5">
          <a:extLst>
            <a:ext uri="{FF2B5EF4-FFF2-40B4-BE49-F238E27FC236}">
              <a16:creationId xmlns:a16="http://schemas.microsoft.com/office/drawing/2014/main" id="{578B60A1-F96C-4806-8251-B130855F58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7" name="TextBox 6">
          <a:extLst>
            <a:ext uri="{FF2B5EF4-FFF2-40B4-BE49-F238E27FC236}">
              <a16:creationId xmlns:a16="http://schemas.microsoft.com/office/drawing/2014/main" id="{575AD169-2490-4EF3-9F76-CA4B53DF18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8" name="TextBox 7">
          <a:extLst>
            <a:ext uri="{FF2B5EF4-FFF2-40B4-BE49-F238E27FC236}">
              <a16:creationId xmlns:a16="http://schemas.microsoft.com/office/drawing/2014/main" id="{EA8F623B-3D7C-4B84-8078-B9C12CFCDA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89" name="TextBox 8">
          <a:extLst>
            <a:ext uri="{FF2B5EF4-FFF2-40B4-BE49-F238E27FC236}">
              <a16:creationId xmlns:a16="http://schemas.microsoft.com/office/drawing/2014/main" id="{708D8C1C-3421-4A2D-A5D8-BA23A65B5A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0" name="TextBox 2">
          <a:extLst>
            <a:ext uri="{FF2B5EF4-FFF2-40B4-BE49-F238E27FC236}">
              <a16:creationId xmlns:a16="http://schemas.microsoft.com/office/drawing/2014/main" id="{1DD13DBB-1B1F-495B-9092-978D089C4B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1" name="TextBox 4">
          <a:extLst>
            <a:ext uri="{FF2B5EF4-FFF2-40B4-BE49-F238E27FC236}">
              <a16:creationId xmlns:a16="http://schemas.microsoft.com/office/drawing/2014/main" id="{216F5F21-6325-4EC1-82A4-410E55A2C2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2" name="TextBox 5">
          <a:extLst>
            <a:ext uri="{FF2B5EF4-FFF2-40B4-BE49-F238E27FC236}">
              <a16:creationId xmlns:a16="http://schemas.microsoft.com/office/drawing/2014/main" id="{B4F1E31B-6332-406B-89CF-C86053EEA8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3" name="TextBox 6">
          <a:extLst>
            <a:ext uri="{FF2B5EF4-FFF2-40B4-BE49-F238E27FC236}">
              <a16:creationId xmlns:a16="http://schemas.microsoft.com/office/drawing/2014/main" id="{DD290539-FC69-46DD-877E-4864CEB6B5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4" name="TextBox 7">
          <a:extLst>
            <a:ext uri="{FF2B5EF4-FFF2-40B4-BE49-F238E27FC236}">
              <a16:creationId xmlns:a16="http://schemas.microsoft.com/office/drawing/2014/main" id="{5E16B459-6EE8-4ECE-B4C6-44569BF113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5" name="TextBox 8">
          <a:extLst>
            <a:ext uri="{FF2B5EF4-FFF2-40B4-BE49-F238E27FC236}">
              <a16:creationId xmlns:a16="http://schemas.microsoft.com/office/drawing/2014/main" id="{0AAE49E9-3072-422B-A599-72F228FA8F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6" name="TextBox 2">
          <a:extLst>
            <a:ext uri="{FF2B5EF4-FFF2-40B4-BE49-F238E27FC236}">
              <a16:creationId xmlns:a16="http://schemas.microsoft.com/office/drawing/2014/main" id="{8FF03C80-DD2E-4C23-95A6-86451489A3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7" name="TextBox 4">
          <a:extLst>
            <a:ext uri="{FF2B5EF4-FFF2-40B4-BE49-F238E27FC236}">
              <a16:creationId xmlns:a16="http://schemas.microsoft.com/office/drawing/2014/main" id="{7A55F1FF-30CE-42CC-AF0F-AA6DDF7C77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8" name="TextBox 5">
          <a:extLst>
            <a:ext uri="{FF2B5EF4-FFF2-40B4-BE49-F238E27FC236}">
              <a16:creationId xmlns:a16="http://schemas.microsoft.com/office/drawing/2014/main" id="{AE968686-F301-4DB9-B694-96EF11F17E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099" name="TextBox 6">
          <a:extLst>
            <a:ext uri="{FF2B5EF4-FFF2-40B4-BE49-F238E27FC236}">
              <a16:creationId xmlns:a16="http://schemas.microsoft.com/office/drawing/2014/main" id="{FF69DADB-177E-40E6-AE86-975C669FF1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0" name="TextBox 7">
          <a:extLst>
            <a:ext uri="{FF2B5EF4-FFF2-40B4-BE49-F238E27FC236}">
              <a16:creationId xmlns:a16="http://schemas.microsoft.com/office/drawing/2014/main" id="{85AB4006-2E45-4C95-8692-459F8E3A7A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1" name="TextBox 8">
          <a:extLst>
            <a:ext uri="{FF2B5EF4-FFF2-40B4-BE49-F238E27FC236}">
              <a16:creationId xmlns:a16="http://schemas.microsoft.com/office/drawing/2014/main" id="{E38FEDFD-9141-4A76-BE21-3CF0CB768F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2" name="TextBox 2">
          <a:extLst>
            <a:ext uri="{FF2B5EF4-FFF2-40B4-BE49-F238E27FC236}">
              <a16:creationId xmlns:a16="http://schemas.microsoft.com/office/drawing/2014/main" id="{FBDAB1B5-C282-47D2-9979-3EA18CF5F5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3" name="TextBox 4">
          <a:extLst>
            <a:ext uri="{FF2B5EF4-FFF2-40B4-BE49-F238E27FC236}">
              <a16:creationId xmlns:a16="http://schemas.microsoft.com/office/drawing/2014/main" id="{5BF4ED93-8A77-47A9-98F9-92EBF27D70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4" name="TextBox 5">
          <a:extLst>
            <a:ext uri="{FF2B5EF4-FFF2-40B4-BE49-F238E27FC236}">
              <a16:creationId xmlns:a16="http://schemas.microsoft.com/office/drawing/2014/main" id="{B21712EE-B605-4384-84E7-579FB300EF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5" name="TextBox 6">
          <a:extLst>
            <a:ext uri="{FF2B5EF4-FFF2-40B4-BE49-F238E27FC236}">
              <a16:creationId xmlns:a16="http://schemas.microsoft.com/office/drawing/2014/main" id="{9B21E4C0-1E35-4416-8F6D-806A10B7C8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6" name="TextBox 7">
          <a:extLst>
            <a:ext uri="{FF2B5EF4-FFF2-40B4-BE49-F238E27FC236}">
              <a16:creationId xmlns:a16="http://schemas.microsoft.com/office/drawing/2014/main" id="{2BE0579F-C0DD-445A-8A8E-516B869446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7" name="TextBox 8">
          <a:extLst>
            <a:ext uri="{FF2B5EF4-FFF2-40B4-BE49-F238E27FC236}">
              <a16:creationId xmlns:a16="http://schemas.microsoft.com/office/drawing/2014/main" id="{039D0A5F-185B-47CE-99E4-11D2F4A7B3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8" name="TextBox 2">
          <a:extLst>
            <a:ext uri="{FF2B5EF4-FFF2-40B4-BE49-F238E27FC236}">
              <a16:creationId xmlns:a16="http://schemas.microsoft.com/office/drawing/2014/main" id="{AC29CCD2-75B1-43A3-AF3B-10A9B6805A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09" name="TextBox 4">
          <a:extLst>
            <a:ext uri="{FF2B5EF4-FFF2-40B4-BE49-F238E27FC236}">
              <a16:creationId xmlns:a16="http://schemas.microsoft.com/office/drawing/2014/main" id="{4323BE9E-B285-4B78-A5AA-B09F791A9E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0" name="TextBox 5">
          <a:extLst>
            <a:ext uri="{FF2B5EF4-FFF2-40B4-BE49-F238E27FC236}">
              <a16:creationId xmlns:a16="http://schemas.microsoft.com/office/drawing/2014/main" id="{6496C661-A543-429D-AB03-E7C7C31F29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1" name="TextBox 6">
          <a:extLst>
            <a:ext uri="{FF2B5EF4-FFF2-40B4-BE49-F238E27FC236}">
              <a16:creationId xmlns:a16="http://schemas.microsoft.com/office/drawing/2014/main" id="{6551E057-A9C0-42A2-AA04-9A3054A561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2" name="TextBox 7">
          <a:extLst>
            <a:ext uri="{FF2B5EF4-FFF2-40B4-BE49-F238E27FC236}">
              <a16:creationId xmlns:a16="http://schemas.microsoft.com/office/drawing/2014/main" id="{BA33CEBA-8DE4-42D0-96FB-8BF350FEE1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3" name="TextBox 8">
          <a:extLst>
            <a:ext uri="{FF2B5EF4-FFF2-40B4-BE49-F238E27FC236}">
              <a16:creationId xmlns:a16="http://schemas.microsoft.com/office/drawing/2014/main" id="{205DCD7B-9A6A-49F1-9FAC-39E2800B77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4" name="TextBox 2">
          <a:extLst>
            <a:ext uri="{FF2B5EF4-FFF2-40B4-BE49-F238E27FC236}">
              <a16:creationId xmlns:a16="http://schemas.microsoft.com/office/drawing/2014/main" id="{9D6782D7-BBCB-41B5-A619-00E1C1CA8B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5" name="TextBox 4">
          <a:extLst>
            <a:ext uri="{FF2B5EF4-FFF2-40B4-BE49-F238E27FC236}">
              <a16:creationId xmlns:a16="http://schemas.microsoft.com/office/drawing/2014/main" id="{928F79B1-3250-4387-84BD-305B0EA72D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6" name="TextBox 5">
          <a:extLst>
            <a:ext uri="{FF2B5EF4-FFF2-40B4-BE49-F238E27FC236}">
              <a16:creationId xmlns:a16="http://schemas.microsoft.com/office/drawing/2014/main" id="{FCB917FB-7715-4370-8DDD-3B23AEF2D3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7" name="TextBox 6">
          <a:extLst>
            <a:ext uri="{FF2B5EF4-FFF2-40B4-BE49-F238E27FC236}">
              <a16:creationId xmlns:a16="http://schemas.microsoft.com/office/drawing/2014/main" id="{7F5A8ECB-8C08-4CEE-9831-E43E19F661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8" name="TextBox 7">
          <a:extLst>
            <a:ext uri="{FF2B5EF4-FFF2-40B4-BE49-F238E27FC236}">
              <a16:creationId xmlns:a16="http://schemas.microsoft.com/office/drawing/2014/main" id="{321DA563-45BB-4938-9721-F36904C1DB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19" name="TextBox 8">
          <a:extLst>
            <a:ext uri="{FF2B5EF4-FFF2-40B4-BE49-F238E27FC236}">
              <a16:creationId xmlns:a16="http://schemas.microsoft.com/office/drawing/2014/main" id="{0196882E-5726-447C-8522-C69054D7C4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0" name="TextBox 2">
          <a:extLst>
            <a:ext uri="{FF2B5EF4-FFF2-40B4-BE49-F238E27FC236}">
              <a16:creationId xmlns:a16="http://schemas.microsoft.com/office/drawing/2014/main" id="{387DE4C1-D3F8-4429-AF21-FEBDC43A0E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1" name="TextBox 4">
          <a:extLst>
            <a:ext uri="{FF2B5EF4-FFF2-40B4-BE49-F238E27FC236}">
              <a16:creationId xmlns:a16="http://schemas.microsoft.com/office/drawing/2014/main" id="{3CAE18E9-9D5C-4187-BA5C-7AE9A2D188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2" name="TextBox 5">
          <a:extLst>
            <a:ext uri="{FF2B5EF4-FFF2-40B4-BE49-F238E27FC236}">
              <a16:creationId xmlns:a16="http://schemas.microsoft.com/office/drawing/2014/main" id="{E2DF5C63-EF4A-4B59-988D-5FFB5BC4E1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3" name="TextBox 6">
          <a:extLst>
            <a:ext uri="{FF2B5EF4-FFF2-40B4-BE49-F238E27FC236}">
              <a16:creationId xmlns:a16="http://schemas.microsoft.com/office/drawing/2014/main" id="{D82E7032-735F-4C4B-B514-C89AC7EFE8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4" name="TextBox 7">
          <a:extLst>
            <a:ext uri="{FF2B5EF4-FFF2-40B4-BE49-F238E27FC236}">
              <a16:creationId xmlns:a16="http://schemas.microsoft.com/office/drawing/2014/main" id="{E514A8D1-0FC1-40E8-99FD-3B59F1A691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5" name="TextBox 8">
          <a:extLst>
            <a:ext uri="{FF2B5EF4-FFF2-40B4-BE49-F238E27FC236}">
              <a16:creationId xmlns:a16="http://schemas.microsoft.com/office/drawing/2014/main" id="{BC0A934F-0620-41C4-85DD-B444B6F9127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6" name="TextBox 2">
          <a:extLst>
            <a:ext uri="{FF2B5EF4-FFF2-40B4-BE49-F238E27FC236}">
              <a16:creationId xmlns:a16="http://schemas.microsoft.com/office/drawing/2014/main" id="{C3F5B462-5480-41F6-9E4C-9F161AA6663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7" name="TextBox 4">
          <a:extLst>
            <a:ext uri="{FF2B5EF4-FFF2-40B4-BE49-F238E27FC236}">
              <a16:creationId xmlns:a16="http://schemas.microsoft.com/office/drawing/2014/main" id="{08B2B0E8-D475-449F-AA1D-DD614BBD95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8" name="TextBox 5">
          <a:extLst>
            <a:ext uri="{FF2B5EF4-FFF2-40B4-BE49-F238E27FC236}">
              <a16:creationId xmlns:a16="http://schemas.microsoft.com/office/drawing/2014/main" id="{F852E536-23FB-4F54-B8CF-B31A96BAF1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29" name="TextBox 6">
          <a:extLst>
            <a:ext uri="{FF2B5EF4-FFF2-40B4-BE49-F238E27FC236}">
              <a16:creationId xmlns:a16="http://schemas.microsoft.com/office/drawing/2014/main" id="{EE4E72DC-1F79-43C8-9EAA-98889AC7E9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0" name="TextBox 7">
          <a:extLst>
            <a:ext uri="{FF2B5EF4-FFF2-40B4-BE49-F238E27FC236}">
              <a16:creationId xmlns:a16="http://schemas.microsoft.com/office/drawing/2014/main" id="{056B2137-01DD-4134-9E07-EBC0DD3BC0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1" name="TextBox 8">
          <a:extLst>
            <a:ext uri="{FF2B5EF4-FFF2-40B4-BE49-F238E27FC236}">
              <a16:creationId xmlns:a16="http://schemas.microsoft.com/office/drawing/2014/main" id="{96BB128A-BC8D-4CC1-B19E-CA5442E4BD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2" name="TextBox 2">
          <a:extLst>
            <a:ext uri="{FF2B5EF4-FFF2-40B4-BE49-F238E27FC236}">
              <a16:creationId xmlns:a16="http://schemas.microsoft.com/office/drawing/2014/main" id="{A27F4163-2EC3-4BC5-862D-750BFA0D55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3" name="TextBox 4">
          <a:extLst>
            <a:ext uri="{FF2B5EF4-FFF2-40B4-BE49-F238E27FC236}">
              <a16:creationId xmlns:a16="http://schemas.microsoft.com/office/drawing/2014/main" id="{60AB60C5-CCE0-4A16-992C-C28607B6477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4" name="TextBox 5">
          <a:extLst>
            <a:ext uri="{FF2B5EF4-FFF2-40B4-BE49-F238E27FC236}">
              <a16:creationId xmlns:a16="http://schemas.microsoft.com/office/drawing/2014/main" id="{A0630F17-D528-4F7F-9145-9132186E7B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5" name="TextBox 6">
          <a:extLst>
            <a:ext uri="{FF2B5EF4-FFF2-40B4-BE49-F238E27FC236}">
              <a16:creationId xmlns:a16="http://schemas.microsoft.com/office/drawing/2014/main" id="{0B47EF2D-805B-4481-84B8-0ECD32878B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6" name="TextBox 7">
          <a:extLst>
            <a:ext uri="{FF2B5EF4-FFF2-40B4-BE49-F238E27FC236}">
              <a16:creationId xmlns:a16="http://schemas.microsoft.com/office/drawing/2014/main" id="{9D7F19B2-9558-4434-8FA7-E6FBEB73EE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7" name="TextBox 8">
          <a:extLst>
            <a:ext uri="{FF2B5EF4-FFF2-40B4-BE49-F238E27FC236}">
              <a16:creationId xmlns:a16="http://schemas.microsoft.com/office/drawing/2014/main" id="{013B66D0-0A50-4441-8B8D-C8CE821253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8" name="TextBox 2">
          <a:extLst>
            <a:ext uri="{FF2B5EF4-FFF2-40B4-BE49-F238E27FC236}">
              <a16:creationId xmlns:a16="http://schemas.microsoft.com/office/drawing/2014/main" id="{B83F17AE-E97D-4387-9AB1-FA33BB7D05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39" name="TextBox 4">
          <a:extLst>
            <a:ext uri="{FF2B5EF4-FFF2-40B4-BE49-F238E27FC236}">
              <a16:creationId xmlns:a16="http://schemas.microsoft.com/office/drawing/2014/main" id="{42517360-9BC8-4002-8DF6-68287F4C0AE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0" name="TextBox 5">
          <a:extLst>
            <a:ext uri="{FF2B5EF4-FFF2-40B4-BE49-F238E27FC236}">
              <a16:creationId xmlns:a16="http://schemas.microsoft.com/office/drawing/2014/main" id="{293AE58F-2E40-4404-A8E4-03BE122DB3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1" name="TextBox 6">
          <a:extLst>
            <a:ext uri="{FF2B5EF4-FFF2-40B4-BE49-F238E27FC236}">
              <a16:creationId xmlns:a16="http://schemas.microsoft.com/office/drawing/2014/main" id="{48CDD1F2-59A7-4FC0-B288-863EA45298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2" name="TextBox 7">
          <a:extLst>
            <a:ext uri="{FF2B5EF4-FFF2-40B4-BE49-F238E27FC236}">
              <a16:creationId xmlns:a16="http://schemas.microsoft.com/office/drawing/2014/main" id="{CC7D4638-1263-4A3A-AAB4-09EFA23338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3" name="TextBox 8">
          <a:extLst>
            <a:ext uri="{FF2B5EF4-FFF2-40B4-BE49-F238E27FC236}">
              <a16:creationId xmlns:a16="http://schemas.microsoft.com/office/drawing/2014/main" id="{2382875D-F752-46C8-99CC-C975A173EB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4" name="TextBox 2">
          <a:extLst>
            <a:ext uri="{FF2B5EF4-FFF2-40B4-BE49-F238E27FC236}">
              <a16:creationId xmlns:a16="http://schemas.microsoft.com/office/drawing/2014/main" id="{83D41FE8-363D-49C1-ADFD-D97E1B2D8D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5" name="TextBox 4">
          <a:extLst>
            <a:ext uri="{FF2B5EF4-FFF2-40B4-BE49-F238E27FC236}">
              <a16:creationId xmlns:a16="http://schemas.microsoft.com/office/drawing/2014/main" id="{C4E4D52E-32B5-4E0E-8099-F0D80BE33C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6" name="TextBox 5">
          <a:extLst>
            <a:ext uri="{FF2B5EF4-FFF2-40B4-BE49-F238E27FC236}">
              <a16:creationId xmlns:a16="http://schemas.microsoft.com/office/drawing/2014/main" id="{70739D4C-2E1D-43F4-90CC-9A2E20B7D1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7" name="TextBox 6">
          <a:extLst>
            <a:ext uri="{FF2B5EF4-FFF2-40B4-BE49-F238E27FC236}">
              <a16:creationId xmlns:a16="http://schemas.microsoft.com/office/drawing/2014/main" id="{FE0BE3F5-59A9-45C3-9AC0-115CC20180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8" name="TextBox 7">
          <a:extLst>
            <a:ext uri="{FF2B5EF4-FFF2-40B4-BE49-F238E27FC236}">
              <a16:creationId xmlns:a16="http://schemas.microsoft.com/office/drawing/2014/main" id="{A0E22D77-E070-42C4-A6B7-AD5CAAC159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49" name="TextBox 8">
          <a:extLst>
            <a:ext uri="{FF2B5EF4-FFF2-40B4-BE49-F238E27FC236}">
              <a16:creationId xmlns:a16="http://schemas.microsoft.com/office/drawing/2014/main" id="{5B4F9CE2-BFFA-4544-8928-8E48FCDDCA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0" name="TextBox 2">
          <a:extLst>
            <a:ext uri="{FF2B5EF4-FFF2-40B4-BE49-F238E27FC236}">
              <a16:creationId xmlns:a16="http://schemas.microsoft.com/office/drawing/2014/main" id="{57E79EB4-6787-4D32-965C-7920FB178D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1" name="TextBox 4">
          <a:extLst>
            <a:ext uri="{FF2B5EF4-FFF2-40B4-BE49-F238E27FC236}">
              <a16:creationId xmlns:a16="http://schemas.microsoft.com/office/drawing/2014/main" id="{9FB1EC75-2FCF-4A15-AD4C-AF6B51053F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2" name="TextBox 5">
          <a:extLst>
            <a:ext uri="{FF2B5EF4-FFF2-40B4-BE49-F238E27FC236}">
              <a16:creationId xmlns:a16="http://schemas.microsoft.com/office/drawing/2014/main" id="{EE6C78E2-9612-4DF2-9F18-E11BDFCE89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3" name="TextBox 6">
          <a:extLst>
            <a:ext uri="{FF2B5EF4-FFF2-40B4-BE49-F238E27FC236}">
              <a16:creationId xmlns:a16="http://schemas.microsoft.com/office/drawing/2014/main" id="{7007E3A1-2F12-48BD-AF95-129D001064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4" name="TextBox 7">
          <a:extLst>
            <a:ext uri="{FF2B5EF4-FFF2-40B4-BE49-F238E27FC236}">
              <a16:creationId xmlns:a16="http://schemas.microsoft.com/office/drawing/2014/main" id="{491EFCF6-1698-4F84-B329-339EDFD74D9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5" name="TextBox 8">
          <a:extLst>
            <a:ext uri="{FF2B5EF4-FFF2-40B4-BE49-F238E27FC236}">
              <a16:creationId xmlns:a16="http://schemas.microsoft.com/office/drawing/2014/main" id="{8705852D-72B2-4FC0-A597-33473C5C92A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6" name="TextBox 2">
          <a:extLst>
            <a:ext uri="{FF2B5EF4-FFF2-40B4-BE49-F238E27FC236}">
              <a16:creationId xmlns:a16="http://schemas.microsoft.com/office/drawing/2014/main" id="{220F5531-01DF-4853-B7C7-6A40BEA1DC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7" name="TextBox 4">
          <a:extLst>
            <a:ext uri="{FF2B5EF4-FFF2-40B4-BE49-F238E27FC236}">
              <a16:creationId xmlns:a16="http://schemas.microsoft.com/office/drawing/2014/main" id="{DC554AE6-24EC-4D76-A2A6-606AE4B428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8" name="TextBox 5">
          <a:extLst>
            <a:ext uri="{FF2B5EF4-FFF2-40B4-BE49-F238E27FC236}">
              <a16:creationId xmlns:a16="http://schemas.microsoft.com/office/drawing/2014/main" id="{D297A55C-92B0-4F30-BDD4-20F98B2885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59" name="TextBox 6">
          <a:extLst>
            <a:ext uri="{FF2B5EF4-FFF2-40B4-BE49-F238E27FC236}">
              <a16:creationId xmlns:a16="http://schemas.microsoft.com/office/drawing/2014/main" id="{E955DE80-C2E4-458E-9481-22BEE30CB5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0" name="TextBox 7">
          <a:extLst>
            <a:ext uri="{FF2B5EF4-FFF2-40B4-BE49-F238E27FC236}">
              <a16:creationId xmlns:a16="http://schemas.microsoft.com/office/drawing/2014/main" id="{6E399B1F-128E-4996-8858-A4B70700F7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1" name="TextBox 8">
          <a:extLst>
            <a:ext uri="{FF2B5EF4-FFF2-40B4-BE49-F238E27FC236}">
              <a16:creationId xmlns:a16="http://schemas.microsoft.com/office/drawing/2014/main" id="{F245356F-2A12-4387-B0AD-2873CCEDDD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2" name="TextBox 2">
          <a:extLst>
            <a:ext uri="{FF2B5EF4-FFF2-40B4-BE49-F238E27FC236}">
              <a16:creationId xmlns:a16="http://schemas.microsoft.com/office/drawing/2014/main" id="{9E9A9C22-3B00-4D7E-A59E-5B308F8926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3" name="TextBox 4">
          <a:extLst>
            <a:ext uri="{FF2B5EF4-FFF2-40B4-BE49-F238E27FC236}">
              <a16:creationId xmlns:a16="http://schemas.microsoft.com/office/drawing/2014/main" id="{DC593597-E76D-44C7-9CCB-0FEF72FFD09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4" name="TextBox 5">
          <a:extLst>
            <a:ext uri="{FF2B5EF4-FFF2-40B4-BE49-F238E27FC236}">
              <a16:creationId xmlns:a16="http://schemas.microsoft.com/office/drawing/2014/main" id="{54BA5B74-1354-43BB-B78F-D62C81CD56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5" name="TextBox 6">
          <a:extLst>
            <a:ext uri="{FF2B5EF4-FFF2-40B4-BE49-F238E27FC236}">
              <a16:creationId xmlns:a16="http://schemas.microsoft.com/office/drawing/2014/main" id="{83B28AE9-F331-4620-90DD-6231BFB57E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6" name="TextBox 7">
          <a:extLst>
            <a:ext uri="{FF2B5EF4-FFF2-40B4-BE49-F238E27FC236}">
              <a16:creationId xmlns:a16="http://schemas.microsoft.com/office/drawing/2014/main" id="{1D3BD5F6-F890-48D0-952D-6D731C532E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7" name="TextBox 8">
          <a:extLst>
            <a:ext uri="{FF2B5EF4-FFF2-40B4-BE49-F238E27FC236}">
              <a16:creationId xmlns:a16="http://schemas.microsoft.com/office/drawing/2014/main" id="{5CFBCF41-0792-47BC-A316-B4A70C4175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8" name="TextBox 2">
          <a:extLst>
            <a:ext uri="{FF2B5EF4-FFF2-40B4-BE49-F238E27FC236}">
              <a16:creationId xmlns:a16="http://schemas.microsoft.com/office/drawing/2014/main" id="{FC05741A-BD74-4916-9B62-937661D46C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69" name="TextBox 4">
          <a:extLst>
            <a:ext uri="{FF2B5EF4-FFF2-40B4-BE49-F238E27FC236}">
              <a16:creationId xmlns:a16="http://schemas.microsoft.com/office/drawing/2014/main" id="{C166ADEB-25DE-4444-9559-E16953B954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0" name="TextBox 5">
          <a:extLst>
            <a:ext uri="{FF2B5EF4-FFF2-40B4-BE49-F238E27FC236}">
              <a16:creationId xmlns:a16="http://schemas.microsoft.com/office/drawing/2014/main" id="{50E73069-4F95-444E-A3CC-709412F70F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1" name="TextBox 6">
          <a:extLst>
            <a:ext uri="{FF2B5EF4-FFF2-40B4-BE49-F238E27FC236}">
              <a16:creationId xmlns:a16="http://schemas.microsoft.com/office/drawing/2014/main" id="{64C10333-D0EE-47EE-BF39-96EAC0102B9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2" name="TextBox 7">
          <a:extLst>
            <a:ext uri="{FF2B5EF4-FFF2-40B4-BE49-F238E27FC236}">
              <a16:creationId xmlns:a16="http://schemas.microsoft.com/office/drawing/2014/main" id="{0D480EC4-FD60-48AB-B28A-083C1822AC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3" name="TextBox 8">
          <a:extLst>
            <a:ext uri="{FF2B5EF4-FFF2-40B4-BE49-F238E27FC236}">
              <a16:creationId xmlns:a16="http://schemas.microsoft.com/office/drawing/2014/main" id="{0F059DB8-7621-45D3-BFD2-734712E2C5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4" name="TextBox 2">
          <a:extLst>
            <a:ext uri="{FF2B5EF4-FFF2-40B4-BE49-F238E27FC236}">
              <a16:creationId xmlns:a16="http://schemas.microsoft.com/office/drawing/2014/main" id="{DC15413A-0DC5-4188-AE50-1835A969C5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5" name="TextBox 4">
          <a:extLst>
            <a:ext uri="{FF2B5EF4-FFF2-40B4-BE49-F238E27FC236}">
              <a16:creationId xmlns:a16="http://schemas.microsoft.com/office/drawing/2014/main" id="{26C4E3DB-BB09-43C9-A420-F217F59CCF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6" name="TextBox 5">
          <a:extLst>
            <a:ext uri="{FF2B5EF4-FFF2-40B4-BE49-F238E27FC236}">
              <a16:creationId xmlns:a16="http://schemas.microsoft.com/office/drawing/2014/main" id="{638BEA22-0130-4CC5-AAA0-4696431A96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7" name="TextBox 6">
          <a:extLst>
            <a:ext uri="{FF2B5EF4-FFF2-40B4-BE49-F238E27FC236}">
              <a16:creationId xmlns:a16="http://schemas.microsoft.com/office/drawing/2014/main" id="{BC4513BF-59F9-4AA6-9DE0-C5E1098467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8" name="TextBox 7">
          <a:extLst>
            <a:ext uri="{FF2B5EF4-FFF2-40B4-BE49-F238E27FC236}">
              <a16:creationId xmlns:a16="http://schemas.microsoft.com/office/drawing/2014/main" id="{60EC7445-4F4E-4B1F-B03C-5FCC730804C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79" name="TextBox 8">
          <a:extLst>
            <a:ext uri="{FF2B5EF4-FFF2-40B4-BE49-F238E27FC236}">
              <a16:creationId xmlns:a16="http://schemas.microsoft.com/office/drawing/2014/main" id="{12134CD1-27B1-445F-9AA4-140B3E051F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0" name="TextBox 2">
          <a:extLst>
            <a:ext uri="{FF2B5EF4-FFF2-40B4-BE49-F238E27FC236}">
              <a16:creationId xmlns:a16="http://schemas.microsoft.com/office/drawing/2014/main" id="{BDFBDA36-8658-4884-B332-AE91A4D3CD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1" name="TextBox 4">
          <a:extLst>
            <a:ext uri="{FF2B5EF4-FFF2-40B4-BE49-F238E27FC236}">
              <a16:creationId xmlns:a16="http://schemas.microsoft.com/office/drawing/2014/main" id="{DCB19F21-2D97-40F6-A138-AD7CCBD5BC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2" name="TextBox 5">
          <a:extLst>
            <a:ext uri="{FF2B5EF4-FFF2-40B4-BE49-F238E27FC236}">
              <a16:creationId xmlns:a16="http://schemas.microsoft.com/office/drawing/2014/main" id="{1F5DDCB3-0E7B-4BC3-A3F6-FB1131AA4D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3" name="TextBox 6">
          <a:extLst>
            <a:ext uri="{FF2B5EF4-FFF2-40B4-BE49-F238E27FC236}">
              <a16:creationId xmlns:a16="http://schemas.microsoft.com/office/drawing/2014/main" id="{0628DC56-ACED-44AE-BBE3-389F86E87C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4" name="TextBox 7">
          <a:extLst>
            <a:ext uri="{FF2B5EF4-FFF2-40B4-BE49-F238E27FC236}">
              <a16:creationId xmlns:a16="http://schemas.microsoft.com/office/drawing/2014/main" id="{5C52F318-06B9-4945-A3E2-9FA70F8B17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5" name="TextBox 8">
          <a:extLst>
            <a:ext uri="{FF2B5EF4-FFF2-40B4-BE49-F238E27FC236}">
              <a16:creationId xmlns:a16="http://schemas.microsoft.com/office/drawing/2014/main" id="{8ADE9500-8B9A-43EC-83A3-550CA37E112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6" name="TextBox 2">
          <a:extLst>
            <a:ext uri="{FF2B5EF4-FFF2-40B4-BE49-F238E27FC236}">
              <a16:creationId xmlns:a16="http://schemas.microsoft.com/office/drawing/2014/main" id="{7A01C454-FB2C-4C02-B2B9-C9D08442D1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7" name="TextBox 4">
          <a:extLst>
            <a:ext uri="{FF2B5EF4-FFF2-40B4-BE49-F238E27FC236}">
              <a16:creationId xmlns:a16="http://schemas.microsoft.com/office/drawing/2014/main" id="{F002DADF-D6D1-489D-9B3D-A3E610EAD9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8" name="TextBox 5">
          <a:extLst>
            <a:ext uri="{FF2B5EF4-FFF2-40B4-BE49-F238E27FC236}">
              <a16:creationId xmlns:a16="http://schemas.microsoft.com/office/drawing/2014/main" id="{CB5D61D8-95FF-4C8A-9AFA-C2F86322F5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89" name="TextBox 6">
          <a:extLst>
            <a:ext uri="{FF2B5EF4-FFF2-40B4-BE49-F238E27FC236}">
              <a16:creationId xmlns:a16="http://schemas.microsoft.com/office/drawing/2014/main" id="{94DFA43B-EC82-4259-AD97-B352CDE266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0" name="TextBox 7">
          <a:extLst>
            <a:ext uri="{FF2B5EF4-FFF2-40B4-BE49-F238E27FC236}">
              <a16:creationId xmlns:a16="http://schemas.microsoft.com/office/drawing/2014/main" id="{8B0468B2-8B35-4439-93A1-F295183DB2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1" name="TextBox 8">
          <a:extLst>
            <a:ext uri="{FF2B5EF4-FFF2-40B4-BE49-F238E27FC236}">
              <a16:creationId xmlns:a16="http://schemas.microsoft.com/office/drawing/2014/main" id="{94BFCA91-0A1B-478C-B3A2-53661C00B0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2" name="TextBox 2">
          <a:extLst>
            <a:ext uri="{FF2B5EF4-FFF2-40B4-BE49-F238E27FC236}">
              <a16:creationId xmlns:a16="http://schemas.microsoft.com/office/drawing/2014/main" id="{3B0F6993-928C-4FD1-8C0F-A988ED3D18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3" name="TextBox 4">
          <a:extLst>
            <a:ext uri="{FF2B5EF4-FFF2-40B4-BE49-F238E27FC236}">
              <a16:creationId xmlns:a16="http://schemas.microsoft.com/office/drawing/2014/main" id="{A52C7DFD-6F62-4807-9082-9D87F82E0A7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4" name="TextBox 5">
          <a:extLst>
            <a:ext uri="{FF2B5EF4-FFF2-40B4-BE49-F238E27FC236}">
              <a16:creationId xmlns:a16="http://schemas.microsoft.com/office/drawing/2014/main" id="{8C77AD78-B2B4-4361-8313-975BF3DB3D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5" name="TextBox 6">
          <a:extLst>
            <a:ext uri="{FF2B5EF4-FFF2-40B4-BE49-F238E27FC236}">
              <a16:creationId xmlns:a16="http://schemas.microsoft.com/office/drawing/2014/main" id="{D639B02A-DA1B-447E-8DD0-EFFE5F05FA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6" name="TextBox 7">
          <a:extLst>
            <a:ext uri="{FF2B5EF4-FFF2-40B4-BE49-F238E27FC236}">
              <a16:creationId xmlns:a16="http://schemas.microsoft.com/office/drawing/2014/main" id="{D0444DFF-0323-46DC-B360-33AB3ABBBD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7" name="TextBox 8">
          <a:extLst>
            <a:ext uri="{FF2B5EF4-FFF2-40B4-BE49-F238E27FC236}">
              <a16:creationId xmlns:a16="http://schemas.microsoft.com/office/drawing/2014/main" id="{32ED826F-CD02-44F6-8219-FA82CCEEF37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8" name="TextBox 2">
          <a:extLst>
            <a:ext uri="{FF2B5EF4-FFF2-40B4-BE49-F238E27FC236}">
              <a16:creationId xmlns:a16="http://schemas.microsoft.com/office/drawing/2014/main" id="{006C6BB6-D869-4E2C-B856-A0694D23BD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199" name="TextBox 4">
          <a:extLst>
            <a:ext uri="{FF2B5EF4-FFF2-40B4-BE49-F238E27FC236}">
              <a16:creationId xmlns:a16="http://schemas.microsoft.com/office/drawing/2014/main" id="{5D45313A-F001-4958-8E7A-15F7326ED0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0" name="TextBox 5">
          <a:extLst>
            <a:ext uri="{FF2B5EF4-FFF2-40B4-BE49-F238E27FC236}">
              <a16:creationId xmlns:a16="http://schemas.microsoft.com/office/drawing/2014/main" id="{9D447D72-0203-4EA7-AAFA-0A1B7B2FA8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1" name="TextBox 6">
          <a:extLst>
            <a:ext uri="{FF2B5EF4-FFF2-40B4-BE49-F238E27FC236}">
              <a16:creationId xmlns:a16="http://schemas.microsoft.com/office/drawing/2014/main" id="{E7D75133-4E83-43F7-A8C5-9818F3A190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2" name="TextBox 7">
          <a:extLst>
            <a:ext uri="{FF2B5EF4-FFF2-40B4-BE49-F238E27FC236}">
              <a16:creationId xmlns:a16="http://schemas.microsoft.com/office/drawing/2014/main" id="{657023AD-F824-4284-86C9-8F05ADBED0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3" name="TextBox 8">
          <a:extLst>
            <a:ext uri="{FF2B5EF4-FFF2-40B4-BE49-F238E27FC236}">
              <a16:creationId xmlns:a16="http://schemas.microsoft.com/office/drawing/2014/main" id="{D4D77947-DF33-433D-9F5B-43BDA9EC35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4" name="TextBox 2">
          <a:extLst>
            <a:ext uri="{FF2B5EF4-FFF2-40B4-BE49-F238E27FC236}">
              <a16:creationId xmlns:a16="http://schemas.microsoft.com/office/drawing/2014/main" id="{926B850F-3C34-4735-A00D-927CDD6D0A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5" name="TextBox 4">
          <a:extLst>
            <a:ext uri="{FF2B5EF4-FFF2-40B4-BE49-F238E27FC236}">
              <a16:creationId xmlns:a16="http://schemas.microsoft.com/office/drawing/2014/main" id="{320D015E-4EDE-4AF6-BB15-CA8B2C5043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6" name="TextBox 5">
          <a:extLst>
            <a:ext uri="{FF2B5EF4-FFF2-40B4-BE49-F238E27FC236}">
              <a16:creationId xmlns:a16="http://schemas.microsoft.com/office/drawing/2014/main" id="{BA8F8F06-E608-4F72-9077-D4F34802BA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7" name="TextBox 6">
          <a:extLst>
            <a:ext uri="{FF2B5EF4-FFF2-40B4-BE49-F238E27FC236}">
              <a16:creationId xmlns:a16="http://schemas.microsoft.com/office/drawing/2014/main" id="{27965264-6DE9-42D8-95F0-DBA5316973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8" name="TextBox 7">
          <a:extLst>
            <a:ext uri="{FF2B5EF4-FFF2-40B4-BE49-F238E27FC236}">
              <a16:creationId xmlns:a16="http://schemas.microsoft.com/office/drawing/2014/main" id="{5EA6EE16-04B6-4A08-80BD-23CF97B60F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09" name="TextBox 8">
          <a:extLst>
            <a:ext uri="{FF2B5EF4-FFF2-40B4-BE49-F238E27FC236}">
              <a16:creationId xmlns:a16="http://schemas.microsoft.com/office/drawing/2014/main" id="{ABA44AB4-BF18-472F-A198-C9248F7360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0" name="TextBox 2">
          <a:extLst>
            <a:ext uri="{FF2B5EF4-FFF2-40B4-BE49-F238E27FC236}">
              <a16:creationId xmlns:a16="http://schemas.microsoft.com/office/drawing/2014/main" id="{0BFA98B2-9DB8-4FEB-BC04-726E2CE434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1" name="TextBox 4">
          <a:extLst>
            <a:ext uri="{FF2B5EF4-FFF2-40B4-BE49-F238E27FC236}">
              <a16:creationId xmlns:a16="http://schemas.microsoft.com/office/drawing/2014/main" id="{58974D9B-451A-469C-AEC7-3767D42323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2" name="TextBox 5">
          <a:extLst>
            <a:ext uri="{FF2B5EF4-FFF2-40B4-BE49-F238E27FC236}">
              <a16:creationId xmlns:a16="http://schemas.microsoft.com/office/drawing/2014/main" id="{5797D1AC-B4F4-4A9D-9402-694DBFF928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3" name="TextBox 6">
          <a:extLst>
            <a:ext uri="{FF2B5EF4-FFF2-40B4-BE49-F238E27FC236}">
              <a16:creationId xmlns:a16="http://schemas.microsoft.com/office/drawing/2014/main" id="{471B28CF-3132-4C06-AA18-09CC6F01DB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4" name="TextBox 7">
          <a:extLst>
            <a:ext uri="{FF2B5EF4-FFF2-40B4-BE49-F238E27FC236}">
              <a16:creationId xmlns:a16="http://schemas.microsoft.com/office/drawing/2014/main" id="{68B0BE52-4400-424B-B279-63E4D58DED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5" name="TextBox 8">
          <a:extLst>
            <a:ext uri="{FF2B5EF4-FFF2-40B4-BE49-F238E27FC236}">
              <a16:creationId xmlns:a16="http://schemas.microsoft.com/office/drawing/2014/main" id="{074CEF8F-B04A-4274-B55A-D7083EB1AA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6" name="TextBox 2">
          <a:extLst>
            <a:ext uri="{FF2B5EF4-FFF2-40B4-BE49-F238E27FC236}">
              <a16:creationId xmlns:a16="http://schemas.microsoft.com/office/drawing/2014/main" id="{D6F9E476-D8F7-4671-83D5-DB92DE2986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7" name="TextBox 4">
          <a:extLst>
            <a:ext uri="{FF2B5EF4-FFF2-40B4-BE49-F238E27FC236}">
              <a16:creationId xmlns:a16="http://schemas.microsoft.com/office/drawing/2014/main" id="{7323474B-638F-48F6-AB62-C647D3FE6E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8" name="TextBox 5">
          <a:extLst>
            <a:ext uri="{FF2B5EF4-FFF2-40B4-BE49-F238E27FC236}">
              <a16:creationId xmlns:a16="http://schemas.microsoft.com/office/drawing/2014/main" id="{EA42D4B0-D597-439E-B9FB-44F5AACDF2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19" name="TextBox 6">
          <a:extLst>
            <a:ext uri="{FF2B5EF4-FFF2-40B4-BE49-F238E27FC236}">
              <a16:creationId xmlns:a16="http://schemas.microsoft.com/office/drawing/2014/main" id="{C13AFF0D-30D9-4182-BA23-ABBC1DB499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0" name="TextBox 7">
          <a:extLst>
            <a:ext uri="{FF2B5EF4-FFF2-40B4-BE49-F238E27FC236}">
              <a16:creationId xmlns:a16="http://schemas.microsoft.com/office/drawing/2014/main" id="{D2A523E4-AA0F-4451-8166-6A6FAE843D9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1" name="TextBox 8">
          <a:extLst>
            <a:ext uri="{FF2B5EF4-FFF2-40B4-BE49-F238E27FC236}">
              <a16:creationId xmlns:a16="http://schemas.microsoft.com/office/drawing/2014/main" id="{12C95326-3912-451B-B4EA-BFF85E52DB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2" name="TextBox 2">
          <a:extLst>
            <a:ext uri="{FF2B5EF4-FFF2-40B4-BE49-F238E27FC236}">
              <a16:creationId xmlns:a16="http://schemas.microsoft.com/office/drawing/2014/main" id="{2970AD99-1BAF-4790-A293-2151A4C428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3" name="TextBox 4">
          <a:extLst>
            <a:ext uri="{FF2B5EF4-FFF2-40B4-BE49-F238E27FC236}">
              <a16:creationId xmlns:a16="http://schemas.microsoft.com/office/drawing/2014/main" id="{B9D59D9A-13A4-43BC-A88E-E2E8EC1E71D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4" name="TextBox 5">
          <a:extLst>
            <a:ext uri="{FF2B5EF4-FFF2-40B4-BE49-F238E27FC236}">
              <a16:creationId xmlns:a16="http://schemas.microsoft.com/office/drawing/2014/main" id="{219E6C2B-6F1C-4138-9FFA-26BE92299F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5" name="TextBox 6">
          <a:extLst>
            <a:ext uri="{FF2B5EF4-FFF2-40B4-BE49-F238E27FC236}">
              <a16:creationId xmlns:a16="http://schemas.microsoft.com/office/drawing/2014/main" id="{8744E2A8-F878-4C05-9C7D-4010DCAF33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6" name="TextBox 7">
          <a:extLst>
            <a:ext uri="{FF2B5EF4-FFF2-40B4-BE49-F238E27FC236}">
              <a16:creationId xmlns:a16="http://schemas.microsoft.com/office/drawing/2014/main" id="{41A0BED4-68CE-44C7-8A2C-0351E764D5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7" name="TextBox 8">
          <a:extLst>
            <a:ext uri="{FF2B5EF4-FFF2-40B4-BE49-F238E27FC236}">
              <a16:creationId xmlns:a16="http://schemas.microsoft.com/office/drawing/2014/main" id="{2085F55C-4BB9-479D-8BC8-9C5534621A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8" name="TextBox 2">
          <a:extLst>
            <a:ext uri="{FF2B5EF4-FFF2-40B4-BE49-F238E27FC236}">
              <a16:creationId xmlns:a16="http://schemas.microsoft.com/office/drawing/2014/main" id="{B790AB3F-A750-4C32-B901-8EE96780EF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29" name="TextBox 4">
          <a:extLst>
            <a:ext uri="{FF2B5EF4-FFF2-40B4-BE49-F238E27FC236}">
              <a16:creationId xmlns:a16="http://schemas.microsoft.com/office/drawing/2014/main" id="{F411FFB9-3BDC-4E89-93A6-4CBF9A02FF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0" name="TextBox 5">
          <a:extLst>
            <a:ext uri="{FF2B5EF4-FFF2-40B4-BE49-F238E27FC236}">
              <a16:creationId xmlns:a16="http://schemas.microsoft.com/office/drawing/2014/main" id="{72AE114F-CE51-4893-9F6A-438172C1A2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1" name="TextBox 6">
          <a:extLst>
            <a:ext uri="{FF2B5EF4-FFF2-40B4-BE49-F238E27FC236}">
              <a16:creationId xmlns:a16="http://schemas.microsoft.com/office/drawing/2014/main" id="{3B2E17B5-09A1-484E-A69B-1319764355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2" name="TextBox 7">
          <a:extLst>
            <a:ext uri="{FF2B5EF4-FFF2-40B4-BE49-F238E27FC236}">
              <a16:creationId xmlns:a16="http://schemas.microsoft.com/office/drawing/2014/main" id="{F86D7A25-6A1E-4FC5-BF97-4AE1E478B3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3" name="TextBox 8">
          <a:extLst>
            <a:ext uri="{FF2B5EF4-FFF2-40B4-BE49-F238E27FC236}">
              <a16:creationId xmlns:a16="http://schemas.microsoft.com/office/drawing/2014/main" id="{1190D466-91BE-46B0-A380-ECE9710218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4" name="TextBox 2">
          <a:extLst>
            <a:ext uri="{FF2B5EF4-FFF2-40B4-BE49-F238E27FC236}">
              <a16:creationId xmlns:a16="http://schemas.microsoft.com/office/drawing/2014/main" id="{D0D5978E-D284-4A23-AEBE-D542F80454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5" name="TextBox 4">
          <a:extLst>
            <a:ext uri="{FF2B5EF4-FFF2-40B4-BE49-F238E27FC236}">
              <a16:creationId xmlns:a16="http://schemas.microsoft.com/office/drawing/2014/main" id="{3F487F6A-B4ED-490F-A9DA-EE28116C59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6" name="TextBox 5">
          <a:extLst>
            <a:ext uri="{FF2B5EF4-FFF2-40B4-BE49-F238E27FC236}">
              <a16:creationId xmlns:a16="http://schemas.microsoft.com/office/drawing/2014/main" id="{9C7CEAD5-413F-457F-8141-E66AA6D8DC3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7" name="TextBox 6">
          <a:extLst>
            <a:ext uri="{FF2B5EF4-FFF2-40B4-BE49-F238E27FC236}">
              <a16:creationId xmlns:a16="http://schemas.microsoft.com/office/drawing/2014/main" id="{282580DE-EB4C-4229-91FE-57EC654F4F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8" name="TextBox 7">
          <a:extLst>
            <a:ext uri="{FF2B5EF4-FFF2-40B4-BE49-F238E27FC236}">
              <a16:creationId xmlns:a16="http://schemas.microsoft.com/office/drawing/2014/main" id="{CB88AC05-2D59-4329-B153-1BDEDC4EEE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39" name="TextBox 8">
          <a:extLst>
            <a:ext uri="{FF2B5EF4-FFF2-40B4-BE49-F238E27FC236}">
              <a16:creationId xmlns:a16="http://schemas.microsoft.com/office/drawing/2014/main" id="{AB848972-2A3C-44B1-8F60-9D814CA15E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0" name="TextBox 2">
          <a:extLst>
            <a:ext uri="{FF2B5EF4-FFF2-40B4-BE49-F238E27FC236}">
              <a16:creationId xmlns:a16="http://schemas.microsoft.com/office/drawing/2014/main" id="{79B84C27-51E0-4596-BC0C-45CA2BFB32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1" name="TextBox 4">
          <a:extLst>
            <a:ext uri="{FF2B5EF4-FFF2-40B4-BE49-F238E27FC236}">
              <a16:creationId xmlns:a16="http://schemas.microsoft.com/office/drawing/2014/main" id="{9B5F858B-8145-42CD-8AF7-5A27A21D03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2" name="TextBox 5">
          <a:extLst>
            <a:ext uri="{FF2B5EF4-FFF2-40B4-BE49-F238E27FC236}">
              <a16:creationId xmlns:a16="http://schemas.microsoft.com/office/drawing/2014/main" id="{F2BC6A25-1FCF-49B2-B7F4-4246B5E050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3" name="TextBox 6">
          <a:extLst>
            <a:ext uri="{FF2B5EF4-FFF2-40B4-BE49-F238E27FC236}">
              <a16:creationId xmlns:a16="http://schemas.microsoft.com/office/drawing/2014/main" id="{60A56820-6935-4A41-A6F3-3A60C461AC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4" name="TextBox 7">
          <a:extLst>
            <a:ext uri="{FF2B5EF4-FFF2-40B4-BE49-F238E27FC236}">
              <a16:creationId xmlns:a16="http://schemas.microsoft.com/office/drawing/2014/main" id="{27A6C5A6-639D-4A8D-8B84-051FA1F82E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5" name="TextBox 8">
          <a:extLst>
            <a:ext uri="{FF2B5EF4-FFF2-40B4-BE49-F238E27FC236}">
              <a16:creationId xmlns:a16="http://schemas.microsoft.com/office/drawing/2014/main" id="{7C173E6C-2661-4745-8EA5-4418D45851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6" name="TextBox 2">
          <a:extLst>
            <a:ext uri="{FF2B5EF4-FFF2-40B4-BE49-F238E27FC236}">
              <a16:creationId xmlns:a16="http://schemas.microsoft.com/office/drawing/2014/main" id="{3F292DFF-7D8E-4D77-A54F-65B11E8B87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7" name="TextBox 4">
          <a:extLst>
            <a:ext uri="{FF2B5EF4-FFF2-40B4-BE49-F238E27FC236}">
              <a16:creationId xmlns:a16="http://schemas.microsoft.com/office/drawing/2014/main" id="{ACB92A2E-284F-4D3F-8EA8-6F031AD280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8" name="TextBox 5">
          <a:extLst>
            <a:ext uri="{FF2B5EF4-FFF2-40B4-BE49-F238E27FC236}">
              <a16:creationId xmlns:a16="http://schemas.microsoft.com/office/drawing/2014/main" id="{456B7B3E-332F-4E76-B92C-941F0180D2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49" name="TextBox 6">
          <a:extLst>
            <a:ext uri="{FF2B5EF4-FFF2-40B4-BE49-F238E27FC236}">
              <a16:creationId xmlns:a16="http://schemas.microsoft.com/office/drawing/2014/main" id="{A3032E5A-E2E5-42DB-817A-530578DDEAC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0" name="TextBox 7">
          <a:extLst>
            <a:ext uri="{FF2B5EF4-FFF2-40B4-BE49-F238E27FC236}">
              <a16:creationId xmlns:a16="http://schemas.microsoft.com/office/drawing/2014/main" id="{71BFAE6F-C27A-4E37-961B-6444D21406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1" name="TextBox 8">
          <a:extLst>
            <a:ext uri="{FF2B5EF4-FFF2-40B4-BE49-F238E27FC236}">
              <a16:creationId xmlns:a16="http://schemas.microsoft.com/office/drawing/2014/main" id="{F0F435F4-F6A5-4687-8E24-15213F093A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2" name="TextBox 2">
          <a:extLst>
            <a:ext uri="{FF2B5EF4-FFF2-40B4-BE49-F238E27FC236}">
              <a16:creationId xmlns:a16="http://schemas.microsoft.com/office/drawing/2014/main" id="{851DAC80-FD6B-4C56-9AAE-EB94A0F115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3" name="TextBox 4">
          <a:extLst>
            <a:ext uri="{FF2B5EF4-FFF2-40B4-BE49-F238E27FC236}">
              <a16:creationId xmlns:a16="http://schemas.microsoft.com/office/drawing/2014/main" id="{DDE48D4F-EDEF-42C6-99F8-84617456825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4" name="TextBox 5">
          <a:extLst>
            <a:ext uri="{FF2B5EF4-FFF2-40B4-BE49-F238E27FC236}">
              <a16:creationId xmlns:a16="http://schemas.microsoft.com/office/drawing/2014/main" id="{66819ABD-B740-4B50-AE85-925D400EFD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5" name="TextBox 6">
          <a:extLst>
            <a:ext uri="{FF2B5EF4-FFF2-40B4-BE49-F238E27FC236}">
              <a16:creationId xmlns:a16="http://schemas.microsoft.com/office/drawing/2014/main" id="{33DCF1D1-71F6-4C95-8221-6ADAC148E4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6" name="TextBox 7">
          <a:extLst>
            <a:ext uri="{FF2B5EF4-FFF2-40B4-BE49-F238E27FC236}">
              <a16:creationId xmlns:a16="http://schemas.microsoft.com/office/drawing/2014/main" id="{568E90FE-F268-4AC1-9AF6-1F3A9F869B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7" name="TextBox 8">
          <a:extLst>
            <a:ext uri="{FF2B5EF4-FFF2-40B4-BE49-F238E27FC236}">
              <a16:creationId xmlns:a16="http://schemas.microsoft.com/office/drawing/2014/main" id="{9D787CB8-942E-4A0A-8132-2154067320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8" name="TextBox 2">
          <a:extLst>
            <a:ext uri="{FF2B5EF4-FFF2-40B4-BE49-F238E27FC236}">
              <a16:creationId xmlns:a16="http://schemas.microsoft.com/office/drawing/2014/main" id="{5B747F87-FFDB-4BE2-95E8-217AF98ACD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59" name="TextBox 4">
          <a:extLst>
            <a:ext uri="{FF2B5EF4-FFF2-40B4-BE49-F238E27FC236}">
              <a16:creationId xmlns:a16="http://schemas.microsoft.com/office/drawing/2014/main" id="{61478ED0-E2BF-434B-BFD1-EDBA763FFD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0" name="TextBox 5">
          <a:extLst>
            <a:ext uri="{FF2B5EF4-FFF2-40B4-BE49-F238E27FC236}">
              <a16:creationId xmlns:a16="http://schemas.microsoft.com/office/drawing/2014/main" id="{6876F372-5C3F-440E-AC47-C41BC61EAF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1" name="TextBox 6">
          <a:extLst>
            <a:ext uri="{FF2B5EF4-FFF2-40B4-BE49-F238E27FC236}">
              <a16:creationId xmlns:a16="http://schemas.microsoft.com/office/drawing/2014/main" id="{1D7947D9-F945-4594-9C87-65386B102F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2" name="TextBox 7">
          <a:extLst>
            <a:ext uri="{FF2B5EF4-FFF2-40B4-BE49-F238E27FC236}">
              <a16:creationId xmlns:a16="http://schemas.microsoft.com/office/drawing/2014/main" id="{E88621F1-F563-4C6D-A14A-208A505D55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3" name="TextBox 8">
          <a:extLst>
            <a:ext uri="{FF2B5EF4-FFF2-40B4-BE49-F238E27FC236}">
              <a16:creationId xmlns:a16="http://schemas.microsoft.com/office/drawing/2014/main" id="{DB5F249B-BC74-478C-990C-D0B1D141C5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4" name="TextBox 2">
          <a:extLst>
            <a:ext uri="{FF2B5EF4-FFF2-40B4-BE49-F238E27FC236}">
              <a16:creationId xmlns:a16="http://schemas.microsoft.com/office/drawing/2014/main" id="{3DCF259B-C424-481F-9E02-4475B9F9B3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5" name="TextBox 4">
          <a:extLst>
            <a:ext uri="{FF2B5EF4-FFF2-40B4-BE49-F238E27FC236}">
              <a16:creationId xmlns:a16="http://schemas.microsoft.com/office/drawing/2014/main" id="{4B92C303-71A0-470F-AF68-34A287E4D1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6" name="TextBox 5">
          <a:extLst>
            <a:ext uri="{FF2B5EF4-FFF2-40B4-BE49-F238E27FC236}">
              <a16:creationId xmlns:a16="http://schemas.microsoft.com/office/drawing/2014/main" id="{0E1F432D-0630-4B01-88C9-A1AF51F05E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7" name="TextBox 6">
          <a:extLst>
            <a:ext uri="{FF2B5EF4-FFF2-40B4-BE49-F238E27FC236}">
              <a16:creationId xmlns:a16="http://schemas.microsoft.com/office/drawing/2014/main" id="{88259A11-57DA-414D-843E-56B25480F1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8" name="TextBox 7">
          <a:extLst>
            <a:ext uri="{FF2B5EF4-FFF2-40B4-BE49-F238E27FC236}">
              <a16:creationId xmlns:a16="http://schemas.microsoft.com/office/drawing/2014/main" id="{74923484-1A00-4D71-990C-5FA14227A2F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69" name="TextBox 8">
          <a:extLst>
            <a:ext uri="{FF2B5EF4-FFF2-40B4-BE49-F238E27FC236}">
              <a16:creationId xmlns:a16="http://schemas.microsoft.com/office/drawing/2014/main" id="{22B9C53A-B540-4A8B-BEC8-3F036264D8E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0" name="TextBox 2">
          <a:extLst>
            <a:ext uri="{FF2B5EF4-FFF2-40B4-BE49-F238E27FC236}">
              <a16:creationId xmlns:a16="http://schemas.microsoft.com/office/drawing/2014/main" id="{31DAE5B7-61D3-450E-97C0-08263B947E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1" name="TextBox 4">
          <a:extLst>
            <a:ext uri="{FF2B5EF4-FFF2-40B4-BE49-F238E27FC236}">
              <a16:creationId xmlns:a16="http://schemas.microsoft.com/office/drawing/2014/main" id="{1F3638A1-305A-4D8F-81D6-017E417947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2" name="TextBox 5">
          <a:extLst>
            <a:ext uri="{FF2B5EF4-FFF2-40B4-BE49-F238E27FC236}">
              <a16:creationId xmlns:a16="http://schemas.microsoft.com/office/drawing/2014/main" id="{C6C86B49-E8B2-412A-BC4C-7B282B0524F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3" name="TextBox 6">
          <a:extLst>
            <a:ext uri="{FF2B5EF4-FFF2-40B4-BE49-F238E27FC236}">
              <a16:creationId xmlns:a16="http://schemas.microsoft.com/office/drawing/2014/main" id="{E94A8A5D-992F-4FAB-AD17-7F3DF1C80D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4" name="TextBox 7">
          <a:extLst>
            <a:ext uri="{FF2B5EF4-FFF2-40B4-BE49-F238E27FC236}">
              <a16:creationId xmlns:a16="http://schemas.microsoft.com/office/drawing/2014/main" id="{DF876B80-0F3D-4833-91CC-ACCD96AD46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5" name="TextBox 8">
          <a:extLst>
            <a:ext uri="{FF2B5EF4-FFF2-40B4-BE49-F238E27FC236}">
              <a16:creationId xmlns:a16="http://schemas.microsoft.com/office/drawing/2014/main" id="{F8C14794-5A5E-401A-948B-A507EAE1E7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6" name="TextBox 2">
          <a:extLst>
            <a:ext uri="{FF2B5EF4-FFF2-40B4-BE49-F238E27FC236}">
              <a16:creationId xmlns:a16="http://schemas.microsoft.com/office/drawing/2014/main" id="{1D888249-904A-41F1-8325-65CD2EA843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7" name="TextBox 4">
          <a:extLst>
            <a:ext uri="{FF2B5EF4-FFF2-40B4-BE49-F238E27FC236}">
              <a16:creationId xmlns:a16="http://schemas.microsoft.com/office/drawing/2014/main" id="{1FBC98BE-2CFF-4875-A689-BE88FFF09CE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8" name="TextBox 5">
          <a:extLst>
            <a:ext uri="{FF2B5EF4-FFF2-40B4-BE49-F238E27FC236}">
              <a16:creationId xmlns:a16="http://schemas.microsoft.com/office/drawing/2014/main" id="{73A011F8-6CD0-4B07-931F-43B8D24390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79" name="TextBox 6">
          <a:extLst>
            <a:ext uri="{FF2B5EF4-FFF2-40B4-BE49-F238E27FC236}">
              <a16:creationId xmlns:a16="http://schemas.microsoft.com/office/drawing/2014/main" id="{72CBA19A-DDDF-42EC-8448-F0EAF4BE68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0" name="TextBox 7">
          <a:extLst>
            <a:ext uri="{FF2B5EF4-FFF2-40B4-BE49-F238E27FC236}">
              <a16:creationId xmlns:a16="http://schemas.microsoft.com/office/drawing/2014/main" id="{1D632B6D-8FFF-422E-A001-4988DE8391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1" name="TextBox 8">
          <a:extLst>
            <a:ext uri="{FF2B5EF4-FFF2-40B4-BE49-F238E27FC236}">
              <a16:creationId xmlns:a16="http://schemas.microsoft.com/office/drawing/2014/main" id="{4CC0E268-8B4A-4809-A5B8-C0F338A1086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2" name="TextBox 2">
          <a:extLst>
            <a:ext uri="{FF2B5EF4-FFF2-40B4-BE49-F238E27FC236}">
              <a16:creationId xmlns:a16="http://schemas.microsoft.com/office/drawing/2014/main" id="{169CA2B4-FA73-4158-8C68-69EB276F61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3" name="TextBox 4">
          <a:extLst>
            <a:ext uri="{FF2B5EF4-FFF2-40B4-BE49-F238E27FC236}">
              <a16:creationId xmlns:a16="http://schemas.microsoft.com/office/drawing/2014/main" id="{80433DF6-1437-4ACB-908C-7D1FA96BFA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4" name="TextBox 5">
          <a:extLst>
            <a:ext uri="{FF2B5EF4-FFF2-40B4-BE49-F238E27FC236}">
              <a16:creationId xmlns:a16="http://schemas.microsoft.com/office/drawing/2014/main" id="{D7E92E6E-3076-43E9-96D2-61ADCB24DD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5" name="TextBox 6">
          <a:extLst>
            <a:ext uri="{FF2B5EF4-FFF2-40B4-BE49-F238E27FC236}">
              <a16:creationId xmlns:a16="http://schemas.microsoft.com/office/drawing/2014/main" id="{1DC07443-3C3C-414A-A74B-A74F43E0F91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6" name="TextBox 7">
          <a:extLst>
            <a:ext uri="{FF2B5EF4-FFF2-40B4-BE49-F238E27FC236}">
              <a16:creationId xmlns:a16="http://schemas.microsoft.com/office/drawing/2014/main" id="{0BBA5A2D-A3C4-46EC-8C9B-60E9B6A2F7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7" name="TextBox 8">
          <a:extLst>
            <a:ext uri="{FF2B5EF4-FFF2-40B4-BE49-F238E27FC236}">
              <a16:creationId xmlns:a16="http://schemas.microsoft.com/office/drawing/2014/main" id="{B0DBCAAC-297A-4A83-8AC5-F838BE6571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8" name="TextBox 2">
          <a:extLst>
            <a:ext uri="{FF2B5EF4-FFF2-40B4-BE49-F238E27FC236}">
              <a16:creationId xmlns:a16="http://schemas.microsoft.com/office/drawing/2014/main" id="{B42135C3-08A4-4575-B13B-C514956EB0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89" name="TextBox 4">
          <a:extLst>
            <a:ext uri="{FF2B5EF4-FFF2-40B4-BE49-F238E27FC236}">
              <a16:creationId xmlns:a16="http://schemas.microsoft.com/office/drawing/2014/main" id="{70B9963D-A80A-410F-A907-395AF3B68F4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0" name="TextBox 5">
          <a:extLst>
            <a:ext uri="{FF2B5EF4-FFF2-40B4-BE49-F238E27FC236}">
              <a16:creationId xmlns:a16="http://schemas.microsoft.com/office/drawing/2014/main" id="{C11BFB79-FC63-4930-956B-D1CBEC6516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1" name="TextBox 6">
          <a:extLst>
            <a:ext uri="{FF2B5EF4-FFF2-40B4-BE49-F238E27FC236}">
              <a16:creationId xmlns:a16="http://schemas.microsoft.com/office/drawing/2014/main" id="{4C20EE1C-7B59-428E-B28E-845CBACD52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2" name="TextBox 7">
          <a:extLst>
            <a:ext uri="{FF2B5EF4-FFF2-40B4-BE49-F238E27FC236}">
              <a16:creationId xmlns:a16="http://schemas.microsoft.com/office/drawing/2014/main" id="{998342EB-25D7-4DD7-AFEF-7C2903938D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3" name="TextBox 8">
          <a:extLst>
            <a:ext uri="{FF2B5EF4-FFF2-40B4-BE49-F238E27FC236}">
              <a16:creationId xmlns:a16="http://schemas.microsoft.com/office/drawing/2014/main" id="{4B8ECB79-EBDE-40A6-B683-09713C829CE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4" name="TextBox 2">
          <a:extLst>
            <a:ext uri="{FF2B5EF4-FFF2-40B4-BE49-F238E27FC236}">
              <a16:creationId xmlns:a16="http://schemas.microsoft.com/office/drawing/2014/main" id="{54FACE4C-66DC-4A60-9CE3-EF2CF70233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5" name="TextBox 4">
          <a:extLst>
            <a:ext uri="{FF2B5EF4-FFF2-40B4-BE49-F238E27FC236}">
              <a16:creationId xmlns:a16="http://schemas.microsoft.com/office/drawing/2014/main" id="{8637310C-4B75-4629-8748-51DB45F2FA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6" name="TextBox 5">
          <a:extLst>
            <a:ext uri="{FF2B5EF4-FFF2-40B4-BE49-F238E27FC236}">
              <a16:creationId xmlns:a16="http://schemas.microsoft.com/office/drawing/2014/main" id="{127C6602-3A7A-4502-A9D8-778627D7D5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7" name="TextBox 6">
          <a:extLst>
            <a:ext uri="{FF2B5EF4-FFF2-40B4-BE49-F238E27FC236}">
              <a16:creationId xmlns:a16="http://schemas.microsoft.com/office/drawing/2014/main" id="{747D366E-FFD2-4F6A-A323-EF0DBA59CF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8" name="TextBox 7">
          <a:extLst>
            <a:ext uri="{FF2B5EF4-FFF2-40B4-BE49-F238E27FC236}">
              <a16:creationId xmlns:a16="http://schemas.microsoft.com/office/drawing/2014/main" id="{57C822C6-ED7B-4B33-A7C5-BA5F0A5726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299" name="TextBox 8">
          <a:extLst>
            <a:ext uri="{FF2B5EF4-FFF2-40B4-BE49-F238E27FC236}">
              <a16:creationId xmlns:a16="http://schemas.microsoft.com/office/drawing/2014/main" id="{B040D7FD-01DB-4886-80FA-631D480674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0" name="TextBox 2">
          <a:extLst>
            <a:ext uri="{FF2B5EF4-FFF2-40B4-BE49-F238E27FC236}">
              <a16:creationId xmlns:a16="http://schemas.microsoft.com/office/drawing/2014/main" id="{BAFA22A9-0634-46C9-B1F7-2B1F0C1120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1" name="TextBox 4">
          <a:extLst>
            <a:ext uri="{FF2B5EF4-FFF2-40B4-BE49-F238E27FC236}">
              <a16:creationId xmlns:a16="http://schemas.microsoft.com/office/drawing/2014/main" id="{0F66C5AA-1061-41C6-916B-50EE100C7B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2" name="TextBox 5">
          <a:extLst>
            <a:ext uri="{FF2B5EF4-FFF2-40B4-BE49-F238E27FC236}">
              <a16:creationId xmlns:a16="http://schemas.microsoft.com/office/drawing/2014/main" id="{98EA5E2F-75FC-4BD8-9EB7-3E744BBCC7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3" name="TextBox 6">
          <a:extLst>
            <a:ext uri="{FF2B5EF4-FFF2-40B4-BE49-F238E27FC236}">
              <a16:creationId xmlns:a16="http://schemas.microsoft.com/office/drawing/2014/main" id="{4408C000-E5B9-4FAA-8377-91C9A254B5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4" name="TextBox 7">
          <a:extLst>
            <a:ext uri="{FF2B5EF4-FFF2-40B4-BE49-F238E27FC236}">
              <a16:creationId xmlns:a16="http://schemas.microsoft.com/office/drawing/2014/main" id="{AC083966-C3DB-459C-A2D6-F8D9A21F69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5" name="TextBox 8">
          <a:extLst>
            <a:ext uri="{FF2B5EF4-FFF2-40B4-BE49-F238E27FC236}">
              <a16:creationId xmlns:a16="http://schemas.microsoft.com/office/drawing/2014/main" id="{C4F0A6A5-027C-4121-91DC-BD506ADAE5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6" name="TextBox 2">
          <a:extLst>
            <a:ext uri="{FF2B5EF4-FFF2-40B4-BE49-F238E27FC236}">
              <a16:creationId xmlns:a16="http://schemas.microsoft.com/office/drawing/2014/main" id="{F9622FB7-BB91-4A72-ABDA-03565ED5FB4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7" name="TextBox 4">
          <a:extLst>
            <a:ext uri="{FF2B5EF4-FFF2-40B4-BE49-F238E27FC236}">
              <a16:creationId xmlns:a16="http://schemas.microsoft.com/office/drawing/2014/main" id="{606C85A7-E6E7-4C80-9CC2-5676570F21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8" name="TextBox 5">
          <a:extLst>
            <a:ext uri="{FF2B5EF4-FFF2-40B4-BE49-F238E27FC236}">
              <a16:creationId xmlns:a16="http://schemas.microsoft.com/office/drawing/2014/main" id="{AB5B81BD-35DF-44EF-9782-577BEA732C9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09" name="TextBox 6">
          <a:extLst>
            <a:ext uri="{FF2B5EF4-FFF2-40B4-BE49-F238E27FC236}">
              <a16:creationId xmlns:a16="http://schemas.microsoft.com/office/drawing/2014/main" id="{56C85AC2-1315-489C-BBE8-1413C935BE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0" name="TextBox 7">
          <a:extLst>
            <a:ext uri="{FF2B5EF4-FFF2-40B4-BE49-F238E27FC236}">
              <a16:creationId xmlns:a16="http://schemas.microsoft.com/office/drawing/2014/main" id="{F0C9D24F-E4CB-4B2F-BF6E-866151F044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1" name="TextBox 8">
          <a:extLst>
            <a:ext uri="{FF2B5EF4-FFF2-40B4-BE49-F238E27FC236}">
              <a16:creationId xmlns:a16="http://schemas.microsoft.com/office/drawing/2014/main" id="{C0F59207-91A8-4A95-8147-8A775049A3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2" name="TextBox 2">
          <a:extLst>
            <a:ext uri="{FF2B5EF4-FFF2-40B4-BE49-F238E27FC236}">
              <a16:creationId xmlns:a16="http://schemas.microsoft.com/office/drawing/2014/main" id="{CB1DBE1F-6AEB-4EA1-A84B-B6CB12FF6E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3" name="TextBox 4">
          <a:extLst>
            <a:ext uri="{FF2B5EF4-FFF2-40B4-BE49-F238E27FC236}">
              <a16:creationId xmlns:a16="http://schemas.microsoft.com/office/drawing/2014/main" id="{D1C15287-63EA-44E7-BDEF-4629AA26E4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4" name="TextBox 5">
          <a:extLst>
            <a:ext uri="{FF2B5EF4-FFF2-40B4-BE49-F238E27FC236}">
              <a16:creationId xmlns:a16="http://schemas.microsoft.com/office/drawing/2014/main" id="{7476F924-42CF-4D9D-A7CA-8710CA5A26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5" name="TextBox 6">
          <a:extLst>
            <a:ext uri="{FF2B5EF4-FFF2-40B4-BE49-F238E27FC236}">
              <a16:creationId xmlns:a16="http://schemas.microsoft.com/office/drawing/2014/main" id="{3426B38B-931D-4057-B361-2B7D9F4170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6" name="TextBox 7">
          <a:extLst>
            <a:ext uri="{FF2B5EF4-FFF2-40B4-BE49-F238E27FC236}">
              <a16:creationId xmlns:a16="http://schemas.microsoft.com/office/drawing/2014/main" id="{56BC9CEC-E6F8-42D3-A388-4F97935CD4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7" name="TextBox 8">
          <a:extLst>
            <a:ext uri="{FF2B5EF4-FFF2-40B4-BE49-F238E27FC236}">
              <a16:creationId xmlns:a16="http://schemas.microsoft.com/office/drawing/2014/main" id="{DD68F7AF-79FD-4DB1-92E2-2B99B326E6E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8" name="TextBox 2">
          <a:extLst>
            <a:ext uri="{FF2B5EF4-FFF2-40B4-BE49-F238E27FC236}">
              <a16:creationId xmlns:a16="http://schemas.microsoft.com/office/drawing/2014/main" id="{9BD119D6-3F2D-4509-B585-9E678E3CBD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19" name="TextBox 4">
          <a:extLst>
            <a:ext uri="{FF2B5EF4-FFF2-40B4-BE49-F238E27FC236}">
              <a16:creationId xmlns:a16="http://schemas.microsoft.com/office/drawing/2014/main" id="{A486FD85-79EC-4B7B-B6CD-3DB24A9286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0" name="TextBox 5">
          <a:extLst>
            <a:ext uri="{FF2B5EF4-FFF2-40B4-BE49-F238E27FC236}">
              <a16:creationId xmlns:a16="http://schemas.microsoft.com/office/drawing/2014/main" id="{6E3833B3-18BB-4CE6-80CF-64E03E44707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1" name="TextBox 6">
          <a:extLst>
            <a:ext uri="{FF2B5EF4-FFF2-40B4-BE49-F238E27FC236}">
              <a16:creationId xmlns:a16="http://schemas.microsoft.com/office/drawing/2014/main" id="{B5FD1F4A-1E94-4ADB-9B63-9EFCB29CC6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2" name="TextBox 7">
          <a:extLst>
            <a:ext uri="{FF2B5EF4-FFF2-40B4-BE49-F238E27FC236}">
              <a16:creationId xmlns:a16="http://schemas.microsoft.com/office/drawing/2014/main" id="{2B056C7B-E835-45B3-9807-571658965B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3" name="TextBox 8">
          <a:extLst>
            <a:ext uri="{FF2B5EF4-FFF2-40B4-BE49-F238E27FC236}">
              <a16:creationId xmlns:a16="http://schemas.microsoft.com/office/drawing/2014/main" id="{D312FA4C-980A-44E5-8C92-6144A26768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4" name="TextBox 2">
          <a:extLst>
            <a:ext uri="{FF2B5EF4-FFF2-40B4-BE49-F238E27FC236}">
              <a16:creationId xmlns:a16="http://schemas.microsoft.com/office/drawing/2014/main" id="{528DFA19-DC97-4795-9411-A181D58824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5" name="TextBox 4">
          <a:extLst>
            <a:ext uri="{FF2B5EF4-FFF2-40B4-BE49-F238E27FC236}">
              <a16:creationId xmlns:a16="http://schemas.microsoft.com/office/drawing/2014/main" id="{EC580631-2F12-4120-9B16-1F075F0AD7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6" name="TextBox 5">
          <a:extLst>
            <a:ext uri="{FF2B5EF4-FFF2-40B4-BE49-F238E27FC236}">
              <a16:creationId xmlns:a16="http://schemas.microsoft.com/office/drawing/2014/main" id="{3EF3D38A-EEA3-4EFE-A8A6-ACA0409D55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7" name="TextBox 6">
          <a:extLst>
            <a:ext uri="{FF2B5EF4-FFF2-40B4-BE49-F238E27FC236}">
              <a16:creationId xmlns:a16="http://schemas.microsoft.com/office/drawing/2014/main" id="{6D263DC6-DCA5-4BEC-AA19-A4387641CE1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8" name="TextBox 7">
          <a:extLst>
            <a:ext uri="{FF2B5EF4-FFF2-40B4-BE49-F238E27FC236}">
              <a16:creationId xmlns:a16="http://schemas.microsoft.com/office/drawing/2014/main" id="{A064D921-D552-45B7-905C-10B5D72451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29" name="TextBox 8">
          <a:extLst>
            <a:ext uri="{FF2B5EF4-FFF2-40B4-BE49-F238E27FC236}">
              <a16:creationId xmlns:a16="http://schemas.microsoft.com/office/drawing/2014/main" id="{1E04B658-4212-4518-938C-46B5EB66AAA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0" name="TextBox 2">
          <a:extLst>
            <a:ext uri="{FF2B5EF4-FFF2-40B4-BE49-F238E27FC236}">
              <a16:creationId xmlns:a16="http://schemas.microsoft.com/office/drawing/2014/main" id="{F37128B9-B15D-4C63-B63B-AD379666AD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1" name="TextBox 4">
          <a:extLst>
            <a:ext uri="{FF2B5EF4-FFF2-40B4-BE49-F238E27FC236}">
              <a16:creationId xmlns:a16="http://schemas.microsoft.com/office/drawing/2014/main" id="{C22B6876-D39E-45BD-8CDF-52D44EC1EF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2" name="TextBox 5">
          <a:extLst>
            <a:ext uri="{FF2B5EF4-FFF2-40B4-BE49-F238E27FC236}">
              <a16:creationId xmlns:a16="http://schemas.microsoft.com/office/drawing/2014/main" id="{7283C15E-26AC-4157-94DB-9CF48BBEF8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3" name="TextBox 6">
          <a:extLst>
            <a:ext uri="{FF2B5EF4-FFF2-40B4-BE49-F238E27FC236}">
              <a16:creationId xmlns:a16="http://schemas.microsoft.com/office/drawing/2014/main" id="{568440DB-E229-4821-A200-E5F8F164B1F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4" name="TextBox 7">
          <a:extLst>
            <a:ext uri="{FF2B5EF4-FFF2-40B4-BE49-F238E27FC236}">
              <a16:creationId xmlns:a16="http://schemas.microsoft.com/office/drawing/2014/main" id="{CBD82976-ED1F-4E6C-990A-4A9C2078FB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5" name="TextBox 8">
          <a:extLst>
            <a:ext uri="{FF2B5EF4-FFF2-40B4-BE49-F238E27FC236}">
              <a16:creationId xmlns:a16="http://schemas.microsoft.com/office/drawing/2014/main" id="{AEB83078-5E6B-4F84-AB70-D41DF059BB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6" name="TextBox 2">
          <a:extLst>
            <a:ext uri="{FF2B5EF4-FFF2-40B4-BE49-F238E27FC236}">
              <a16:creationId xmlns:a16="http://schemas.microsoft.com/office/drawing/2014/main" id="{B8CA800F-CE99-434D-A552-D8DB57A0FA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7" name="TextBox 4">
          <a:extLst>
            <a:ext uri="{FF2B5EF4-FFF2-40B4-BE49-F238E27FC236}">
              <a16:creationId xmlns:a16="http://schemas.microsoft.com/office/drawing/2014/main" id="{102CBC69-893F-42F7-86D1-5857BC38A2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8" name="TextBox 5">
          <a:extLst>
            <a:ext uri="{FF2B5EF4-FFF2-40B4-BE49-F238E27FC236}">
              <a16:creationId xmlns:a16="http://schemas.microsoft.com/office/drawing/2014/main" id="{2A3A0D7E-80E1-42F5-85FF-F45C0D931B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39" name="TextBox 6">
          <a:extLst>
            <a:ext uri="{FF2B5EF4-FFF2-40B4-BE49-F238E27FC236}">
              <a16:creationId xmlns:a16="http://schemas.microsoft.com/office/drawing/2014/main" id="{2FEAF919-43F0-4D69-8034-43DF038F47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0" name="TextBox 7">
          <a:extLst>
            <a:ext uri="{FF2B5EF4-FFF2-40B4-BE49-F238E27FC236}">
              <a16:creationId xmlns:a16="http://schemas.microsoft.com/office/drawing/2014/main" id="{51CECEDE-B394-45D6-992E-97C72BC77C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1" name="TextBox 8">
          <a:extLst>
            <a:ext uri="{FF2B5EF4-FFF2-40B4-BE49-F238E27FC236}">
              <a16:creationId xmlns:a16="http://schemas.microsoft.com/office/drawing/2014/main" id="{9AF8364F-A2B9-4DD4-8B07-666C250CDA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2" name="TextBox 2">
          <a:extLst>
            <a:ext uri="{FF2B5EF4-FFF2-40B4-BE49-F238E27FC236}">
              <a16:creationId xmlns:a16="http://schemas.microsoft.com/office/drawing/2014/main" id="{EA228D93-A622-4C4C-A999-2F9F755146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3" name="TextBox 4">
          <a:extLst>
            <a:ext uri="{FF2B5EF4-FFF2-40B4-BE49-F238E27FC236}">
              <a16:creationId xmlns:a16="http://schemas.microsoft.com/office/drawing/2014/main" id="{4166C7BE-6CF4-4375-BF88-8C0924BA28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4" name="TextBox 5">
          <a:extLst>
            <a:ext uri="{FF2B5EF4-FFF2-40B4-BE49-F238E27FC236}">
              <a16:creationId xmlns:a16="http://schemas.microsoft.com/office/drawing/2014/main" id="{DC1BCE27-3914-4484-BF2A-9815148BBFF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5" name="TextBox 6">
          <a:extLst>
            <a:ext uri="{FF2B5EF4-FFF2-40B4-BE49-F238E27FC236}">
              <a16:creationId xmlns:a16="http://schemas.microsoft.com/office/drawing/2014/main" id="{A0C57FB0-F674-47D8-A46D-C4ACD939E0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6" name="TextBox 7">
          <a:extLst>
            <a:ext uri="{FF2B5EF4-FFF2-40B4-BE49-F238E27FC236}">
              <a16:creationId xmlns:a16="http://schemas.microsoft.com/office/drawing/2014/main" id="{A9F35D70-E305-4028-B06D-BE11DA458F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7" name="TextBox 8">
          <a:extLst>
            <a:ext uri="{FF2B5EF4-FFF2-40B4-BE49-F238E27FC236}">
              <a16:creationId xmlns:a16="http://schemas.microsoft.com/office/drawing/2014/main" id="{443FE4AF-AFB3-434A-B8A1-7957B00D13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8" name="TextBox 2">
          <a:extLst>
            <a:ext uri="{FF2B5EF4-FFF2-40B4-BE49-F238E27FC236}">
              <a16:creationId xmlns:a16="http://schemas.microsoft.com/office/drawing/2014/main" id="{E7634F52-0D10-4F2F-A537-82EEA0E680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49" name="TextBox 4">
          <a:extLst>
            <a:ext uri="{FF2B5EF4-FFF2-40B4-BE49-F238E27FC236}">
              <a16:creationId xmlns:a16="http://schemas.microsoft.com/office/drawing/2014/main" id="{D709135E-451E-4A71-B713-93CA9C2A3BD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0" name="TextBox 5">
          <a:extLst>
            <a:ext uri="{FF2B5EF4-FFF2-40B4-BE49-F238E27FC236}">
              <a16:creationId xmlns:a16="http://schemas.microsoft.com/office/drawing/2014/main" id="{0AA81F2E-27AE-46BF-ACC4-D5B1CE5C75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1" name="TextBox 6">
          <a:extLst>
            <a:ext uri="{FF2B5EF4-FFF2-40B4-BE49-F238E27FC236}">
              <a16:creationId xmlns:a16="http://schemas.microsoft.com/office/drawing/2014/main" id="{017B15B2-0FC4-4086-BA58-713AEE1C40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2" name="TextBox 7">
          <a:extLst>
            <a:ext uri="{FF2B5EF4-FFF2-40B4-BE49-F238E27FC236}">
              <a16:creationId xmlns:a16="http://schemas.microsoft.com/office/drawing/2014/main" id="{55E5AD64-8713-4EDC-98C9-CC73953751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3" name="TextBox 8">
          <a:extLst>
            <a:ext uri="{FF2B5EF4-FFF2-40B4-BE49-F238E27FC236}">
              <a16:creationId xmlns:a16="http://schemas.microsoft.com/office/drawing/2014/main" id="{993F8E5D-FD9D-4D63-B196-C5887B373D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4" name="TextBox 2">
          <a:extLst>
            <a:ext uri="{FF2B5EF4-FFF2-40B4-BE49-F238E27FC236}">
              <a16:creationId xmlns:a16="http://schemas.microsoft.com/office/drawing/2014/main" id="{2791D6DD-CB15-41C2-9592-88A069BDC42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5" name="TextBox 4">
          <a:extLst>
            <a:ext uri="{FF2B5EF4-FFF2-40B4-BE49-F238E27FC236}">
              <a16:creationId xmlns:a16="http://schemas.microsoft.com/office/drawing/2014/main" id="{3EE04467-C05D-452E-8407-4C1F920C41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6" name="TextBox 5">
          <a:extLst>
            <a:ext uri="{FF2B5EF4-FFF2-40B4-BE49-F238E27FC236}">
              <a16:creationId xmlns:a16="http://schemas.microsoft.com/office/drawing/2014/main" id="{88A7041C-7235-4197-A865-F6749F7B36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7" name="TextBox 6">
          <a:extLst>
            <a:ext uri="{FF2B5EF4-FFF2-40B4-BE49-F238E27FC236}">
              <a16:creationId xmlns:a16="http://schemas.microsoft.com/office/drawing/2014/main" id="{87FCF18A-9160-4637-8016-AA44C33F96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8" name="TextBox 7">
          <a:extLst>
            <a:ext uri="{FF2B5EF4-FFF2-40B4-BE49-F238E27FC236}">
              <a16:creationId xmlns:a16="http://schemas.microsoft.com/office/drawing/2014/main" id="{42280D5A-0F93-47A3-A901-1128D66DD8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59" name="TextBox 8">
          <a:extLst>
            <a:ext uri="{FF2B5EF4-FFF2-40B4-BE49-F238E27FC236}">
              <a16:creationId xmlns:a16="http://schemas.microsoft.com/office/drawing/2014/main" id="{F7A814F3-91A9-44E2-B508-C428A19354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0" name="TextBox 2">
          <a:extLst>
            <a:ext uri="{FF2B5EF4-FFF2-40B4-BE49-F238E27FC236}">
              <a16:creationId xmlns:a16="http://schemas.microsoft.com/office/drawing/2014/main" id="{D85B42F1-CCDD-4C71-A649-2D84D77DAC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1" name="TextBox 4">
          <a:extLst>
            <a:ext uri="{FF2B5EF4-FFF2-40B4-BE49-F238E27FC236}">
              <a16:creationId xmlns:a16="http://schemas.microsoft.com/office/drawing/2014/main" id="{D441D97A-3435-498A-8B8F-EB7F75B1FF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2" name="TextBox 5">
          <a:extLst>
            <a:ext uri="{FF2B5EF4-FFF2-40B4-BE49-F238E27FC236}">
              <a16:creationId xmlns:a16="http://schemas.microsoft.com/office/drawing/2014/main" id="{91E938FE-E6B2-4454-A00D-91F5F83CFA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3" name="TextBox 6">
          <a:extLst>
            <a:ext uri="{FF2B5EF4-FFF2-40B4-BE49-F238E27FC236}">
              <a16:creationId xmlns:a16="http://schemas.microsoft.com/office/drawing/2014/main" id="{2763FEF2-F682-4592-8025-2C106BA847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4" name="TextBox 7">
          <a:extLst>
            <a:ext uri="{FF2B5EF4-FFF2-40B4-BE49-F238E27FC236}">
              <a16:creationId xmlns:a16="http://schemas.microsoft.com/office/drawing/2014/main" id="{7D5DA293-E334-4BE6-85C4-C6A757702F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5" name="TextBox 8">
          <a:extLst>
            <a:ext uri="{FF2B5EF4-FFF2-40B4-BE49-F238E27FC236}">
              <a16:creationId xmlns:a16="http://schemas.microsoft.com/office/drawing/2014/main" id="{37BC0D6F-CDDF-4EBC-895F-72766DE7B2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6" name="TextBox 2">
          <a:extLst>
            <a:ext uri="{FF2B5EF4-FFF2-40B4-BE49-F238E27FC236}">
              <a16:creationId xmlns:a16="http://schemas.microsoft.com/office/drawing/2014/main" id="{EE87964D-9F90-4E57-BBD5-7B262D1339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7" name="TextBox 4">
          <a:extLst>
            <a:ext uri="{FF2B5EF4-FFF2-40B4-BE49-F238E27FC236}">
              <a16:creationId xmlns:a16="http://schemas.microsoft.com/office/drawing/2014/main" id="{831C90B5-61D0-49C1-94DB-60C8FF9AC54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8" name="TextBox 5">
          <a:extLst>
            <a:ext uri="{FF2B5EF4-FFF2-40B4-BE49-F238E27FC236}">
              <a16:creationId xmlns:a16="http://schemas.microsoft.com/office/drawing/2014/main" id="{BFB6957A-5EDF-4438-8A5E-3EA39A7985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69" name="TextBox 6">
          <a:extLst>
            <a:ext uri="{FF2B5EF4-FFF2-40B4-BE49-F238E27FC236}">
              <a16:creationId xmlns:a16="http://schemas.microsoft.com/office/drawing/2014/main" id="{BD4C4F50-0566-4F81-A0F8-57797C1D73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0" name="TextBox 7">
          <a:extLst>
            <a:ext uri="{FF2B5EF4-FFF2-40B4-BE49-F238E27FC236}">
              <a16:creationId xmlns:a16="http://schemas.microsoft.com/office/drawing/2014/main" id="{C6AE5407-1FE5-4BA9-8BFC-9D6CC91EDF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1" name="TextBox 8">
          <a:extLst>
            <a:ext uri="{FF2B5EF4-FFF2-40B4-BE49-F238E27FC236}">
              <a16:creationId xmlns:a16="http://schemas.microsoft.com/office/drawing/2014/main" id="{25EA75C3-D708-44B4-B1E4-76F50914AC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2" name="TextBox 2">
          <a:extLst>
            <a:ext uri="{FF2B5EF4-FFF2-40B4-BE49-F238E27FC236}">
              <a16:creationId xmlns:a16="http://schemas.microsoft.com/office/drawing/2014/main" id="{1D6450E9-18BB-4ABF-B791-96075561DB4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3" name="TextBox 4">
          <a:extLst>
            <a:ext uri="{FF2B5EF4-FFF2-40B4-BE49-F238E27FC236}">
              <a16:creationId xmlns:a16="http://schemas.microsoft.com/office/drawing/2014/main" id="{D983B35F-814C-4F54-860B-3657E68650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4" name="TextBox 5">
          <a:extLst>
            <a:ext uri="{FF2B5EF4-FFF2-40B4-BE49-F238E27FC236}">
              <a16:creationId xmlns:a16="http://schemas.microsoft.com/office/drawing/2014/main" id="{A37193EB-7F37-42AE-ACFD-599C6729EB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5" name="TextBox 6">
          <a:extLst>
            <a:ext uri="{FF2B5EF4-FFF2-40B4-BE49-F238E27FC236}">
              <a16:creationId xmlns:a16="http://schemas.microsoft.com/office/drawing/2014/main" id="{740E6914-52DC-4DAF-8FCC-4FA8DAB489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6" name="TextBox 7">
          <a:extLst>
            <a:ext uri="{FF2B5EF4-FFF2-40B4-BE49-F238E27FC236}">
              <a16:creationId xmlns:a16="http://schemas.microsoft.com/office/drawing/2014/main" id="{FC09D79C-56AC-4CAE-98BC-F8A0BC9530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7" name="TextBox 8">
          <a:extLst>
            <a:ext uri="{FF2B5EF4-FFF2-40B4-BE49-F238E27FC236}">
              <a16:creationId xmlns:a16="http://schemas.microsoft.com/office/drawing/2014/main" id="{B5C22D65-A5DF-4FAD-850F-AB709B6F80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8" name="TextBox 2">
          <a:extLst>
            <a:ext uri="{FF2B5EF4-FFF2-40B4-BE49-F238E27FC236}">
              <a16:creationId xmlns:a16="http://schemas.microsoft.com/office/drawing/2014/main" id="{25803E4B-92F4-48DD-B384-ACE91AEB1A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79" name="TextBox 4">
          <a:extLst>
            <a:ext uri="{FF2B5EF4-FFF2-40B4-BE49-F238E27FC236}">
              <a16:creationId xmlns:a16="http://schemas.microsoft.com/office/drawing/2014/main" id="{2F67E40B-47A9-44C8-911A-FF032BD9E3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0" name="TextBox 5">
          <a:extLst>
            <a:ext uri="{FF2B5EF4-FFF2-40B4-BE49-F238E27FC236}">
              <a16:creationId xmlns:a16="http://schemas.microsoft.com/office/drawing/2014/main" id="{A3028BC2-13AB-48D2-90B3-13F882197F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1" name="TextBox 6">
          <a:extLst>
            <a:ext uri="{FF2B5EF4-FFF2-40B4-BE49-F238E27FC236}">
              <a16:creationId xmlns:a16="http://schemas.microsoft.com/office/drawing/2014/main" id="{88CF7B2D-D6FA-4DB2-8954-9BF60BCF35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2" name="TextBox 7">
          <a:extLst>
            <a:ext uri="{FF2B5EF4-FFF2-40B4-BE49-F238E27FC236}">
              <a16:creationId xmlns:a16="http://schemas.microsoft.com/office/drawing/2014/main" id="{17C52142-9D9F-4F89-B204-02456D3D895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3" name="TextBox 8">
          <a:extLst>
            <a:ext uri="{FF2B5EF4-FFF2-40B4-BE49-F238E27FC236}">
              <a16:creationId xmlns:a16="http://schemas.microsoft.com/office/drawing/2014/main" id="{054A6314-409E-46CD-93EB-560E04F73D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4" name="TextBox 2">
          <a:extLst>
            <a:ext uri="{FF2B5EF4-FFF2-40B4-BE49-F238E27FC236}">
              <a16:creationId xmlns:a16="http://schemas.microsoft.com/office/drawing/2014/main" id="{86EC0D39-59C6-4A4C-B86C-0BF746481C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5" name="TextBox 4">
          <a:extLst>
            <a:ext uri="{FF2B5EF4-FFF2-40B4-BE49-F238E27FC236}">
              <a16:creationId xmlns:a16="http://schemas.microsoft.com/office/drawing/2014/main" id="{52E3FFAA-F7DF-4427-AD69-28FBD9A4F0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6" name="TextBox 5">
          <a:extLst>
            <a:ext uri="{FF2B5EF4-FFF2-40B4-BE49-F238E27FC236}">
              <a16:creationId xmlns:a16="http://schemas.microsoft.com/office/drawing/2014/main" id="{68776BA5-6AC2-4520-9665-D6AF7DB95E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7" name="TextBox 6">
          <a:extLst>
            <a:ext uri="{FF2B5EF4-FFF2-40B4-BE49-F238E27FC236}">
              <a16:creationId xmlns:a16="http://schemas.microsoft.com/office/drawing/2014/main" id="{6D12EB8B-E0B0-4995-A5E9-BD15B72DB8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8" name="TextBox 7">
          <a:extLst>
            <a:ext uri="{FF2B5EF4-FFF2-40B4-BE49-F238E27FC236}">
              <a16:creationId xmlns:a16="http://schemas.microsoft.com/office/drawing/2014/main" id="{0E69F9B6-2337-48E9-AA03-A3683FFE6E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89" name="TextBox 8">
          <a:extLst>
            <a:ext uri="{FF2B5EF4-FFF2-40B4-BE49-F238E27FC236}">
              <a16:creationId xmlns:a16="http://schemas.microsoft.com/office/drawing/2014/main" id="{91553B9F-2BF1-470B-ABB5-AD62215EBF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0" name="TextBox 2">
          <a:extLst>
            <a:ext uri="{FF2B5EF4-FFF2-40B4-BE49-F238E27FC236}">
              <a16:creationId xmlns:a16="http://schemas.microsoft.com/office/drawing/2014/main" id="{6CDB34D7-5014-436E-8614-9086BB591FF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1" name="TextBox 4">
          <a:extLst>
            <a:ext uri="{FF2B5EF4-FFF2-40B4-BE49-F238E27FC236}">
              <a16:creationId xmlns:a16="http://schemas.microsoft.com/office/drawing/2014/main" id="{69D2E010-E824-45E2-B397-5D3731B0B2C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2" name="TextBox 5">
          <a:extLst>
            <a:ext uri="{FF2B5EF4-FFF2-40B4-BE49-F238E27FC236}">
              <a16:creationId xmlns:a16="http://schemas.microsoft.com/office/drawing/2014/main" id="{F2D0AE47-6B97-4396-B297-3C82E57191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3" name="TextBox 6">
          <a:extLst>
            <a:ext uri="{FF2B5EF4-FFF2-40B4-BE49-F238E27FC236}">
              <a16:creationId xmlns:a16="http://schemas.microsoft.com/office/drawing/2014/main" id="{F85A42F9-A388-46DA-A2A6-214AF0A4E8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4" name="TextBox 7">
          <a:extLst>
            <a:ext uri="{FF2B5EF4-FFF2-40B4-BE49-F238E27FC236}">
              <a16:creationId xmlns:a16="http://schemas.microsoft.com/office/drawing/2014/main" id="{1F942434-CDD0-425F-AA7F-ACC7524BF2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5" name="TextBox 8">
          <a:extLst>
            <a:ext uri="{FF2B5EF4-FFF2-40B4-BE49-F238E27FC236}">
              <a16:creationId xmlns:a16="http://schemas.microsoft.com/office/drawing/2014/main" id="{8A2AD936-3C2D-4FBF-A1A4-D0D9FDED88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6" name="TextBox 2">
          <a:extLst>
            <a:ext uri="{FF2B5EF4-FFF2-40B4-BE49-F238E27FC236}">
              <a16:creationId xmlns:a16="http://schemas.microsoft.com/office/drawing/2014/main" id="{04020178-B332-40FC-A4B9-5736BD1C631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7" name="TextBox 4">
          <a:extLst>
            <a:ext uri="{FF2B5EF4-FFF2-40B4-BE49-F238E27FC236}">
              <a16:creationId xmlns:a16="http://schemas.microsoft.com/office/drawing/2014/main" id="{1397386D-3337-4060-9EE1-37FBC11256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8" name="TextBox 5">
          <a:extLst>
            <a:ext uri="{FF2B5EF4-FFF2-40B4-BE49-F238E27FC236}">
              <a16:creationId xmlns:a16="http://schemas.microsoft.com/office/drawing/2014/main" id="{D630793B-FEA2-44C0-AE13-20B4654C716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399" name="TextBox 6">
          <a:extLst>
            <a:ext uri="{FF2B5EF4-FFF2-40B4-BE49-F238E27FC236}">
              <a16:creationId xmlns:a16="http://schemas.microsoft.com/office/drawing/2014/main" id="{72D6A52D-D24B-4344-A7A5-D2BEC029F91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0" name="TextBox 7">
          <a:extLst>
            <a:ext uri="{FF2B5EF4-FFF2-40B4-BE49-F238E27FC236}">
              <a16:creationId xmlns:a16="http://schemas.microsoft.com/office/drawing/2014/main" id="{A387DFD9-EE31-4448-9DF0-3E0AA2E76B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1" name="TextBox 8">
          <a:extLst>
            <a:ext uri="{FF2B5EF4-FFF2-40B4-BE49-F238E27FC236}">
              <a16:creationId xmlns:a16="http://schemas.microsoft.com/office/drawing/2014/main" id="{24608FDC-175F-4611-B65A-EAF5729348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2" name="TextBox 2">
          <a:extLst>
            <a:ext uri="{FF2B5EF4-FFF2-40B4-BE49-F238E27FC236}">
              <a16:creationId xmlns:a16="http://schemas.microsoft.com/office/drawing/2014/main" id="{B36625C7-04F3-4A94-9BB9-0A7C038CD7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3" name="TextBox 4">
          <a:extLst>
            <a:ext uri="{FF2B5EF4-FFF2-40B4-BE49-F238E27FC236}">
              <a16:creationId xmlns:a16="http://schemas.microsoft.com/office/drawing/2014/main" id="{236E605F-F6A2-4460-8BB5-85B6A3ABC4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4" name="TextBox 5">
          <a:extLst>
            <a:ext uri="{FF2B5EF4-FFF2-40B4-BE49-F238E27FC236}">
              <a16:creationId xmlns:a16="http://schemas.microsoft.com/office/drawing/2014/main" id="{0166363E-09A9-43FA-BE3A-57BF9E938B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5" name="TextBox 6">
          <a:extLst>
            <a:ext uri="{FF2B5EF4-FFF2-40B4-BE49-F238E27FC236}">
              <a16:creationId xmlns:a16="http://schemas.microsoft.com/office/drawing/2014/main" id="{E03EE56C-B905-46C9-B71F-0CF0BCB43D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6" name="TextBox 7">
          <a:extLst>
            <a:ext uri="{FF2B5EF4-FFF2-40B4-BE49-F238E27FC236}">
              <a16:creationId xmlns:a16="http://schemas.microsoft.com/office/drawing/2014/main" id="{441FD5EC-DA37-4438-BEA6-1CBD98C81D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7" name="TextBox 8">
          <a:extLst>
            <a:ext uri="{FF2B5EF4-FFF2-40B4-BE49-F238E27FC236}">
              <a16:creationId xmlns:a16="http://schemas.microsoft.com/office/drawing/2014/main" id="{46D7C505-B3E3-4D09-B6B0-CE1B95C8B81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8" name="TextBox 2">
          <a:extLst>
            <a:ext uri="{FF2B5EF4-FFF2-40B4-BE49-F238E27FC236}">
              <a16:creationId xmlns:a16="http://schemas.microsoft.com/office/drawing/2014/main" id="{D9F96756-32DB-4E23-8CD2-72654E8FBE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09" name="TextBox 4">
          <a:extLst>
            <a:ext uri="{FF2B5EF4-FFF2-40B4-BE49-F238E27FC236}">
              <a16:creationId xmlns:a16="http://schemas.microsoft.com/office/drawing/2014/main" id="{04189DD4-1BE5-4EBD-AFF9-2875C8F43A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0" name="TextBox 5">
          <a:extLst>
            <a:ext uri="{FF2B5EF4-FFF2-40B4-BE49-F238E27FC236}">
              <a16:creationId xmlns:a16="http://schemas.microsoft.com/office/drawing/2014/main" id="{FEA4FBEB-910C-4072-A794-D5D4A9BCD5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1" name="TextBox 6">
          <a:extLst>
            <a:ext uri="{FF2B5EF4-FFF2-40B4-BE49-F238E27FC236}">
              <a16:creationId xmlns:a16="http://schemas.microsoft.com/office/drawing/2014/main" id="{4F0604C1-E6C0-469C-AA84-503D9BECCA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2" name="TextBox 7">
          <a:extLst>
            <a:ext uri="{FF2B5EF4-FFF2-40B4-BE49-F238E27FC236}">
              <a16:creationId xmlns:a16="http://schemas.microsoft.com/office/drawing/2014/main" id="{7BCA8358-63E3-4144-9F17-63F9E868F0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3" name="TextBox 8">
          <a:extLst>
            <a:ext uri="{FF2B5EF4-FFF2-40B4-BE49-F238E27FC236}">
              <a16:creationId xmlns:a16="http://schemas.microsoft.com/office/drawing/2014/main" id="{F83BADE4-252B-4C44-8646-CE32116884A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4" name="TextBox 2">
          <a:extLst>
            <a:ext uri="{FF2B5EF4-FFF2-40B4-BE49-F238E27FC236}">
              <a16:creationId xmlns:a16="http://schemas.microsoft.com/office/drawing/2014/main" id="{E233DAC4-0954-4943-AF4E-A3707B12C7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5" name="TextBox 4">
          <a:extLst>
            <a:ext uri="{FF2B5EF4-FFF2-40B4-BE49-F238E27FC236}">
              <a16:creationId xmlns:a16="http://schemas.microsoft.com/office/drawing/2014/main" id="{DED2EDA2-CA76-436E-A913-112FE1F2DC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6" name="TextBox 5">
          <a:extLst>
            <a:ext uri="{FF2B5EF4-FFF2-40B4-BE49-F238E27FC236}">
              <a16:creationId xmlns:a16="http://schemas.microsoft.com/office/drawing/2014/main" id="{3823B824-CD0C-4AE8-8A5B-9727F1115B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7" name="TextBox 6">
          <a:extLst>
            <a:ext uri="{FF2B5EF4-FFF2-40B4-BE49-F238E27FC236}">
              <a16:creationId xmlns:a16="http://schemas.microsoft.com/office/drawing/2014/main" id="{A62AD0ED-E120-4A48-8F93-E31E17F55F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8" name="TextBox 7">
          <a:extLst>
            <a:ext uri="{FF2B5EF4-FFF2-40B4-BE49-F238E27FC236}">
              <a16:creationId xmlns:a16="http://schemas.microsoft.com/office/drawing/2014/main" id="{3BF81AA4-67E3-4D0A-AA0B-06AAC0C23F9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19" name="TextBox 8">
          <a:extLst>
            <a:ext uri="{FF2B5EF4-FFF2-40B4-BE49-F238E27FC236}">
              <a16:creationId xmlns:a16="http://schemas.microsoft.com/office/drawing/2014/main" id="{27AAE07D-3C8C-4F17-A1AF-516EC6ADA5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0" name="TextBox 2">
          <a:extLst>
            <a:ext uri="{FF2B5EF4-FFF2-40B4-BE49-F238E27FC236}">
              <a16:creationId xmlns:a16="http://schemas.microsoft.com/office/drawing/2014/main" id="{CADA9217-0B77-4157-BACB-21930364BD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1" name="TextBox 4">
          <a:extLst>
            <a:ext uri="{FF2B5EF4-FFF2-40B4-BE49-F238E27FC236}">
              <a16:creationId xmlns:a16="http://schemas.microsoft.com/office/drawing/2014/main" id="{C703CC68-37E4-4806-8673-84A468B532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2" name="TextBox 5">
          <a:extLst>
            <a:ext uri="{FF2B5EF4-FFF2-40B4-BE49-F238E27FC236}">
              <a16:creationId xmlns:a16="http://schemas.microsoft.com/office/drawing/2014/main" id="{EC567CEA-3C6E-43CB-A720-6AF496AB96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3" name="TextBox 6">
          <a:extLst>
            <a:ext uri="{FF2B5EF4-FFF2-40B4-BE49-F238E27FC236}">
              <a16:creationId xmlns:a16="http://schemas.microsoft.com/office/drawing/2014/main" id="{E4B79F0C-96BF-4888-9F90-E8488E59C3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4" name="TextBox 7">
          <a:extLst>
            <a:ext uri="{FF2B5EF4-FFF2-40B4-BE49-F238E27FC236}">
              <a16:creationId xmlns:a16="http://schemas.microsoft.com/office/drawing/2014/main" id="{4BA2A391-B554-43FA-8AA6-F5C5249D7A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5" name="TextBox 8">
          <a:extLst>
            <a:ext uri="{FF2B5EF4-FFF2-40B4-BE49-F238E27FC236}">
              <a16:creationId xmlns:a16="http://schemas.microsoft.com/office/drawing/2014/main" id="{9FA1A3AD-4A25-40B2-8114-05D4C8B76A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6" name="TextBox 10">
          <a:extLst>
            <a:ext uri="{FF2B5EF4-FFF2-40B4-BE49-F238E27FC236}">
              <a16:creationId xmlns:a16="http://schemas.microsoft.com/office/drawing/2014/main" id="{FF7B929B-EC88-433C-8EE9-83011CA68A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7" name="TextBox 11">
          <a:extLst>
            <a:ext uri="{FF2B5EF4-FFF2-40B4-BE49-F238E27FC236}">
              <a16:creationId xmlns:a16="http://schemas.microsoft.com/office/drawing/2014/main" id="{F0B13042-6024-4AEE-89FB-310F1D8342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8" name="TextBox 2">
          <a:extLst>
            <a:ext uri="{FF2B5EF4-FFF2-40B4-BE49-F238E27FC236}">
              <a16:creationId xmlns:a16="http://schemas.microsoft.com/office/drawing/2014/main" id="{CADDF10D-366D-40CC-B0ED-5164686682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29" name="TextBox 4">
          <a:extLst>
            <a:ext uri="{FF2B5EF4-FFF2-40B4-BE49-F238E27FC236}">
              <a16:creationId xmlns:a16="http://schemas.microsoft.com/office/drawing/2014/main" id="{4DA4208A-2886-470B-B2EE-48CF43F735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0" name="TextBox 5">
          <a:extLst>
            <a:ext uri="{FF2B5EF4-FFF2-40B4-BE49-F238E27FC236}">
              <a16:creationId xmlns:a16="http://schemas.microsoft.com/office/drawing/2014/main" id="{4F7237C2-4820-4605-AF5E-0B3EAB42BB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1" name="TextBox 6">
          <a:extLst>
            <a:ext uri="{FF2B5EF4-FFF2-40B4-BE49-F238E27FC236}">
              <a16:creationId xmlns:a16="http://schemas.microsoft.com/office/drawing/2014/main" id="{A1952B94-E67B-4BB0-AE5B-737B75D1CB6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2" name="TextBox 7">
          <a:extLst>
            <a:ext uri="{FF2B5EF4-FFF2-40B4-BE49-F238E27FC236}">
              <a16:creationId xmlns:a16="http://schemas.microsoft.com/office/drawing/2014/main" id="{D264641E-6D0E-4740-B8EF-E804F9D1CD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3" name="TextBox 8">
          <a:extLst>
            <a:ext uri="{FF2B5EF4-FFF2-40B4-BE49-F238E27FC236}">
              <a16:creationId xmlns:a16="http://schemas.microsoft.com/office/drawing/2014/main" id="{37E30412-9FBD-4DA7-83DF-1166518E76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4" name="TextBox 11">
          <a:extLst>
            <a:ext uri="{FF2B5EF4-FFF2-40B4-BE49-F238E27FC236}">
              <a16:creationId xmlns:a16="http://schemas.microsoft.com/office/drawing/2014/main" id="{CAA3888D-1983-43B0-9F8A-2EF9D7B222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5" name="TextBox 12">
          <a:extLst>
            <a:ext uri="{FF2B5EF4-FFF2-40B4-BE49-F238E27FC236}">
              <a16:creationId xmlns:a16="http://schemas.microsoft.com/office/drawing/2014/main" id="{CEBCB11D-B444-45C3-BDC7-769FD22724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6" name="TextBox 13">
          <a:extLst>
            <a:ext uri="{FF2B5EF4-FFF2-40B4-BE49-F238E27FC236}">
              <a16:creationId xmlns:a16="http://schemas.microsoft.com/office/drawing/2014/main" id="{92785F88-CBCD-40F8-B652-6999A827F1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7" name="TextBox 14">
          <a:extLst>
            <a:ext uri="{FF2B5EF4-FFF2-40B4-BE49-F238E27FC236}">
              <a16:creationId xmlns:a16="http://schemas.microsoft.com/office/drawing/2014/main" id="{1AAA94C8-31AB-49E0-AD23-5186FD4AA1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8" name="TextBox 15">
          <a:extLst>
            <a:ext uri="{FF2B5EF4-FFF2-40B4-BE49-F238E27FC236}">
              <a16:creationId xmlns:a16="http://schemas.microsoft.com/office/drawing/2014/main" id="{7FEC8DDD-9D19-4FEB-8492-F9566CB52E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39" name="TextBox 16">
          <a:extLst>
            <a:ext uri="{FF2B5EF4-FFF2-40B4-BE49-F238E27FC236}">
              <a16:creationId xmlns:a16="http://schemas.microsoft.com/office/drawing/2014/main" id="{BB9243BD-7111-474D-8844-9D28615559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0" name="TextBox 17">
          <a:extLst>
            <a:ext uri="{FF2B5EF4-FFF2-40B4-BE49-F238E27FC236}">
              <a16:creationId xmlns:a16="http://schemas.microsoft.com/office/drawing/2014/main" id="{21713119-19B9-4CC5-B1FC-CF7614B8729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1" name="TextBox 18">
          <a:extLst>
            <a:ext uri="{FF2B5EF4-FFF2-40B4-BE49-F238E27FC236}">
              <a16:creationId xmlns:a16="http://schemas.microsoft.com/office/drawing/2014/main" id="{99885BB2-E5AE-41C8-B888-83C7DF9646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2" name="TextBox 29">
          <a:extLst>
            <a:ext uri="{FF2B5EF4-FFF2-40B4-BE49-F238E27FC236}">
              <a16:creationId xmlns:a16="http://schemas.microsoft.com/office/drawing/2014/main" id="{36C41132-7B99-4078-9AFE-E8FA0FE6F5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3" name="TextBox 30">
          <a:extLst>
            <a:ext uri="{FF2B5EF4-FFF2-40B4-BE49-F238E27FC236}">
              <a16:creationId xmlns:a16="http://schemas.microsoft.com/office/drawing/2014/main" id="{700FE174-FDD4-47E9-AD35-7AEA71AA64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4" name="TextBox 1">
          <a:extLst>
            <a:ext uri="{FF2B5EF4-FFF2-40B4-BE49-F238E27FC236}">
              <a16:creationId xmlns:a16="http://schemas.microsoft.com/office/drawing/2014/main" id="{FB5420C2-ECD8-4E57-AA78-E34F1FAFDD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5" name="TextBox 3">
          <a:extLst>
            <a:ext uri="{FF2B5EF4-FFF2-40B4-BE49-F238E27FC236}">
              <a16:creationId xmlns:a16="http://schemas.microsoft.com/office/drawing/2014/main" id="{54E5004F-21C6-4353-8AAC-9FFB64D699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6" name="TextBox 33">
          <a:extLst>
            <a:ext uri="{FF2B5EF4-FFF2-40B4-BE49-F238E27FC236}">
              <a16:creationId xmlns:a16="http://schemas.microsoft.com/office/drawing/2014/main" id="{F99AAE9E-8A20-4FC7-B0E6-0A7B11929F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7" name="TextBox 34">
          <a:extLst>
            <a:ext uri="{FF2B5EF4-FFF2-40B4-BE49-F238E27FC236}">
              <a16:creationId xmlns:a16="http://schemas.microsoft.com/office/drawing/2014/main" id="{C7BBF394-5C4A-49CE-B7A5-463C503FA1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8" name="TextBox 1">
          <a:extLst>
            <a:ext uri="{FF2B5EF4-FFF2-40B4-BE49-F238E27FC236}">
              <a16:creationId xmlns:a16="http://schemas.microsoft.com/office/drawing/2014/main" id="{2D3A49F8-4A3D-416F-823D-70F2907400C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49" name="TextBox 3">
          <a:extLst>
            <a:ext uri="{FF2B5EF4-FFF2-40B4-BE49-F238E27FC236}">
              <a16:creationId xmlns:a16="http://schemas.microsoft.com/office/drawing/2014/main" id="{186C6104-904D-4A0C-B766-B385F40508E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0" name="TextBox 37">
          <a:extLst>
            <a:ext uri="{FF2B5EF4-FFF2-40B4-BE49-F238E27FC236}">
              <a16:creationId xmlns:a16="http://schemas.microsoft.com/office/drawing/2014/main" id="{AB88C064-0A5A-4B97-80E2-D2A9026430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1" name="TextBox 38">
          <a:extLst>
            <a:ext uri="{FF2B5EF4-FFF2-40B4-BE49-F238E27FC236}">
              <a16:creationId xmlns:a16="http://schemas.microsoft.com/office/drawing/2014/main" id="{08AF49AC-C6AD-4B54-87BA-B16FAD1EB1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2" name="TextBox 39">
          <a:extLst>
            <a:ext uri="{FF2B5EF4-FFF2-40B4-BE49-F238E27FC236}">
              <a16:creationId xmlns:a16="http://schemas.microsoft.com/office/drawing/2014/main" id="{78743012-0338-4ED9-843F-995BF74F6C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3" name="TextBox 40">
          <a:extLst>
            <a:ext uri="{FF2B5EF4-FFF2-40B4-BE49-F238E27FC236}">
              <a16:creationId xmlns:a16="http://schemas.microsoft.com/office/drawing/2014/main" id="{2E006DAA-7370-4C38-8FA2-048B8E7AB6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4" name="TextBox 41">
          <a:extLst>
            <a:ext uri="{FF2B5EF4-FFF2-40B4-BE49-F238E27FC236}">
              <a16:creationId xmlns:a16="http://schemas.microsoft.com/office/drawing/2014/main" id="{EFF385AB-912F-485C-8279-83E8F475D7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5" name="TextBox 42">
          <a:extLst>
            <a:ext uri="{FF2B5EF4-FFF2-40B4-BE49-F238E27FC236}">
              <a16:creationId xmlns:a16="http://schemas.microsoft.com/office/drawing/2014/main" id="{A3367877-3AED-49FF-ACDA-EB1EFAB55C2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6" name="TextBox 43">
          <a:extLst>
            <a:ext uri="{FF2B5EF4-FFF2-40B4-BE49-F238E27FC236}">
              <a16:creationId xmlns:a16="http://schemas.microsoft.com/office/drawing/2014/main" id="{5D503E6B-827A-460F-93D2-F1FE3A0F1F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7" name="TextBox 44">
          <a:extLst>
            <a:ext uri="{FF2B5EF4-FFF2-40B4-BE49-F238E27FC236}">
              <a16:creationId xmlns:a16="http://schemas.microsoft.com/office/drawing/2014/main" id="{2CB883B1-339F-4925-B26C-00ACB3FF189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8" name="TextBox 45">
          <a:extLst>
            <a:ext uri="{FF2B5EF4-FFF2-40B4-BE49-F238E27FC236}">
              <a16:creationId xmlns:a16="http://schemas.microsoft.com/office/drawing/2014/main" id="{A972DBA6-F112-466C-BFAC-B40973672F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59" name="TextBox 46">
          <a:extLst>
            <a:ext uri="{FF2B5EF4-FFF2-40B4-BE49-F238E27FC236}">
              <a16:creationId xmlns:a16="http://schemas.microsoft.com/office/drawing/2014/main" id="{26C078C9-585B-487A-86A8-89ECAFBFAF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0" name="TextBox 47">
          <a:extLst>
            <a:ext uri="{FF2B5EF4-FFF2-40B4-BE49-F238E27FC236}">
              <a16:creationId xmlns:a16="http://schemas.microsoft.com/office/drawing/2014/main" id="{D93385E3-43E3-4E51-A374-1B2ABCBA61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1" name="TextBox 48">
          <a:extLst>
            <a:ext uri="{FF2B5EF4-FFF2-40B4-BE49-F238E27FC236}">
              <a16:creationId xmlns:a16="http://schemas.microsoft.com/office/drawing/2014/main" id="{AED03728-440D-4FB6-92DB-F59F27C229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2" name="TextBox 49">
          <a:extLst>
            <a:ext uri="{FF2B5EF4-FFF2-40B4-BE49-F238E27FC236}">
              <a16:creationId xmlns:a16="http://schemas.microsoft.com/office/drawing/2014/main" id="{360F7339-8ED8-4646-A71D-B58B14E8A1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3" name="TextBox 50">
          <a:extLst>
            <a:ext uri="{FF2B5EF4-FFF2-40B4-BE49-F238E27FC236}">
              <a16:creationId xmlns:a16="http://schemas.microsoft.com/office/drawing/2014/main" id="{BC36F33B-C7D6-44A0-B4EB-465B976A77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4" name="TextBox 2">
          <a:extLst>
            <a:ext uri="{FF2B5EF4-FFF2-40B4-BE49-F238E27FC236}">
              <a16:creationId xmlns:a16="http://schemas.microsoft.com/office/drawing/2014/main" id="{06EFB650-07A1-43F6-BEC8-77038FBAD7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5" name="TextBox 4">
          <a:extLst>
            <a:ext uri="{FF2B5EF4-FFF2-40B4-BE49-F238E27FC236}">
              <a16:creationId xmlns:a16="http://schemas.microsoft.com/office/drawing/2014/main" id="{0554BA6B-131E-487E-8639-DD64338D931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6" name="TextBox 5">
          <a:extLst>
            <a:ext uri="{FF2B5EF4-FFF2-40B4-BE49-F238E27FC236}">
              <a16:creationId xmlns:a16="http://schemas.microsoft.com/office/drawing/2014/main" id="{79D9418F-92C2-435C-8D38-E244C20252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7" name="TextBox 6">
          <a:extLst>
            <a:ext uri="{FF2B5EF4-FFF2-40B4-BE49-F238E27FC236}">
              <a16:creationId xmlns:a16="http://schemas.microsoft.com/office/drawing/2014/main" id="{444369A3-F591-4F8D-A929-FEDAA4CCC8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8" name="TextBox 7">
          <a:extLst>
            <a:ext uri="{FF2B5EF4-FFF2-40B4-BE49-F238E27FC236}">
              <a16:creationId xmlns:a16="http://schemas.microsoft.com/office/drawing/2014/main" id="{5900BC51-D068-4E6D-907B-D41560E869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69" name="TextBox 8">
          <a:extLst>
            <a:ext uri="{FF2B5EF4-FFF2-40B4-BE49-F238E27FC236}">
              <a16:creationId xmlns:a16="http://schemas.microsoft.com/office/drawing/2014/main" id="{0E703B68-1443-479B-8A34-D5A95970CE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0" name="TextBox 11">
          <a:extLst>
            <a:ext uri="{FF2B5EF4-FFF2-40B4-BE49-F238E27FC236}">
              <a16:creationId xmlns:a16="http://schemas.microsoft.com/office/drawing/2014/main" id="{2A1BE533-41D5-4912-BC90-19376A85F8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1" name="TextBox 12">
          <a:extLst>
            <a:ext uri="{FF2B5EF4-FFF2-40B4-BE49-F238E27FC236}">
              <a16:creationId xmlns:a16="http://schemas.microsoft.com/office/drawing/2014/main" id="{4219261E-CF37-4FD5-9B12-8B61D9A1D6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2" name="TextBox 13">
          <a:extLst>
            <a:ext uri="{FF2B5EF4-FFF2-40B4-BE49-F238E27FC236}">
              <a16:creationId xmlns:a16="http://schemas.microsoft.com/office/drawing/2014/main" id="{872A87CC-5964-40EC-824B-5936D6F5BB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3" name="TextBox 14">
          <a:extLst>
            <a:ext uri="{FF2B5EF4-FFF2-40B4-BE49-F238E27FC236}">
              <a16:creationId xmlns:a16="http://schemas.microsoft.com/office/drawing/2014/main" id="{EBFB6A0D-D3E6-4EAA-A1F5-A15B2942F8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4" name="TextBox 15">
          <a:extLst>
            <a:ext uri="{FF2B5EF4-FFF2-40B4-BE49-F238E27FC236}">
              <a16:creationId xmlns:a16="http://schemas.microsoft.com/office/drawing/2014/main" id="{C1364A6D-01B7-4EFD-AE16-78169BC951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5" name="TextBox 16">
          <a:extLst>
            <a:ext uri="{FF2B5EF4-FFF2-40B4-BE49-F238E27FC236}">
              <a16:creationId xmlns:a16="http://schemas.microsoft.com/office/drawing/2014/main" id="{8050FB39-F021-492C-8404-D27FA0CB3D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6" name="TextBox 17">
          <a:extLst>
            <a:ext uri="{FF2B5EF4-FFF2-40B4-BE49-F238E27FC236}">
              <a16:creationId xmlns:a16="http://schemas.microsoft.com/office/drawing/2014/main" id="{C11CD21E-0F2E-4468-AB25-E9E8AC25D6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7" name="TextBox 18">
          <a:extLst>
            <a:ext uri="{FF2B5EF4-FFF2-40B4-BE49-F238E27FC236}">
              <a16:creationId xmlns:a16="http://schemas.microsoft.com/office/drawing/2014/main" id="{8444D0EF-8C3E-4CAB-8844-C6ABAE363F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8" name="TextBox 65">
          <a:extLst>
            <a:ext uri="{FF2B5EF4-FFF2-40B4-BE49-F238E27FC236}">
              <a16:creationId xmlns:a16="http://schemas.microsoft.com/office/drawing/2014/main" id="{A292DF88-49C4-4174-8864-8D88CFCD95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79" name="TextBox 66">
          <a:extLst>
            <a:ext uri="{FF2B5EF4-FFF2-40B4-BE49-F238E27FC236}">
              <a16:creationId xmlns:a16="http://schemas.microsoft.com/office/drawing/2014/main" id="{5A93A124-2A58-4647-85CC-8070057973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0" name="TextBox 1">
          <a:extLst>
            <a:ext uri="{FF2B5EF4-FFF2-40B4-BE49-F238E27FC236}">
              <a16:creationId xmlns:a16="http://schemas.microsoft.com/office/drawing/2014/main" id="{B45D4B14-FDB9-4708-B18B-9E07369F04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1" name="TextBox 3">
          <a:extLst>
            <a:ext uri="{FF2B5EF4-FFF2-40B4-BE49-F238E27FC236}">
              <a16:creationId xmlns:a16="http://schemas.microsoft.com/office/drawing/2014/main" id="{4A797463-77F7-44FB-ADE4-9B3C8CD87C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2" name="TextBox 69">
          <a:extLst>
            <a:ext uri="{FF2B5EF4-FFF2-40B4-BE49-F238E27FC236}">
              <a16:creationId xmlns:a16="http://schemas.microsoft.com/office/drawing/2014/main" id="{2611FAE5-5F36-4590-9FD3-63118F6F1E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3" name="TextBox 70">
          <a:extLst>
            <a:ext uri="{FF2B5EF4-FFF2-40B4-BE49-F238E27FC236}">
              <a16:creationId xmlns:a16="http://schemas.microsoft.com/office/drawing/2014/main" id="{CFAA9C2E-CAB0-47BD-8870-CA84BEAE10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4" name="TextBox 1">
          <a:extLst>
            <a:ext uri="{FF2B5EF4-FFF2-40B4-BE49-F238E27FC236}">
              <a16:creationId xmlns:a16="http://schemas.microsoft.com/office/drawing/2014/main" id="{0E822B24-F8BE-47F8-8BC0-02F8DE9C6F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5" name="TextBox 3">
          <a:extLst>
            <a:ext uri="{FF2B5EF4-FFF2-40B4-BE49-F238E27FC236}">
              <a16:creationId xmlns:a16="http://schemas.microsoft.com/office/drawing/2014/main" id="{9615EB0A-D796-4CEE-861B-6C62A65B84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6" name="TextBox 73">
          <a:extLst>
            <a:ext uri="{FF2B5EF4-FFF2-40B4-BE49-F238E27FC236}">
              <a16:creationId xmlns:a16="http://schemas.microsoft.com/office/drawing/2014/main" id="{4CED5817-A1F5-4630-9111-C127BCDDAF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7" name="TextBox 74">
          <a:extLst>
            <a:ext uri="{FF2B5EF4-FFF2-40B4-BE49-F238E27FC236}">
              <a16:creationId xmlns:a16="http://schemas.microsoft.com/office/drawing/2014/main" id="{0147B78C-0B58-4C7B-BF10-7F9C2043D2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8" name="TextBox 75">
          <a:extLst>
            <a:ext uri="{FF2B5EF4-FFF2-40B4-BE49-F238E27FC236}">
              <a16:creationId xmlns:a16="http://schemas.microsoft.com/office/drawing/2014/main" id="{29DC00AB-9EFC-4A02-8C6A-5949E77F57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89" name="TextBox 76">
          <a:extLst>
            <a:ext uri="{FF2B5EF4-FFF2-40B4-BE49-F238E27FC236}">
              <a16:creationId xmlns:a16="http://schemas.microsoft.com/office/drawing/2014/main" id="{9AF151B6-C762-4541-A235-1BB86A3CD1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0" name="TextBox 77">
          <a:extLst>
            <a:ext uri="{FF2B5EF4-FFF2-40B4-BE49-F238E27FC236}">
              <a16:creationId xmlns:a16="http://schemas.microsoft.com/office/drawing/2014/main" id="{C9A30653-688A-4F66-A719-E41C6CDC3C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1" name="TextBox 78">
          <a:extLst>
            <a:ext uri="{FF2B5EF4-FFF2-40B4-BE49-F238E27FC236}">
              <a16:creationId xmlns:a16="http://schemas.microsoft.com/office/drawing/2014/main" id="{CDF4A6C6-C32B-4419-9720-617A168EEA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2" name="TextBox 79">
          <a:extLst>
            <a:ext uri="{FF2B5EF4-FFF2-40B4-BE49-F238E27FC236}">
              <a16:creationId xmlns:a16="http://schemas.microsoft.com/office/drawing/2014/main" id="{03983AD6-4CD3-461B-A450-F42488717A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3" name="TextBox 80">
          <a:extLst>
            <a:ext uri="{FF2B5EF4-FFF2-40B4-BE49-F238E27FC236}">
              <a16:creationId xmlns:a16="http://schemas.microsoft.com/office/drawing/2014/main" id="{D1229870-94C2-4B40-8206-413099DFBE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4" name="TextBox 81">
          <a:extLst>
            <a:ext uri="{FF2B5EF4-FFF2-40B4-BE49-F238E27FC236}">
              <a16:creationId xmlns:a16="http://schemas.microsoft.com/office/drawing/2014/main" id="{420DC281-4702-4379-B009-EB852BC389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5" name="TextBox 82">
          <a:extLst>
            <a:ext uri="{FF2B5EF4-FFF2-40B4-BE49-F238E27FC236}">
              <a16:creationId xmlns:a16="http://schemas.microsoft.com/office/drawing/2014/main" id="{645EF42D-4E25-4533-AA7B-B92BC07FF7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6" name="TextBox 83">
          <a:extLst>
            <a:ext uri="{FF2B5EF4-FFF2-40B4-BE49-F238E27FC236}">
              <a16:creationId xmlns:a16="http://schemas.microsoft.com/office/drawing/2014/main" id="{3D43701B-76D8-40EF-A72A-494237B6BF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7" name="TextBox 84">
          <a:extLst>
            <a:ext uri="{FF2B5EF4-FFF2-40B4-BE49-F238E27FC236}">
              <a16:creationId xmlns:a16="http://schemas.microsoft.com/office/drawing/2014/main" id="{CC4F18D1-0D09-40B3-A093-0418C9A5E6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8" name="TextBox 85">
          <a:extLst>
            <a:ext uri="{FF2B5EF4-FFF2-40B4-BE49-F238E27FC236}">
              <a16:creationId xmlns:a16="http://schemas.microsoft.com/office/drawing/2014/main" id="{50623A5B-28AA-416B-BDB0-68513DC15A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499" name="TextBox 86">
          <a:extLst>
            <a:ext uri="{FF2B5EF4-FFF2-40B4-BE49-F238E27FC236}">
              <a16:creationId xmlns:a16="http://schemas.microsoft.com/office/drawing/2014/main" id="{3F2CCD81-8747-474D-8245-C99885EE1D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0" name="TextBox 87">
          <a:extLst>
            <a:ext uri="{FF2B5EF4-FFF2-40B4-BE49-F238E27FC236}">
              <a16:creationId xmlns:a16="http://schemas.microsoft.com/office/drawing/2014/main" id="{CFC7B076-3AB4-4DEB-B41C-EB4B0AA720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1" name="TextBox 88">
          <a:extLst>
            <a:ext uri="{FF2B5EF4-FFF2-40B4-BE49-F238E27FC236}">
              <a16:creationId xmlns:a16="http://schemas.microsoft.com/office/drawing/2014/main" id="{C9FD3695-90C1-4932-8B8E-21086A3115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2" name="TextBox 89">
          <a:extLst>
            <a:ext uri="{FF2B5EF4-FFF2-40B4-BE49-F238E27FC236}">
              <a16:creationId xmlns:a16="http://schemas.microsoft.com/office/drawing/2014/main" id="{813C8F56-2827-47D1-AFB9-8D6BE5BD0F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3" name="TextBox 90">
          <a:extLst>
            <a:ext uri="{FF2B5EF4-FFF2-40B4-BE49-F238E27FC236}">
              <a16:creationId xmlns:a16="http://schemas.microsoft.com/office/drawing/2014/main" id="{9E578821-3EA4-4CE7-8BA7-6C635AFE47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4" name="TextBox 91">
          <a:extLst>
            <a:ext uri="{FF2B5EF4-FFF2-40B4-BE49-F238E27FC236}">
              <a16:creationId xmlns:a16="http://schemas.microsoft.com/office/drawing/2014/main" id="{2D44FD03-F1FE-4E78-A377-8FC005BF38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5" name="TextBox 92">
          <a:extLst>
            <a:ext uri="{FF2B5EF4-FFF2-40B4-BE49-F238E27FC236}">
              <a16:creationId xmlns:a16="http://schemas.microsoft.com/office/drawing/2014/main" id="{98B0A25E-3700-47BD-BC87-A7C2CADE9F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6" name="TextBox 2">
          <a:extLst>
            <a:ext uri="{FF2B5EF4-FFF2-40B4-BE49-F238E27FC236}">
              <a16:creationId xmlns:a16="http://schemas.microsoft.com/office/drawing/2014/main" id="{0A55E704-DCCC-46B7-80D8-9E6A25D9FD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7" name="TextBox 4">
          <a:extLst>
            <a:ext uri="{FF2B5EF4-FFF2-40B4-BE49-F238E27FC236}">
              <a16:creationId xmlns:a16="http://schemas.microsoft.com/office/drawing/2014/main" id="{4B6B408D-39CF-4944-8B73-7FEA2D9E19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8" name="TextBox 5">
          <a:extLst>
            <a:ext uri="{FF2B5EF4-FFF2-40B4-BE49-F238E27FC236}">
              <a16:creationId xmlns:a16="http://schemas.microsoft.com/office/drawing/2014/main" id="{85D64911-E716-4C71-A059-B8E1883623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09" name="TextBox 6">
          <a:extLst>
            <a:ext uri="{FF2B5EF4-FFF2-40B4-BE49-F238E27FC236}">
              <a16:creationId xmlns:a16="http://schemas.microsoft.com/office/drawing/2014/main" id="{BD2390FC-1DAA-46C1-980A-A00BAEC79B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0" name="TextBox 7">
          <a:extLst>
            <a:ext uri="{FF2B5EF4-FFF2-40B4-BE49-F238E27FC236}">
              <a16:creationId xmlns:a16="http://schemas.microsoft.com/office/drawing/2014/main" id="{368EA6AB-CB47-4A43-8884-7919611FD0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1" name="TextBox 8">
          <a:extLst>
            <a:ext uri="{FF2B5EF4-FFF2-40B4-BE49-F238E27FC236}">
              <a16:creationId xmlns:a16="http://schemas.microsoft.com/office/drawing/2014/main" id="{AFAEA5DB-6C53-420F-91F7-10B6B1B576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2" name="TextBox 11">
          <a:extLst>
            <a:ext uri="{FF2B5EF4-FFF2-40B4-BE49-F238E27FC236}">
              <a16:creationId xmlns:a16="http://schemas.microsoft.com/office/drawing/2014/main" id="{8A18101F-D867-4077-846D-46211CE869D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3" name="TextBox 12">
          <a:extLst>
            <a:ext uri="{FF2B5EF4-FFF2-40B4-BE49-F238E27FC236}">
              <a16:creationId xmlns:a16="http://schemas.microsoft.com/office/drawing/2014/main" id="{31E981F3-07BC-4B0A-AD68-B8D9FE6A2C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4" name="TextBox 13">
          <a:extLst>
            <a:ext uri="{FF2B5EF4-FFF2-40B4-BE49-F238E27FC236}">
              <a16:creationId xmlns:a16="http://schemas.microsoft.com/office/drawing/2014/main" id="{10CFDF82-2FBD-43D2-B9C7-419EC25376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5" name="TextBox 14">
          <a:extLst>
            <a:ext uri="{FF2B5EF4-FFF2-40B4-BE49-F238E27FC236}">
              <a16:creationId xmlns:a16="http://schemas.microsoft.com/office/drawing/2014/main" id="{0E1B50D4-0588-4A8D-A8F2-9442FD2E21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6" name="TextBox 15">
          <a:extLst>
            <a:ext uri="{FF2B5EF4-FFF2-40B4-BE49-F238E27FC236}">
              <a16:creationId xmlns:a16="http://schemas.microsoft.com/office/drawing/2014/main" id="{797C0327-6475-4735-857C-8E8A63BBD6D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7" name="TextBox 16">
          <a:extLst>
            <a:ext uri="{FF2B5EF4-FFF2-40B4-BE49-F238E27FC236}">
              <a16:creationId xmlns:a16="http://schemas.microsoft.com/office/drawing/2014/main" id="{8F2A6424-0D4F-4176-9994-D38DD73DDE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8" name="TextBox 17">
          <a:extLst>
            <a:ext uri="{FF2B5EF4-FFF2-40B4-BE49-F238E27FC236}">
              <a16:creationId xmlns:a16="http://schemas.microsoft.com/office/drawing/2014/main" id="{48FEAF09-BDFD-4AF1-827E-BDAF9B0470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19" name="TextBox 18">
          <a:extLst>
            <a:ext uri="{FF2B5EF4-FFF2-40B4-BE49-F238E27FC236}">
              <a16:creationId xmlns:a16="http://schemas.microsoft.com/office/drawing/2014/main" id="{B2F06664-CFFB-43B2-ADB8-10770EE756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0" name="TextBox 107">
          <a:extLst>
            <a:ext uri="{FF2B5EF4-FFF2-40B4-BE49-F238E27FC236}">
              <a16:creationId xmlns:a16="http://schemas.microsoft.com/office/drawing/2014/main" id="{9371A140-DE73-4936-AEE5-EE2128F010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1" name="TextBox 108">
          <a:extLst>
            <a:ext uri="{FF2B5EF4-FFF2-40B4-BE49-F238E27FC236}">
              <a16:creationId xmlns:a16="http://schemas.microsoft.com/office/drawing/2014/main" id="{094E371B-D89F-4C17-B3D1-FE13DF7325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2" name="TextBox 1">
          <a:extLst>
            <a:ext uri="{FF2B5EF4-FFF2-40B4-BE49-F238E27FC236}">
              <a16:creationId xmlns:a16="http://schemas.microsoft.com/office/drawing/2014/main" id="{7A3A3BC9-F9CB-48FF-8CE1-406EB4EF7E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3" name="TextBox 3">
          <a:extLst>
            <a:ext uri="{FF2B5EF4-FFF2-40B4-BE49-F238E27FC236}">
              <a16:creationId xmlns:a16="http://schemas.microsoft.com/office/drawing/2014/main" id="{7E660180-B8BD-4272-8DD8-834E17E2BB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4" name="TextBox 111">
          <a:extLst>
            <a:ext uri="{FF2B5EF4-FFF2-40B4-BE49-F238E27FC236}">
              <a16:creationId xmlns:a16="http://schemas.microsoft.com/office/drawing/2014/main" id="{2429961F-DD3A-4FFE-84DC-34C8F87AEA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5" name="TextBox 112">
          <a:extLst>
            <a:ext uri="{FF2B5EF4-FFF2-40B4-BE49-F238E27FC236}">
              <a16:creationId xmlns:a16="http://schemas.microsoft.com/office/drawing/2014/main" id="{5DF86A64-ED58-4821-975B-A81F6D0C372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6" name="TextBox 1">
          <a:extLst>
            <a:ext uri="{FF2B5EF4-FFF2-40B4-BE49-F238E27FC236}">
              <a16:creationId xmlns:a16="http://schemas.microsoft.com/office/drawing/2014/main" id="{40E08846-E102-4E88-9C57-2ACF71AA8F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7" name="TextBox 3">
          <a:extLst>
            <a:ext uri="{FF2B5EF4-FFF2-40B4-BE49-F238E27FC236}">
              <a16:creationId xmlns:a16="http://schemas.microsoft.com/office/drawing/2014/main" id="{21949532-E0AA-4BD0-9F09-6A7B674917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8" name="TextBox 115">
          <a:extLst>
            <a:ext uri="{FF2B5EF4-FFF2-40B4-BE49-F238E27FC236}">
              <a16:creationId xmlns:a16="http://schemas.microsoft.com/office/drawing/2014/main" id="{87616897-0947-4710-86B7-DFF56D5B39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29" name="TextBox 116">
          <a:extLst>
            <a:ext uri="{FF2B5EF4-FFF2-40B4-BE49-F238E27FC236}">
              <a16:creationId xmlns:a16="http://schemas.microsoft.com/office/drawing/2014/main" id="{C25199D1-7D9A-44A9-94E0-300767F1C0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0" name="TextBox 117">
          <a:extLst>
            <a:ext uri="{FF2B5EF4-FFF2-40B4-BE49-F238E27FC236}">
              <a16:creationId xmlns:a16="http://schemas.microsoft.com/office/drawing/2014/main" id="{140A05BD-E35A-4CA2-9D2D-BF055B395D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1" name="TextBox 118">
          <a:extLst>
            <a:ext uri="{FF2B5EF4-FFF2-40B4-BE49-F238E27FC236}">
              <a16:creationId xmlns:a16="http://schemas.microsoft.com/office/drawing/2014/main" id="{30532895-28F8-42AE-BDC1-9C877EBCD2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2" name="TextBox 119">
          <a:extLst>
            <a:ext uri="{FF2B5EF4-FFF2-40B4-BE49-F238E27FC236}">
              <a16:creationId xmlns:a16="http://schemas.microsoft.com/office/drawing/2014/main" id="{52828254-892C-4BFE-AE27-6F22D17C525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3" name="TextBox 120">
          <a:extLst>
            <a:ext uri="{FF2B5EF4-FFF2-40B4-BE49-F238E27FC236}">
              <a16:creationId xmlns:a16="http://schemas.microsoft.com/office/drawing/2014/main" id="{05C46691-172F-4860-A950-20EB5B7BC6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4" name="TextBox 121">
          <a:extLst>
            <a:ext uri="{FF2B5EF4-FFF2-40B4-BE49-F238E27FC236}">
              <a16:creationId xmlns:a16="http://schemas.microsoft.com/office/drawing/2014/main" id="{83C25319-2CC3-41B1-9E82-C463E540DA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5" name="TextBox 122">
          <a:extLst>
            <a:ext uri="{FF2B5EF4-FFF2-40B4-BE49-F238E27FC236}">
              <a16:creationId xmlns:a16="http://schemas.microsoft.com/office/drawing/2014/main" id="{33EC5342-9D72-44BA-8746-60EC419B76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6" name="TextBox 123">
          <a:extLst>
            <a:ext uri="{FF2B5EF4-FFF2-40B4-BE49-F238E27FC236}">
              <a16:creationId xmlns:a16="http://schemas.microsoft.com/office/drawing/2014/main" id="{9E9EC9FC-A981-41A3-9CF3-F69EE61F3D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7" name="TextBox 124">
          <a:extLst>
            <a:ext uri="{FF2B5EF4-FFF2-40B4-BE49-F238E27FC236}">
              <a16:creationId xmlns:a16="http://schemas.microsoft.com/office/drawing/2014/main" id="{F2EF1EB6-D086-429E-9C2C-AEF773328E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8" name="TextBox 13">
          <a:extLst>
            <a:ext uri="{FF2B5EF4-FFF2-40B4-BE49-F238E27FC236}">
              <a16:creationId xmlns:a16="http://schemas.microsoft.com/office/drawing/2014/main" id="{3726273A-816B-401A-A750-4F1DF431C8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39" name="TextBox 14">
          <a:extLst>
            <a:ext uri="{FF2B5EF4-FFF2-40B4-BE49-F238E27FC236}">
              <a16:creationId xmlns:a16="http://schemas.microsoft.com/office/drawing/2014/main" id="{D05878A5-C077-45DD-96D7-9189B34959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0" name="TextBox 127">
          <a:extLst>
            <a:ext uri="{FF2B5EF4-FFF2-40B4-BE49-F238E27FC236}">
              <a16:creationId xmlns:a16="http://schemas.microsoft.com/office/drawing/2014/main" id="{C7830E52-C84A-4F6C-BF1D-30591871B7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1" name="TextBox 128">
          <a:extLst>
            <a:ext uri="{FF2B5EF4-FFF2-40B4-BE49-F238E27FC236}">
              <a16:creationId xmlns:a16="http://schemas.microsoft.com/office/drawing/2014/main" id="{D8B4CF67-5DC3-4C5F-8D8A-55D5CB4272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2" name="TextBox 129">
          <a:extLst>
            <a:ext uri="{FF2B5EF4-FFF2-40B4-BE49-F238E27FC236}">
              <a16:creationId xmlns:a16="http://schemas.microsoft.com/office/drawing/2014/main" id="{4C67E64F-804B-4E91-A2BA-23E4E7C7C4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3" name="TextBox 130">
          <a:extLst>
            <a:ext uri="{FF2B5EF4-FFF2-40B4-BE49-F238E27FC236}">
              <a16:creationId xmlns:a16="http://schemas.microsoft.com/office/drawing/2014/main" id="{98F7171F-989C-43F2-A784-01A4BFA0A5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4" name="TextBox 15">
          <a:extLst>
            <a:ext uri="{FF2B5EF4-FFF2-40B4-BE49-F238E27FC236}">
              <a16:creationId xmlns:a16="http://schemas.microsoft.com/office/drawing/2014/main" id="{D29B62CE-F97F-4FAB-9B64-E264AC4C94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5" name="TextBox 16">
          <a:extLst>
            <a:ext uri="{FF2B5EF4-FFF2-40B4-BE49-F238E27FC236}">
              <a16:creationId xmlns:a16="http://schemas.microsoft.com/office/drawing/2014/main" id="{A625E28A-5E89-4E5D-AA4A-3D8DB8E300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6" name="TextBox 17">
          <a:extLst>
            <a:ext uri="{FF2B5EF4-FFF2-40B4-BE49-F238E27FC236}">
              <a16:creationId xmlns:a16="http://schemas.microsoft.com/office/drawing/2014/main" id="{D02088A9-883B-4388-A165-557ED5B823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7" name="TextBox 18">
          <a:extLst>
            <a:ext uri="{FF2B5EF4-FFF2-40B4-BE49-F238E27FC236}">
              <a16:creationId xmlns:a16="http://schemas.microsoft.com/office/drawing/2014/main" id="{03767752-6D47-44A6-A715-A521A00BBF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8" name="TextBox 135">
          <a:extLst>
            <a:ext uri="{FF2B5EF4-FFF2-40B4-BE49-F238E27FC236}">
              <a16:creationId xmlns:a16="http://schemas.microsoft.com/office/drawing/2014/main" id="{EFD1CAC7-D78F-47DD-BB42-83799E68D5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49" name="TextBox 136">
          <a:extLst>
            <a:ext uri="{FF2B5EF4-FFF2-40B4-BE49-F238E27FC236}">
              <a16:creationId xmlns:a16="http://schemas.microsoft.com/office/drawing/2014/main" id="{43440CCC-A471-4BF2-9A9D-C32B43C26C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0" name="TextBox 1">
          <a:extLst>
            <a:ext uri="{FF2B5EF4-FFF2-40B4-BE49-F238E27FC236}">
              <a16:creationId xmlns:a16="http://schemas.microsoft.com/office/drawing/2014/main" id="{43D473FA-5162-4E5F-8368-AF68F51C36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1" name="TextBox 3">
          <a:extLst>
            <a:ext uri="{FF2B5EF4-FFF2-40B4-BE49-F238E27FC236}">
              <a16:creationId xmlns:a16="http://schemas.microsoft.com/office/drawing/2014/main" id="{99AF7682-9ADF-4B5D-8C61-811E9894B7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2" name="TextBox 139">
          <a:extLst>
            <a:ext uri="{FF2B5EF4-FFF2-40B4-BE49-F238E27FC236}">
              <a16:creationId xmlns:a16="http://schemas.microsoft.com/office/drawing/2014/main" id="{31966900-E694-4E8C-8A36-FADB9293CE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3" name="TextBox 140">
          <a:extLst>
            <a:ext uri="{FF2B5EF4-FFF2-40B4-BE49-F238E27FC236}">
              <a16:creationId xmlns:a16="http://schemas.microsoft.com/office/drawing/2014/main" id="{45DD6D7B-057D-400A-A605-AE6DB47259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4" name="TextBox 141">
          <a:extLst>
            <a:ext uri="{FF2B5EF4-FFF2-40B4-BE49-F238E27FC236}">
              <a16:creationId xmlns:a16="http://schemas.microsoft.com/office/drawing/2014/main" id="{359B9A67-76ED-4AAA-8BAA-D03D8014642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5" name="TextBox 142">
          <a:extLst>
            <a:ext uri="{FF2B5EF4-FFF2-40B4-BE49-F238E27FC236}">
              <a16:creationId xmlns:a16="http://schemas.microsoft.com/office/drawing/2014/main" id="{173DDE81-A374-4853-8D38-B41A3BDB41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6" name="TextBox 143">
          <a:extLst>
            <a:ext uri="{FF2B5EF4-FFF2-40B4-BE49-F238E27FC236}">
              <a16:creationId xmlns:a16="http://schemas.microsoft.com/office/drawing/2014/main" id="{8E276D67-0FF3-4006-B0B8-FBF263ED05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7" name="TextBox 144">
          <a:extLst>
            <a:ext uri="{FF2B5EF4-FFF2-40B4-BE49-F238E27FC236}">
              <a16:creationId xmlns:a16="http://schemas.microsoft.com/office/drawing/2014/main" id="{00CE90AF-37E3-4F87-A2D6-A49A16D045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8" name="TextBox 145">
          <a:extLst>
            <a:ext uri="{FF2B5EF4-FFF2-40B4-BE49-F238E27FC236}">
              <a16:creationId xmlns:a16="http://schemas.microsoft.com/office/drawing/2014/main" id="{F78937B4-6D46-4981-9DD7-A22004B711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59" name="TextBox 146">
          <a:extLst>
            <a:ext uri="{FF2B5EF4-FFF2-40B4-BE49-F238E27FC236}">
              <a16:creationId xmlns:a16="http://schemas.microsoft.com/office/drawing/2014/main" id="{4410C60C-969A-4649-82D9-0A87F8A1DC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0" name="TextBox 147">
          <a:extLst>
            <a:ext uri="{FF2B5EF4-FFF2-40B4-BE49-F238E27FC236}">
              <a16:creationId xmlns:a16="http://schemas.microsoft.com/office/drawing/2014/main" id="{18A69544-C439-4981-9DC9-DF9C221486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1" name="TextBox 148">
          <a:extLst>
            <a:ext uri="{FF2B5EF4-FFF2-40B4-BE49-F238E27FC236}">
              <a16:creationId xmlns:a16="http://schemas.microsoft.com/office/drawing/2014/main" id="{E0453A03-BCFF-4480-A365-202511F7D8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2" name="TextBox 13">
          <a:extLst>
            <a:ext uri="{FF2B5EF4-FFF2-40B4-BE49-F238E27FC236}">
              <a16:creationId xmlns:a16="http://schemas.microsoft.com/office/drawing/2014/main" id="{2AE8EFDF-8B67-497F-962F-369B9135A1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3" name="TextBox 14">
          <a:extLst>
            <a:ext uri="{FF2B5EF4-FFF2-40B4-BE49-F238E27FC236}">
              <a16:creationId xmlns:a16="http://schemas.microsoft.com/office/drawing/2014/main" id="{FB499E78-EA03-41FF-BEFC-515CD2790B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4" name="TextBox 151">
          <a:extLst>
            <a:ext uri="{FF2B5EF4-FFF2-40B4-BE49-F238E27FC236}">
              <a16:creationId xmlns:a16="http://schemas.microsoft.com/office/drawing/2014/main" id="{2F2472C3-4825-4EA4-B3DC-CE4C0A1BE0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5" name="TextBox 152">
          <a:extLst>
            <a:ext uri="{FF2B5EF4-FFF2-40B4-BE49-F238E27FC236}">
              <a16:creationId xmlns:a16="http://schemas.microsoft.com/office/drawing/2014/main" id="{71028067-E91F-4EDD-B555-AD217E6DBB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6" name="TextBox 153">
          <a:extLst>
            <a:ext uri="{FF2B5EF4-FFF2-40B4-BE49-F238E27FC236}">
              <a16:creationId xmlns:a16="http://schemas.microsoft.com/office/drawing/2014/main" id="{54DAEF7A-FECB-4B3D-8887-B38FC012046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7" name="TextBox 154">
          <a:extLst>
            <a:ext uri="{FF2B5EF4-FFF2-40B4-BE49-F238E27FC236}">
              <a16:creationId xmlns:a16="http://schemas.microsoft.com/office/drawing/2014/main" id="{E11F6555-9EB6-4749-8147-F44D36CA4C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8" name="TextBox 15">
          <a:extLst>
            <a:ext uri="{FF2B5EF4-FFF2-40B4-BE49-F238E27FC236}">
              <a16:creationId xmlns:a16="http://schemas.microsoft.com/office/drawing/2014/main" id="{F00447AF-39B7-4D76-8FB5-8DC15A55D5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69" name="TextBox 16">
          <a:extLst>
            <a:ext uri="{FF2B5EF4-FFF2-40B4-BE49-F238E27FC236}">
              <a16:creationId xmlns:a16="http://schemas.microsoft.com/office/drawing/2014/main" id="{2E3186AE-1021-4B91-AD85-41404A2EED8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0" name="TextBox 17">
          <a:extLst>
            <a:ext uri="{FF2B5EF4-FFF2-40B4-BE49-F238E27FC236}">
              <a16:creationId xmlns:a16="http://schemas.microsoft.com/office/drawing/2014/main" id="{667525E5-C484-40E3-98FE-444B8F4AE4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1" name="TextBox 18">
          <a:extLst>
            <a:ext uri="{FF2B5EF4-FFF2-40B4-BE49-F238E27FC236}">
              <a16:creationId xmlns:a16="http://schemas.microsoft.com/office/drawing/2014/main" id="{81EFD129-0ED2-465A-BE97-6603A5829C2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2" name="TextBox 159">
          <a:extLst>
            <a:ext uri="{FF2B5EF4-FFF2-40B4-BE49-F238E27FC236}">
              <a16:creationId xmlns:a16="http://schemas.microsoft.com/office/drawing/2014/main" id="{7F09857D-9CE3-4993-A741-C8564338E7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3" name="TextBox 160">
          <a:extLst>
            <a:ext uri="{FF2B5EF4-FFF2-40B4-BE49-F238E27FC236}">
              <a16:creationId xmlns:a16="http://schemas.microsoft.com/office/drawing/2014/main" id="{C7383BAD-8A6D-4DD6-AA08-D671E6BE64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4" name="TextBox 1">
          <a:extLst>
            <a:ext uri="{FF2B5EF4-FFF2-40B4-BE49-F238E27FC236}">
              <a16:creationId xmlns:a16="http://schemas.microsoft.com/office/drawing/2014/main" id="{547B3B68-73A1-48E7-9A16-56801B648C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5" name="TextBox 3">
          <a:extLst>
            <a:ext uri="{FF2B5EF4-FFF2-40B4-BE49-F238E27FC236}">
              <a16:creationId xmlns:a16="http://schemas.microsoft.com/office/drawing/2014/main" id="{B3177BA4-126C-4C37-A9E8-FF889F169C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6" name="TextBox 163">
          <a:extLst>
            <a:ext uri="{FF2B5EF4-FFF2-40B4-BE49-F238E27FC236}">
              <a16:creationId xmlns:a16="http://schemas.microsoft.com/office/drawing/2014/main" id="{DBAE65FC-A0E8-4F61-9AAA-E355F3CEA5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7" name="TextBox 164">
          <a:extLst>
            <a:ext uri="{FF2B5EF4-FFF2-40B4-BE49-F238E27FC236}">
              <a16:creationId xmlns:a16="http://schemas.microsoft.com/office/drawing/2014/main" id="{7780424F-7A0D-4E81-A981-DA59745EDE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8" name="TextBox 165">
          <a:extLst>
            <a:ext uri="{FF2B5EF4-FFF2-40B4-BE49-F238E27FC236}">
              <a16:creationId xmlns:a16="http://schemas.microsoft.com/office/drawing/2014/main" id="{AE628BAD-2D00-40E8-9D36-A2E718FFEB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79" name="TextBox 166">
          <a:extLst>
            <a:ext uri="{FF2B5EF4-FFF2-40B4-BE49-F238E27FC236}">
              <a16:creationId xmlns:a16="http://schemas.microsoft.com/office/drawing/2014/main" id="{F155525F-9121-4562-9A4C-8282101D0E2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0" name="TextBox 167">
          <a:extLst>
            <a:ext uri="{FF2B5EF4-FFF2-40B4-BE49-F238E27FC236}">
              <a16:creationId xmlns:a16="http://schemas.microsoft.com/office/drawing/2014/main" id="{F79C4237-0B35-4930-9126-3C0EB00F28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1" name="TextBox 168">
          <a:extLst>
            <a:ext uri="{FF2B5EF4-FFF2-40B4-BE49-F238E27FC236}">
              <a16:creationId xmlns:a16="http://schemas.microsoft.com/office/drawing/2014/main" id="{C8500245-561B-42F1-899E-43B880EBBF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2" name="TextBox 169">
          <a:extLst>
            <a:ext uri="{FF2B5EF4-FFF2-40B4-BE49-F238E27FC236}">
              <a16:creationId xmlns:a16="http://schemas.microsoft.com/office/drawing/2014/main" id="{D019E249-1DF1-4281-84BB-1D3C15F8F6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3" name="TextBox 170">
          <a:extLst>
            <a:ext uri="{FF2B5EF4-FFF2-40B4-BE49-F238E27FC236}">
              <a16:creationId xmlns:a16="http://schemas.microsoft.com/office/drawing/2014/main" id="{955C9D4E-2E34-4C95-BBB8-B6151E43B5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4" name="TextBox 171">
          <a:extLst>
            <a:ext uri="{FF2B5EF4-FFF2-40B4-BE49-F238E27FC236}">
              <a16:creationId xmlns:a16="http://schemas.microsoft.com/office/drawing/2014/main" id="{95691AFD-362E-4CC8-A4AE-95E5D5175D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5" name="TextBox 172">
          <a:extLst>
            <a:ext uri="{FF2B5EF4-FFF2-40B4-BE49-F238E27FC236}">
              <a16:creationId xmlns:a16="http://schemas.microsoft.com/office/drawing/2014/main" id="{360C9D34-9E4C-4C6E-B38D-3BE15A0F55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6" name="TextBox 13">
          <a:extLst>
            <a:ext uri="{FF2B5EF4-FFF2-40B4-BE49-F238E27FC236}">
              <a16:creationId xmlns:a16="http://schemas.microsoft.com/office/drawing/2014/main" id="{727B15CB-BC40-4B22-AB48-87AE80FB86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7" name="TextBox 14">
          <a:extLst>
            <a:ext uri="{FF2B5EF4-FFF2-40B4-BE49-F238E27FC236}">
              <a16:creationId xmlns:a16="http://schemas.microsoft.com/office/drawing/2014/main" id="{CD53B38C-2B5C-4698-88C0-5FF5E0D6F6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8" name="TextBox 175">
          <a:extLst>
            <a:ext uri="{FF2B5EF4-FFF2-40B4-BE49-F238E27FC236}">
              <a16:creationId xmlns:a16="http://schemas.microsoft.com/office/drawing/2014/main" id="{A157A034-A6AC-41CD-841C-69004F938D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89" name="TextBox 176">
          <a:extLst>
            <a:ext uri="{FF2B5EF4-FFF2-40B4-BE49-F238E27FC236}">
              <a16:creationId xmlns:a16="http://schemas.microsoft.com/office/drawing/2014/main" id="{B3C52F6A-4F94-4173-9AD6-FED7C271AA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0" name="TextBox 177">
          <a:extLst>
            <a:ext uri="{FF2B5EF4-FFF2-40B4-BE49-F238E27FC236}">
              <a16:creationId xmlns:a16="http://schemas.microsoft.com/office/drawing/2014/main" id="{873815CF-8129-421D-86F8-928849AF25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1" name="TextBox 178">
          <a:extLst>
            <a:ext uri="{FF2B5EF4-FFF2-40B4-BE49-F238E27FC236}">
              <a16:creationId xmlns:a16="http://schemas.microsoft.com/office/drawing/2014/main" id="{749DD13E-9008-4C07-B102-26697F1861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2" name="TextBox 15">
          <a:extLst>
            <a:ext uri="{FF2B5EF4-FFF2-40B4-BE49-F238E27FC236}">
              <a16:creationId xmlns:a16="http://schemas.microsoft.com/office/drawing/2014/main" id="{61BDE76A-A4CC-458E-A68A-037030DA93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3" name="TextBox 16">
          <a:extLst>
            <a:ext uri="{FF2B5EF4-FFF2-40B4-BE49-F238E27FC236}">
              <a16:creationId xmlns:a16="http://schemas.microsoft.com/office/drawing/2014/main" id="{11752C6C-2B65-4496-B2AF-F157FD00AD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4" name="TextBox 17">
          <a:extLst>
            <a:ext uri="{FF2B5EF4-FFF2-40B4-BE49-F238E27FC236}">
              <a16:creationId xmlns:a16="http://schemas.microsoft.com/office/drawing/2014/main" id="{A9FA7C91-77E3-4DFE-BBF1-A8661359B3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5" name="TextBox 18">
          <a:extLst>
            <a:ext uri="{FF2B5EF4-FFF2-40B4-BE49-F238E27FC236}">
              <a16:creationId xmlns:a16="http://schemas.microsoft.com/office/drawing/2014/main" id="{C96C9127-9F2A-4608-B9DD-0A15E97D65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6" name="TextBox 183">
          <a:extLst>
            <a:ext uri="{FF2B5EF4-FFF2-40B4-BE49-F238E27FC236}">
              <a16:creationId xmlns:a16="http://schemas.microsoft.com/office/drawing/2014/main" id="{C45C4E46-FA64-4C29-9B9E-367AA3781C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7" name="TextBox 184">
          <a:extLst>
            <a:ext uri="{FF2B5EF4-FFF2-40B4-BE49-F238E27FC236}">
              <a16:creationId xmlns:a16="http://schemas.microsoft.com/office/drawing/2014/main" id="{B0EEBAA8-5EE8-4320-A062-439F5CBE51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8" name="TextBox 1">
          <a:extLst>
            <a:ext uri="{FF2B5EF4-FFF2-40B4-BE49-F238E27FC236}">
              <a16:creationId xmlns:a16="http://schemas.microsoft.com/office/drawing/2014/main" id="{1C56D384-FB41-4B6E-9E59-20B3653D59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599" name="TextBox 3">
          <a:extLst>
            <a:ext uri="{FF2B5EF4-FFF2-40B4-BE49-F238E27FC236}">
              <a16:creationId xmlns:a16="http://schemas.microsoft.com/office/drawing/2014/main" id="{58177F9D-153A-487A-A788-DB4A1741DF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0" name="TextBox 187">
          <a:extLst>
            <a:ext uri="{FF2B5EF4-FFF2-40B4-BE49-F238E27FC236}">
              <a16:creationId xmlns:a16="http://schemas.microsoft.com/office/drawing/2014/main" id="{AB6A00E5-C85B-4BD7-9B07-F300C0A706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1" name="TextBox 188">
          <a:extLst>
            <a:ext uri="{FF2B5EF4-FFF2-40B4-BE49-F238E27FC236}">
              <a16:creationId xmlns:a16="http://schemas.microsoft.com/office/drawing/2014/main" id="{0925D8F8-8046-4418-9F42-5D8C63016F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2" name="TextBox 189">
          <a:extLst>
            <a:ext uri="{FF2B5EF4-FFF2-40B4-BE49-F238E27FC236}">
              <a16:creationId xmlns:a16="http://schemas.microsoft.com/office/drawing/2014/main" id="{379DF81E-E050-4C08-9188-74D7C3EB19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3" name="TextBox 190">
          <a:extLst>
            <a:ext uri="{FF2B5EF4-FFF2-40B4-BE49-F238E27FC236}">
              <a16:creationId xmlns:a16="http://schemas.microsoft.com/office/drawing/2014/main" id="{75FA029D-F2F4-4349-AD1E-5241EE53B0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4" name="TextBox 191">
          <a:extLst>
            <a:ext uri="{FF2B5EF4-FFF2-40B4-BE49-F238E27FC236}">
              <a16:creationId xmlns:a16="http://schemas.microsoft.com/office/drawing/2014/main" id="{DAF664FC-3534-4422-972B-825FF51766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5" name="TextBox 192">
          <a:extLst>
            <a:ext uri="{FF2B5EF4-FFF2-40B4-BE49-F238E27FC236}">
              <a16:creationId xmlns:a16="http://schemas.microsoft.com/office/drawing/2014/main" id="{B8FA51D5-A337-4811-9244-525A0EBF48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6" name="TextBox 193">
          <a:extLst>
            <a:ext uri="{FF2B5EF4-FFF2-40B4-BE49-F238E27FC236}">
              <a16:creationId xmlns:a16="http://schemas.microsoft.com/office/drawing/2014/main" id="{9C21B82B-1066-4DC9-A230-85A187327F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7" name="TextBox 194">
          <a:extLst>
            <a:ext uri="{FF2B5EF4-FFF2-40B4-BE49-F238E27FC236}">
              <a16:creationId xmlns:a16="http://schemas.microsoft.com/office/drawing/2014/main" id="{3DB8E01E-9B05-4E8A-8F95-504CEAC016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8" name="TextBox 195">
          <a:extLst>
            <a:ext uri="{FF2B5EF4-FFF2-40B4-BE49-F238E27FC236}">
              <a16:creationId xmlns:a16="http://schemas.microsoft.com/office/drawing/2014/main" id="{0C0AF3C9-31CE-4FCD-AE50-BC4A61A6F27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09" name="TextBox 196">
          <a:extLst>
            <a:ext uri="{FF2B5EF4-FFF2-40B4-BE49-F238E27FC236}">
              <a16:creationId xmlns:a16="http://schemas.microsoft.com/office/drawing/2014/main" id="{26CEDBCF-3FB9-471F-B8AD-A833191A8F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0" name="TextBox 13">
          <a:extLst>
            <a:ext uri="{FF2B5EF4-FFF2-40B4-BE49-F238E27FC236}">
              <a16:creationId xmlns:a16="http://schemas.microsoft.com/office/drawing/2014/main" id="{037BA04A-EF0B-4C4F-B802-1ECB326DDE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1" name="TextBox 14">
          <a:extLst>
            <a:ext uri="{FF2B5EF4-FFF2-40B4-BE49-F238E27FC236}">
              <a16:creationId xmlns:a16="http://schemas.microsoft.com/office/drawing/2014/main" id="{E630BD22-7693-4BC0-B05D-6A0E73BA82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2" name="TextBox 199">
          <a:extLst>
            <a:ext uri="{FF2B5EF4-FFF2-40B4-BE49-F238E27FC236}">
              <a16:creationId xmlns:a16="http://schemas.microsoft.com/office/drawing/2014/main" id="{22270634-7BED-4846-A201-BC0F6E73AA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3" name="TextBox 200">
          <a:extLst>
            <a:ext uri="{FF2B5EF4-FFF2-40B4-BE49-F238E27FC236}">
              <a16:creationId xmlns:a16="http://schemas.microsoft.com/office/drawing/2014/main" id="{8FFA7CC6-7DDC-4C75-AAEA-F80CA4E759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4" name="TextBox 201">
          <a:extLst>
            <a:ext uri="{FF2B5EF4-FFF2-40B4-BE49-F238E27FC236}">
              <a16:creationId xmlns:a16="http://schemas.microsoft.com/office/drawing/2014/main" id="{BFD7FDED-6F42-4BA9-B2DA-00923F05DC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5" name="TextBox 202">
          <a:extLst>
            <a:ext uri="{FF2B5EF4-FFF2-40B4-BE49-F238E27FC236}">
              <a16:creationId xmlns:a16="http://schemas.microsoft.com/office/drawing/2014/main" id="{58EECD5D-9FBE-46E2-9F1B-80C4EC8177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6" name="TextBox 15">
          <a:extLst>
            <a:ext uri="{FF2B5EF4-FFF2-40B4-BE49-F238E27FC236}">
              <a16:creationId xmlns:a16="http://schemas.microsoft.com/office/drawing/2014/main" id="{B4E3E78C-5B52-4D60-A3F9-AB5160FC00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7" name="TextBox 16">
          <a:extLst>
            <a:ext uri="{FF2B5EF4-FFF2-40B4-BE49-F238E27FC236}">
              <a16:creationId xmlns:a16="http://schemas.microsoft.com/office/drawing/2014/main" id="{F8CEFB48-F60A-4945-A285-F718C9BEF4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8" name="TextBox 17">
          <a:extLst>
            <a:ext uri="{FF2B5EF4-FFF2-40B4-BE49-F238E27FC236}">
              <a16:creationId xmlns:a16="http://schemas.microsoft.com/office/drawing/2014/main" id="{755A68B6-EF76-4B56-A754-46258969C9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19" name="TextBox 18">
          <a:extLst>
            <a:ext uri="{FF2B5EF4-FFF2-40B4-BE49-F238E27FC236}">
              <a16:creationId xmlns:a16="http://schemas.microsoft.com/office/drawing/2014/main" id="{16064C9F-489E-4500-AAB1-48BEA7865C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0" name="TextBox 207">
          <a:extLst>
            <a:ext uri="{FF2B5EF4-FFF2-40B4-BE49-F238E27FC236}">
              <a16:creationId xmlns:a16="http://schemas.microsoft.com/office/drawing/2014/main" id="{4AA53590-7A53-46F5-8F1D-403C1E5553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1" name="TextBox 208">
          <a:extLst>
            <a:ext uri="{FF2B5EF4-FFF2-40B4-BE49-F238E27FC236}">
              <a16:creationId xmlns:a16="http://schemas.microsoft.com/office/drawing/2014/main" id="{E3E0BBED-7E40-4F27-9621-3C188776B8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2" name="TextBox 1">
          <a:extLst>
            <a:ext uri="{FF2B5EF4-FFF2-40B4-BE49-F238E27FC236}">
              <a16:creationId xmlns:a16="http://schemas.microsoft.com/office/drawing/2014/main" id="{D0E8D83C-E1B0-498A-B4E9-7F769744D2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3" name="TextBox 3">
          <a:extLst>
            <a:ext uri="{FF2B5EF4-FFF2-40B4-BE49-F238E27FC236}">
              <a16:creationId xmlns:a16="http://schemas.microsoft.com/office/drawing/2014/main" id="{94027F1C-85BF-4D91-9F7C-CFD35FF2BF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4" name="TextBox 211">
          <a:extLst>
            <a:ext uri="{FF2B5EF4-FFF2-40B4-BE49-F238E27FC236}">
              <a16:creationId xmlns:a16="http://schemas.microsoft.com/office/drawing/2014/main" id="{C68692D6-BE38-4AE1-8454-C6CD701C65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5" name="TextBox 212">
          <a:extLst>
            <a:ext uri="{FF2B5EF4-FFF2-40B4-BE49-F238E27FC236}">
              <a16:creationId xmlns:a16="http://schemas.microsoft.com/office/drawing/2014/main" id="{264B360C-DF99-4B46-B7B0-BCD5D514FB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6" name="TextBox 213">
          <a:extLst>
            <a:ext uri="{FF2B5EF4-FFF2-40B4-BE49-F238E27FC236}">
              <a16:creationId xmlns:a16="http://schemas.microsoft.com/office/drawing/2014/main" id="{7279851C-0BAB-4980-96C1-17BA7B3776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7" name="TextBox 214">
          <a:extLst>
            <a:ext uri="{FF2B5EF4-FFF2-40B4-BE49-F238E27FC236}">
              <a16:creationId xmlns:a16="http://schemas.microsoft.com/office/drawing/2014/main" id="{FEBA4C31-9E56-4C60-97A8-0D3F6084C1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8" name="TextBox 215">
          <a:extLst>
            <a:ext uri="{FF2B5EF4-FFF2-40B4-BE49-F238E27FC236}">
              <a16:creationId xmlns:a16="http://schemas.microsoft.com/office/drawing/2014/main" id="{1C331105-F271-4ADF-83E8-03F58D0384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29" name="TextBox 216">
          <a:extLst>
            <a:ext uri="{FF2B5EF4-FFF2-40B4-BE49-F238E27FC236}">
              <a16:creationId xmlns:a16="http://schemas.microsoft.com/office/drawing/2014/main" id="{D0AA8362-D2A3-4B34-96EC-EE19D1A888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0" name="TextBox 217">
          <a:extLst>
            <a:ext uri="{FF2B5EF4-FFF2-40B4-BE49-F238E27FC236}">
              <a16:creationId xmlns:a16="http://schemas.microsoft.com/office/drawing/2014/main" id="{F75EFD4B-8DF2-4C11-BD0A-DD9AF06BB2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1" name="TextBox 218">
          <a:extLst>
            <a:ext uri="{FF2B5EF4-FFF2-40B4-BE49-F238E27FC236}">
              <a16:creationId xmlns:a16="http://schemas.microsoft.com/office/drawing/2014/main" id="{563506E2-CD6E-45CD-A23A-AD8AFD4352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2" name="TextBox 219">
          <a:extLst>
            <a:ext uri="{FF2B5EF4-FFF2-40B4-BE49-F238E27FC236}">
              <a16:creationId xmlns:a16="http://schemas.microsoft.com/office/drawing/2014/main" id="{46387F89-47C3-4B16-AC0A-0AD3509A57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3" name="TextBox 220">
          <a:extLst>
            <a:ext uri="{FF2B5EF4-FFF2-40B4-BE49-F238E27FC236}">
              <a16:creationId xmlns:a16="http://schemas.microsoft.com/office/drawing/2014/main" id="{4A117D25-0BBB-42F5-861E-EBD7AADFF3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4" name="TextBox 13">
          <a:extLst>
            <a:ext uri="{FF2B5EF4-FFF2-40B4-BE49-F238E27FC236}">
              <a16:creationId xmlns:a16="http://schemas.microsoft.com/office/drawing/2014/main" id="{0C9EC5D0-64EE-41A8-B8FF-9FF5AF2DE5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5" name="TextBox 14">
          <a:extLst>
            <a:ext uri="{FF2B5EF4-FFF2-40B4-BE49-F238E27FC236}">
              <a16:creationId xmlns:a16="http://schemas.microsoft.com/office/drawing/2014/main" id="{52037199-58BE-442A-81CE-C7E60F3BFC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6" name="TextBox 223">
          <a:extLst>
            <a:ext uri="{FF2B5EF4-FFF2-40B4-BE49-F238E27FC236}">
              <a16:creationId xmlns:a16="http://schemas.microsoft.com/office/drawing/2014/main" id="{6F7C89EC-0EEC-4DE4-A3A8-B54441CC3B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7" name="TextBox 224">
          <a:extLst>
            <a:ext uri="{FF2B5EF4-FFF2-40B4-BE49-F238E27FC236}">
              <a16:creationId xmlns:a16="http://schemas.microsoft.com/office/drawing/2014/main" id="{EA7F08A6-599D-493B-A6C1-3EBBEA4D5E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8" name="TextBox 225">
          <a:extLst>
            <a:ext uri="{FF2B5EF4-FFF2-40B4-BE49-F238E27FC236}">
              <a16:creationId xmlns:a16="http://schemas.microsoft.com/office/drawing/2014/main" id="{8BD135D0-B900-49BD-8937-1E87C5F639F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39" name="TextBox 226">
          <a:extLst>
            <a:ext uri="{FF2B5EF4-FFF2-40B4-BE49-F238E27FC236}">
              <a16:creationId xmlns:a16="http://schemas.microsoft.com/office/drawing/2014/main" id="{6E09FFA6-11D9-4621-B95D-D0A7862530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0" name="TextBox 15">
          <a:extLst>
            <a:ext uri="{FF2B5EF4-FFF2-40B4-BE49-F238E27FC236}">
              <a16:creationId xmlns:a16="http://schemas.microsoft.com/office/drawing/2014/main" id="{E97EB2FF-9F75-431D-8399-7E43744180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1" name="TextBox 16">
          <a:extLst>
            <a:ext uri="{FF2B5EF4-FFF2-40B4-BE49-F238E27FC236}">
              <a16:creationId xmlns:a16="http://schemas.microsoft.com/office/drawing/2014/main" id="{B1876F27-9F76-4319-9F54-AB66BC9131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2" name="TextBox 17">
          <a:extLst>
            <a:ext uri="{FF2B5EF4-FFF2-40B4-BE49-F238E27FC236}">
              <a16:creationId xmlns:a16="http://schemas.microsoft.com/office/drawing/2014/main" id="{A6C505FF-ED48-4AF6-B037-5947297FC3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3" name="TextBox 18">
          <a:extLst>
            <a:ext uri="{FF2B5EF4-FFF2-40B4-BE49-F238E27FC236}">
              <a16:creationId xmlns:a16="http://schemas.microsoft.com/office/drawing/2014/main" id="{54E935A7-F826-4529-BE37-F197EC51D9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4" name="TextBox 231">
          <a:extLst>
            <a:ext uri="{FF2B5EF4-FFF2-40B4-BE49-F238E27FC236}">
              <a16:creationId xmlns:a16="http://schemas.microsoft.com/office/drawing/2014/main" id="{DFAE318C-E419-47A5-ABED-2A76829370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5" name="TextBox 232">
          <a:extLst>
            <a:ext uri="{FF2B5EF4-FFF2-40B4-BE49-F238E27FC236}">
              <a16:creationId xmlns:a16="http://schemas.microsoft.com/office/drawing/2014/main" id="{D0022EB2-F06B-4A06-AF32-659A052BBA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6" name="TextBox 1">
          <a:extLst>
            <a:ext uri="{FF2B5EF4-FFF2-40B4-BE49-F238E27FC236}">
              <a16:creationId xmlns:a16="http://schemas.microsoft.com/office/drawing/2014/main" id="{5135ACB4-7F11-4114-A25A-336066EF54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7" name="TextBox 3">
          <a:extLst>
            <a:ext uri="{FF2B5EF4-FFF2-40B4-BE49-F238E27FC236}">
              <a16:creationId xmlns:a16="http://schemas.microsoft.com/office/drawing/2014/main" id="{03CE7FFB-434E-41CF-8FC9-C53A73F0B4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8" name="TextBox 235">
          <a:extLst>
            <a:ext uri="{FF2B5EF4-FFF2-40B4-BE49-F238E27FC236}">
              <a16:creationId xmlns:a16="http://schemas.microsoft.com/office/drawing/2014/main" id="{0C991711-D842-4535-B25D-2863653560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49" name="TextBox 236">
          <a:extLst>
            <a:ext uri="{FF2B5EF4-FFF2-40B4-BE49-F238E27FC236}">
              <a16:creationId xmlns:a16="http://schemas.microsoft.com/office/drawing/2014/main" id="{D03A288E-8155-41B7-A7A0-095A32034C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0" name="TextBox 237">
          <a:extLst>
            <a:ext uri="{FF2B5EF4-FFF2-40B4-BE49-F238E27FC236}">
              <a16:creationId xmlns:a16="http://schemas.microsoft.com/office/drawing/2014/main" id="{BFE3705C-223C-40B2-9B3C-D209CA1722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1" name="TextBox 238">
          <a:extLst>
            <a:ext uri="{FF2B5EF4-FFF2-40B4-BE49-F238E27FC236}">
              <a16:creationId xmlns:a16="http://schemas.microsoft.com/office/drawing/2014/main" id="{FFB63F34-0DE4-48BB-B1B8-435A2DBD92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2" name="TextBox 239">
          <a:extLst>
            <a:ext uri="{FF2B5EF4-FFF2-40B4-BE49-F238E27FC236}">
              <a16:creationId xmlns:a16="http://schemas.microsoft.com/office/drawing/2014/main" id="{25402FE9-3DBA-415E-874A-ACF2DB12B7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3" name="TextBox 240">
          <a:extLst>
            <a:ext uri="{FF2B5EF4-FFF2-40B4-BE49-F238E27FC236}">
              <a16:creationId xmlns:a16="http://schemas.microsoft.com/office/drawing/2014/main" id="{EE305B19-2631-426C-9CB7-D70D929737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4" name="TextBox 241">
          <a:extLst>
            <a:ext uri="{FF2B5EF4-FFF2-40B4-BE49-F238E27FC236}">
              <a16:creationId xmlns:a16="http://schemas.microsoft.com/office/drawing/2014/main" id="{2DAA457F-EA86-4E6B-B1A4-6CB718637F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5" name="TextBox 242">
          <a:extLst>
            <a:ext uri="{FF2B5EF4-FFF2-40B4-BE49-F238E27FC236}">
              <a16:creationId xmlns:a16="http://schemas.microsoft.com/office/drawing/2014/main" id="{8059C447-AD07-4DDE-B2E8-87D5AD2E4C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6" name="TextBox 243">
          <a:extLst>
            <a:ext uri="{FF2B5EF4-FFF2-40B4-BE49-F238E27FC236}">
              <a16:creationId xmlns:a16="http://schemas.microsoft.com/office/drawing/2014/main" id="{DC1ECFBD-9E75-4345-A3B6-2B9B0C0E07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7" name="TextBox 244">
          <a:extLst>
            <a:ext uri="{FF2B5EF4-FFF2-40B4-BE49-F238E27FC236}">
              <a16:creationId xmlns:a16="http://schemas.microsoft.com/office/drawing/2014/main" id="{FA61CDBD-350F-40BB-80A9-33A2C804F4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8" name="TextBox 13">
          <a:extLst>
            <a:ext uri="{FF2B5EF4-FFF2-40B4-BE49-F238E27FC236}">
              <a16:creationId xmlns:a16="http://schemas.microsoft.com/office/drawing/2014/main" id="{BEB7072E-908F-43C7-875C-4997F00AB1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59" name="TextBox 14">
          <a:extLst>
            <a:ext uri="{FF2B5EF4-FFF2-40B4-BE49-F238E27FC236}">
              <a16:creationId xmlns:a16="http://schemas.microsoft.com/office/drawing/2014/main" id="{A4080E04-0E3D-444A-A3E2-DBB51341037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0" name="TextBox 247">
          <a:extLst>
            <a:ext uri="{FF2B5EF4-FFF2-40B4-BE49-F238E27FC236}">
              <a16:creationId xmlns:a16="http://schemas.microsoft.com/office/drawing/2014/main" id="{0E87596F-0584-4A48-BBE7-1C10647E9A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1" name="TextBox 248">
          <a:extLst>
            <a:ext uri="{FF2B5EF4-FFF2-40B4-BE49-F238E27FC236}">
              <a16:creationId xmlns:a16="http://schemas.microsoft.com/office/drawing/2014/main" id="{0D271D28-9442-47BF-9ED1-83F613A8F4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2" name="TextBox 249">
          <a:extLst>
            <a:ext uri="{FF2B5EF4-FFF2-40B4-BE49-F238E27FC236}">
              <a16:creationId xmlns:a16="http://schemas.microsoft.com/office/drawing/2014/main" id="{F72382FA-5E5F-426C-834F-1EED0A6AB4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3" name="TextBox 250">
          <a:extLst>
            <a:ext uri="{FF2B5EF4-FFF2-40B4-BE49-F238E27FC236}">
              <a16:creationId xmlns:a16="http://schemas.microsoft.com/office/drawing/2014/main" id="{D1772F86-D715-407D-AF89-B50F554211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4" name="TextBox 15">
          <a:extLst>
            <a:ext uri="{FF2B5EF4-FFF2-40B4-BE49-F238E27FC236}">
              <a16:creationId xmlns:a16="http://schemas.microsoft.com/office/drawing/2014/main" id="{73802348-60FA-4FD4-A665-ED7982A664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5" name="TextBox 16">
          <a:extLst>
            <a:ext uri="{FF2B5EF4-FFF2-40B4-BE49-F238E27FC236}">
              <a16:creationId xmlns:a16="http://schemas.microsoft.com/office/drawing/2014/main" id="{FDACA4FE-AE38-4E01-A933-5EB6309876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6" name="TextBox 17">
          <a:extLst>
            <a:ext uri="{FF2B5EF4-FFF2-40B4-BE49-F238E27FC236}">
              <a16:creationId xmlns:a16="http://schemas.microsoft.com/office/drawing/2014/main" id="{39EBB600-CC4C-4C73-ACAA-ED59FC26F4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7" name="TextBox 18">
          <a:extLst>
            <a:ext uri="{FF2B5EF4-FFF2-40B4-BE49-F238E27FC236}">
              <a16:creationId xmlns:a16="http://schemas.microsoft.com/office/drawing/2014/main" id="{42293218-2E6A-4E6F-8CF0-8C933D7B61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8" name="TextBox 255">
          <a:extLst>
            <a:ext uri="{FF2B5EF4-FFF2-40B4-BE49-F238E27FC236}">
              <a16:creationId xmlns:a16="http://schemas.microsoft.com/office/drawing/2014/main" id="{745DEC1D-B024-42CC-8CE0-E2B7641F8E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69" name="TextBox 256">
          <a:extLst>
            <a:ext uri="{FF2B5EF4-FFF2-40B4-BE49-F238E27FC236}">
              <a16:creationId xmlns:a16="http://schemas.microsoft.com/office/drawing/2014/main" id="{CA063D94-3D0D-441F-AF05-89314B2FD4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0" name="TextBox 1">
          <a:extLst>
            <a:ext uri="{FF2B5EF4-FFF2-40B4-BE49-F238E27FC236}">
              <a16:creationId xmlns:a16="http://schemas.microsoft.com/office/drawing/2014/main" id="{8D905EDB-FF42-4583-A49F-1DDD43151E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1" name="TextBox 3">
          <a:extLst>
            <a:ext uri="{FF2B5EF4-FFF2-40B4-BE49-F238E27FC236}">
              <a16:creationId xmlns:a16="http://schemas.microsoft.com/office/drawing/2014/main" id="{D9370EA4-3A22-439A-8B6A-17BE0A198C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2" name="TextBox 259">
          <a:extLst>
            <a:ext uri="{FF2B5EF4-FFF2-40B4-BE49-F238E27FC236}">
              <a16:creationId xmlns:a16="http://schemas.microsoft.com/office/drawing/2014/main" id="{CD0C46A0-F341-450F-AA87-C6F3B0B03F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3" name="TextBox 260">
          <a:extLst>
            <a:ext uri="{FF2B5EF4-FFF2-40B4-BE49-F238E27FC236}">
              <a16:creationId xmlns:a16="http://schemas.microsoft.com/office/drawing/2014/main" id="{FE185529-2F4D-479C-A780-3E3EAD449D8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4" name="TextBox 261">
          <a:extLst>
            <a:ext uri="{FF2B5EF4-FFF2-40B4-BE49-F238E27FC236}">
              <a16:creationId xmlns:a16="http://schemas.microsoft.com/office/drawing/2014/main" id="{2EA69E76-DDD8-43E4-9E9D-4C40DADA3D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5" name="TextBox 262">
          <a:extLst>
            <a:ext uri="{FF2B5EF4-FFF2-40B4-BE49-F238E27FC236}">
              <a16:creationId xmlns:a16="http://schemas.microsoft.com/office/drawing/2014/main" id="{D39E005C-6B24-4FCE-A570-987C2F3797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6" name="TextBox 263">
          <a:extLst>
            <a:ext uri="{FF2B5EF4-FFF2-40B4-BE49-F238E27FC236}">
              <a16:creationId xmlns:a16="http://schemas.microsoft.com/office/drawing/2014/main" id="{0838419E-EBA5-40FA-8404-575D1C5788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7" name="TextBox 264">
          <a:extLst>
            <a:ext uri="{FF2B5EF4-FFF2-40B4-BE49-F238E27FC236}">
              <a16:creationId xmlns:a16="http://schemas.microsoft.com/office/drawing/2014/main" id="{82EC7D12-30CA-46A5-A6A9-DE01E12F36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8" name="TextBox 265">
          <a:extLst>
            <a:ext uri="{FF2B5EF4-FFF2-40B4-BE49-F238E27FC236}">
              <a16:creationId xmlns:a16="http://schemas.microsoft.com/office/drawing/2014/main" id="{E18EF4F6-505C-4687-B0EF-F7C5A0F855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79" name="TextBox 266">
          <a:extLst>
            <a:ext uri="{FF2B5EF4-FFF2-40B4-BE49-F238E27FC236}">
              <a16:creationId xmlns:a16="http://schemas.microsoft.com/office/drawing/2014/main" id="{49251E71-A20B-4635-ACD9-62A06F87D9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0" name="TextBox 267">
          <a:extLst>
            <a:ext uri="{FF2B5EF4-FFF2-40B4-BE49-F238E27FC236}">
              <a16:creationId xmlns:a16="http://schemas.microsoft.com/office/drawing/2014/main" id="{B0A261AF-0FC4-4FFA-BBA5-6DEB93BF73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1" name="TextBox 268">
          <a:extLst>
            <a:ext uri="{FF2B5EF4-FFF2-40B4-BE49-F238E27FC236}">
              <a16:creationId xmlns:a16="http://schemas.microsoft.com/office/drawing/2014/main" id="{A488F604-B689-4E9A-A9AB-93C44A965A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2" name="TextBox 13">
          <a:extLst>
            <a:ext uri="{FF2B5EF4-FFF2-40B4-BE49-F238E27FC236}">
              <a16:creationId xmlns:a16="http://schemas.microsoft.com/office/drawing/2014/main" id="{88C1F307-4FA4-4702-B582-3F0A433557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3" name="TextBox 14">
          <a:extLst>
            <a:ext uri="{FF2B5EF4-FFF2-40B4-BE49-F238E27FC236}">
              <a16:creationId xmlns:a16="http://schemas.microsoft.com/office/drawing/2014/main" id="{AE2BD5FD-E62D-44E6-BB0D-91F6374F94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4" name="TextBox 271">
          <a:extLst>
            <a:ext uri="{FF2B5EF4-FFF2-40B4-BE49-F238E27FC236}">
              <a16:creationId xmlns:a16="http://schemas.microsoft.com/office/drawing/2014/main" id="{21CAAC64-9AA6-4249-8E9F-5B1B9FBD77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5" name="TextBox 272">
          <a:extLst>
            <a:ext uri="{FF2B5EF4-FFF2-40B4-BE49-F238E27FC236}">
              <a16:creationId xmlns:a16="http://schemas.microsoft.com/office/drawing/2014/main" id="{CEE6DD20-3E5D-4D78-889F-000456DF7B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6" name="TextBox 273">
          <a:extLst>
            <a:ext uri="{FF2B5EF4-FFF2-40B4-BE49-F238E27FC236}">
              <a16:creationId xmlns:a16="http://schemas.microsoft.com/office/drawing/2014/main" id="{DCC72F34-6BC5-4C4E-A7B4-6E73E8EE55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7" name="TextBox 274">
          <a:extLst>
            <a:ext uri="{FF2B5EF4-FFF2-40B4-BE49-F238E27FC236}">
              <a16:creationId xmlns:a16="http://schemas.microsoft.com/office/drawing/2014/main" id="{563177BE-F994-42AD-8669-E890844232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8" name="TextBox 15">
          <a:extLst>
            <a:ext uri="{FF2B5EF4-FFF2-40B4-BE49-F238E27FC236}">
              <a16:creationId xmlns:a16="http://schemas.microsoft.com/office/drawing/2014/main" id="{48248AF6-9537-447F-B023-7187ED3B6B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89" name="TextBox 16">
          <a:extLst>
            <a:ext uri="{FF2B5EF4-FFF2-40B4-BE49-F238E27FC236}">
              <a16:creationId xmlns:a16="http://schemas.microsoft.com/office/drawing/2014/main" id="{033DBEC9-00DC-463C-A46E-9DD6FAD15F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0" name="TextBox 17">
          <a:extLst>
            <a:ext uri="{FF2B5EF4-FFF2-40B4-BE49-F238E27FC236}">
              <a16:creationId xmlns:a16="http://schemas.microsoft.com/office/drawing/2014/main" id="{C4F6CC55-9EAF-45E5-95C9-5A2AB48C780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1" name="TextBox 18">
          <a:extLst>
            <a:ext uri="{FF2B5EF4-FFF2-40B4-BE49-F238E27FC236}">
              <a16:creationId xmlns:a16="http://schemas.microsoft.com/office/drawing/2014/main" id="{89F7379C-3B99-4DC5-A1AD-70797978C8F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2" name="TextBox 279">
          <a:extLst>
            <a:ext uri="{FF2B5EF4-FFF2-40B4-BE49-F238E27FC236}">
              <a16:creationId xmlns:a16="http://schemas.microsoft.com/office/drawing/2014/main" id="{803716C6-B223-4968-B47C-9BB6AD5F5B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3" name="TextBox 280">
          <a:extLst>
            <a:ext uri="{FF2B5EF4-FFF2-40B4-BE49-F238E27FC236}">
              <a16:creationId xmlns:a16="http://schemas.microsoft.com/office/drawing/2014/main" id="{7E842B09-A9F2-4598-A9F6-7544DE6041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4" name="TextBox 1">
          <a:extLst>
            <a:ext uri="{FF2B5EF4-FFF2-40B4-BE49-F238E27FC236}">
              <a16:creationId xmlns:a16="http://schemas.microsoft.com/office/drawing/2014/main" id="{45408CAA-CD57-468A-A3DB-DF36AAF8C0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5" name="TextBox 3">
          <a:extLst>
            <a:ext uri="{FF2B5EF4-FFF2-40B4-BE49-F238E27FC236}">
              <a16:creationId xmlns:a16="http://schemas.microsoft.com/office/drawing/2014/main" id="{3A471A05-76D9-403A-AEE3-B72650A689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6" name="TextBox 283">
          <a:extLst>
            <a:ext uri="{FF2B5EF4-FFF2-40B4-BE49-F238E27FC236}">
              <a16:creationId xmlns:a16="http://schemas.microsoft.com/office/drawing/2014/main" id="{3F1CA4D2-BEED-4359-A54A-85FEE3845A2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7" name="TextBox 284">
          <a:extLst>
            <a:ext uri="{FF2B5EF4-FFF2-40B4-BE49-F238E27FC236}">
              <a16:creationId xmlns:a16="http://schemas.microsoft.com/office/drawing/2014/main" id="{B661A178-3499-4A6A-BD88-B45D54D4643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8" name="TextBox 285">
          <a:extLst>
            <a:ext uri="{FF2B5EF4-FFF2-40B4-BE49-F238E27FC236}">
              <a16:creationId xmlns:a16="http://schemas.microsoft.com/office/drawing/2014/main" id="{45602332-4011-4C89-9C61-9D8A9ED6B4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699" name="TextBox 286">
          <a:extLst>
            <a:ext uri="{FF2B5EF4-FFF2-40B4-BE49-F238E27FC236}">
              <a16:creationId xmlns:a16="http://schemas.microsoft.com/office/drawing/2014/main" id="{CD356CEB-3316-4855-8C91-710E3BC323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0" name="TextBox 287">
          <a:extLst>
            <a:ext uri="{FF2B5EF4-FFF2-40B4-BE49-F238E27FC236}">
              <a16:creationId xmlns:a16="http://schemas.microsoft.com/office/drawing/2014/main" id="{78C52580-2F14-463C-A7B9-AF11C09353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1" name="TextBox 288">
          <a:extLst>
            <a:ext uri="{FF2B5EF4-FFF2-40B4-BE49-F238E27FC236}">
              <a16:creationId xmlns:a16="http://schemas.microsoft.com/office/drawing/2014/main" id="{7D917595-AE39-4028-8FC0-B036FBF2EA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2" name="TextBox 289">
          <a:extLst>
            <a:ext uri="{FF2B5EF4-FFF2-40B4-BE49-F238E27FC236}">
              <a16:creationId xmlns:a16="http://schemas.microsoft.com/office/drawing/2014/main" id="{B76B2B0C-0794-4C27-8599-5781104EAA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3" name="TextBox 290">
          <a:extLst>
            <a:ext uri="{FF2B5EF4-FFF2-40B4-BE49-F238E27FC236}">
              <a16:creationId xmlns:a16="http://schemas.microsoft.com/office/drawing/2014/main" id="{BE41BAF5-F110-4F8A-A584-AD71E1821C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4" name="TextBox 291">
          <a:extLst>
            <a:ext uri="{FF2B5EF4-FFF2-40B4-BE49-F238E27FC236}">
              <a16:creationId xmlns:a16="http://schemas.microsoft.com/office/drawing/2014/main" id="{E72D07B1-0988-4B0C-9EFA-251B5F5FA0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5" name="TextBox 292">
          <a:extLst>
            <a:ext uri="{FF2B5EF4-FFF2-40B4-BE49-F238E27FC236}">
              <a16:creationId xmlns:a16="http://schemas.microsoft.com/office/drawing/2014/main" id="{204163E5-C5D2-4BA6-9154-632D720F24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6" name="TextBox 13">
          <a:extLst>
            <a:ext uri="{FF2B5EF4-FFF2-40B4-BE49-F238E27FC236}">
              <a16:creationId xmlns:a16="http://schemas.microsoft.com/office/drawing/2014/main" id="{79C25BC8-E932-4AB7-ACE8-50CC90121B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7" name="TextBox 14">
          <a:extLst>
            <a:ext uri="{FF2B5EF4-FFF2-40B4-BE49-F238E27FC236}">
              <a16:creationId xmlns:a16="http://schemas.microsoft.com/office/drawing/2014/main" id="{9F65FC5B-B904-4A3D-B06E-390BA87286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8" name="TextBox 295">
          <a:extLst>
            <a:ext uri="{FF2B5EF4-FFF2-40B4-BE49-F238E27FC236}">
              <a16:creationId xmlns:a16="http://schemas.microsoft.com/office/drawing/2014/main" id="{2151FDF7-A7AC-4DF3-A341-9C321080B3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09" name="TextBox 296">
          <a:extLst>
            <a:ext uri="{FF2B5EF4-FFF2-40B4-BE49-F238E27FC236}">
              <a16:creationId xmlns:a16="http://schemas.microsoft.com/office/drawing/2014/main" id="{10889F71-C056-475E-B94D-58E78CBC7E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0" name="TextBox 297">
          <a:extLst>
            <a:ext uri="{FF2B5EF4-FFF2-40B4-BE49-F238E27FC236}">
              <a16:creationId xmlns:a16="http://schemas.microsoft.com/office/drawing/2014/main" id="{62A54530-88EF-4E07-B83E-BE800FCCAC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1" name="TextBox 298">
          <a:extLst>
            <a:ext uri="{FF2B5EF4-FFF2-40B4-BE49-F238E27FC236}">
              <a16:creationId xmlns:a16="http://schemas.microsoft.com/office/drawing/2014/main" id="{31214EB2-120C-4387-8975-16274FBECFC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2" name="TextBox 15">
          <a:extLst>
            <a:ext uri="{FF2B5EF4-FFF2-40B4-BE49-F238E27FC236}">
              <a16:creationId xmlns:a16="http://schemas.microsoft.com/office/drawing/2014/main" id="{920A9ED3-6CB1-4D7B-A24A-7561F47F3C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3" name="TextBox 16">
          <a:extLst>
            <a:ext uri="{FF2B5EF4-FFF2-40B4-BE49-F238E27FC236}">
              <a16:creationId xmlns:a16="http://schemas.microsoft.com/office/drawing/2014/main" id="{81C08E86-435F-4437-A41D-DDF4EF5A3D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4" name="TextBox 17">
          <a:extLst>
            <a:ext uri="{FF2B5EF4-FFF2-40B4-BE49-F238E27FC236}">
              <a16:creationId xmlns:a16="http://schemas.microsoft.com/office/drawing/2014/main" id="{A449CEE1-4DEB-4D54-AD4C-78752D1CAF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5" name="TextBox 18">
          <a:extLst>
            <a:ext uri="{FF2B5EF4-FFF2-40B4-BE49-F238E27FC236}">
              <a16:creationId xmlns:a16="http://schemas.microsoft.com/office/drawing/2014/main" id="{F31A1A1E-846F-48DC-9D4D-7FEF9DF516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6" name="TextBox 303">
          <a:extLst>
            <a:ext uri="{FF2B5EF4-FFF2-40B4-BE49-F238E27FC236}">
              <a16:creationId xmlns:a16="http://schemas.microsoft.com/office/drawing/2014/main" id="{3C35FC1A-71C2-4C07-A151-9738CBEB7D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7" name="TextBox 304">
          <a:extLst>
            <a:ext uri="{FF2B5EF4-FFF2-40B4-BE49-F238E27FC236}">
              <a16:creationId xmlns:a16="http://schemas.microsoft.com/office/drawing/2014/main" id="{F751E37D-5833-410E-9BBC-9B0C4A912A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8" name="TextBox 1">
          <a:extLst>
            <a:ext uri="{FF2B5EF4-FFF2-40B4-BE49-F238E27FC236}">
              <a16:creationId xmlns:a16="http://schemas.microsoft.com/office/drawing/2014/main" id="{C8E1FA9E-CF06-455A-A367-B65EB98D93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19" name="TextBox 3">
          <a:extLst>
            <a:ext uri="{FF2B5EF4-FFF2-40B4-BE49-F238E27FC236}">
              <a16:creationId xmlns:a16="http://schemas.microsoft.com/office/drawing/2014/main" id="{B7F3EDDB-B292-425E-B7B6-2FDA448A91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0" name="TextBox 307">
          <a:extLst>
            <a:ext uri="{FF2B5EF4-FFF2-40B4-BE49-F238E27FC236}">
              <a16:creationId xmlns:a16="http://schemas.microsoft.com/office/drawing/2014/main" id="{1EED6C4F-71D0-4745-A02E-D2DD3C5BF3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1" name="TextBox 308">
          <a:extLst>
            <a:ext uri="{FF2B5EF4-FFF2-40B4-BE49-F238E27FC236}">
              <a16:creationId xmlns:a16="http://schemas.microsoft.com/office/drawing/2014/main" id="{3B41DB8B-0D70-4B4E-A7C4-F279DDC1D0D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2" name="TextBox 309">
          <a:extLst>
            <a:ext uri="{FF2B5EF4-FFF2-40B4-BE49-F238E27FC236}">
              <a16:creationId xmlns:a16="http://schemas.microsoft.com/office/drawing/2014/main" id="{C68C3C2A-BEF5-4578-9432-B66E71C277D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3" name="TextBox 310">
          <a:extLst>
            <a:ext uri="{FF2B5EF4-FFF2-40B4-BE49-F238E27FC236}">
              <a16:creationId xmlns:a16="http://schemas.microsoft.com/office/drawing/2014/main" id="{76EB0755-8228-42FF-AE6C-0B8FD44F39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4" name="TextBox 311">
          <a:extLst>
            <a:ext uri="{FF2B5EF4-FFF2-40B4-BE49-F238E27FC236}">
              <a16:creationId xmlns:a16="http://schemas.microsoft.com/office/drawing/2014/main" id="{2EF8FBE6-BAE9-406C-AEEF-ABA6F46A63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5" name="TextBox 312">
          <a:extLst>
            <a:ext uri="{FF2B5EF4-FFF2-40B4-BE49-F238E27FC236}">
              <a16:creationId xmlns:a16="http://schemas.microsoft.com/office/drawing/2014/main" id="{F3131E78-CFCC-4A48-8D25-0CF44E2D86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6" name="TextBox 313">
          <a:extLst>
            <a:ext uri="{FF2B5EF4-FFF2-40B4-BE49-F238E27FC236}">
              <a16:creationId xmlns:a16="http://schemas.microsoft.com/office/drawing/2014/main" id="{841E685A-1693-493D-81A7-2747CD0FC6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7" name="TextBox 314">
          <a:extLst>
            <a:ext uri="{FF2B5EF4-FFF2-40B4-BE49-F238E27FC236}">
              <a16:creationId xmlns:a16="http://schemas.microsoft.com/office/drawing/2014/main" id="{7811EA09-4C11-4064-A4D6-DADCDFDEC9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8" name="TextBox 315">
          <a:extLst>
            <a:ext uri="{FF2B5EF4-FFF2-40B4-BE49-F238E27FC236}">
              <a16:creationId xmlns:a16="http://schemas.microsoft.com/office/drawing/2014/main" id="{1634BEB4-0077-4A9F-96A1-55B0758F6D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29" name="TextBox 316">
          <a:extLst>
            <a:ext uri="{FF2B5EF4-FFF2-40B4-BE49-F238E27FC236}">
              <a16:creationId xmlns:a16="http://schemas.microsoft.com/office/drawing/2014/main" id="{06E361BB-417F-4243-BB28-EEB29EA2D5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0" name="TextBox 13">
          <a:extLst>
            <a:ext uri="{FF2B5EF4-FFF2-40B4-BE49-F238E27FC236}">
              <a16:creationId xmlns:a16="http://schemas.microsoft.com/office/drawing/2014/main" id="{A003B298-379F-4D89-8E74-A7D4CDCA1D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1" name="TextBox 14">
          <a:extLst>
            <a:ext uri="{FF2B5EF4-FFF2-40B4-BE49-F238E27FC236}">
              <a16:creationId xmlns:a16="http://schemas.microsoft.com/office/drawing/2014/main" id="{458F9AD7-93EB-4FCC-9FC5-73C7A8D12E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2" name="TextBox 319">
          <a:extLst>
            <a:ext uri="{FF2B5EF4-FFF2-40B4-BE49-F238E27FC236}">
              <a16:creationId xmlns:a16="http://schemas.microsoft.com/office/drawing/2014/main" id="{B50B0FDF-26D5-434D-B39C-D58298F3CF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3" name="TextBox 320">
          <a:extLst>
            <a:ext uri="{FF2B5EF4-FFF2-40B4-BE49-F238E27FC236}">
              <a16:creationId xmlns:a16="http://schemas.microsoft.com/office/drawing/2014/main" id="{DD5AAEDF-8830-426F-B5E5-C9C0E6EB6B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4" name="TextBox 321">
          <a:extLst>
            <a:ext uri="{FF2B5EF4-FFF2-40B4-BE49-F238E27FC236}">
              <a16:creationId xmlns:a16="http://schemas.microsoft.com/office/drawing/2014/main" id="{8446317E-0419-45E3-9F7D-C75164FB12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5" name="TextBox 322">
          <a:extLst>
            <a:ext uri="{FF2B5EF4-FFF2-40B4-BE49-F238E27FC236}">
              <a16:creationId xmlns:a16="http://schemas.microsoft.com/office/drawing/2014/main" id="{B1EA0F81-95A6-4A5A-9517-427BC8D4F9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6" name="TextBox 15">
          <a:extLst>
            <a:ext uri="{FF2B5EF4-FFF2-40B4-BE49-F238E27FC236}">
              <a16:creationId xmlns:a16="http://schemas.microsoft.com/office/drawing/2014/main" id="{F07FFE42-FBA1-43F6-9794-0EC3800E6E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7" name="TextBox 16">
          <a:extLst>
            <a:ext uri="{FF2B5EF4-FFF2-40B4-BE49-F238E27FC236}">
              <a16:creationId xmlns:a16="http://schemas.microsoft.com/office/drawing/2014/main" id="{5E6371DF-B7EA-4BC6-8C5B-D4E2862154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8" name="TextBox 17">
          <a:extLst>
            <a:ext uri="{FF2B5EF4-FFF2-40B4-BE49-F238E27FC236}">
              <a16:creationId xmlns:a16="http://schemas.microsoft.com/office/drawing/2014/main" id="{DD909283-6E80-4340-B5A9-D0ABBE6319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39" name="TextBox 18">
          <a:extLst>
            <a:ext uri="{FF2B5EF4-FFF2-40B4-BE49-F238E27FC236}">
              <a16:creationId xmlns:a16="http://schemas.microsoft.com/office/drawing/2014/main" id="{09253D1A-2519-47EF-8BE9-517AC56209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0" name="TextBox 327">
          <a:extLst>
            <a:ext uri="{FF2B5EF4-FFF2-40B4-BE49-F238E27FC236}">
              <a16:creationId xmlns:a16="http://schemas.microsoft.com/office/drawing/2014/main" id="{186341A6-602D-4091-9A7F-078BE74D71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1" name="TextBox 328">
          <a:extLst>
            <a:ext uri="{FF2B5EF4-FFF2-40B4-BE49-F238E27FC236}">
              <a16:creationId xmlns:a16="http://schemas.microsoft.com/office/drawing/2014/main" id="{A763554D-98CC-4251-85DC-1F632C01B3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2" name="TextBox 1">
          <a:extLst>
            <a:ext uri="{FF2B5EF4-FFF2-40B4-BE49-F238E27FC236}">
              <a16:creationId xmlns:a16="http://schemas.microsoft.com/office/drawing/2014/main" id="{E18801CE-18F1-4093-BA40-880DB2B882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3" name="TextBox 3">
          <a:extLst>
            <a:ext uri="{FF2B5EF4-FFF2-40B4-BE49-F238E27FC236}">
              <a16:creationId xmlns:a16="http://schemas.microsoft.com/office/drawing/2014/main" id="{E764CDBD-2251-4332-989D-E8044446D9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4" name="TextBox 331">
          <a:extLst>
            <a:ext uri="{FF2B5EF4-FFF2-40B4-BE49-F238E27FC236}">
              <a16:creationId xmlns:a16="http://schemas.microsoft.com/office/drawing/2014/main" id="{559A795C-4E26-4345-81C5-44B1360E2DC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5" name="TextBox 332">
          <a:extLst>
            <a:ext uri="{FF2B5EF4-FFF2-40B4-BE49-F238E27FC236}">
              <a16:creationId xmlns:a16="http://schemas.microsoft.com/office/drawing/2014/main" id="{69613F4E-406A-439B-9955-2DDE648322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6" name="TextBox 333">
          <a:extLst>
            <a:ext uri="{FF2B5EF4-FFF2-40B4-BE49-F238E27FC236}">
              <a16:creationId xmlns:a16="http://schemas.microsoft.com/office/drawing/2014/main" id="{6CD7F02D-1D04-49B2-A7BF-2907C8CE55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7" name="TextBox 334">
          <a:extLst>
            <a:ext uri="{FF2B5EF4-FFF2-40B4-BE49-F238E27FC236}">
              <a16:creationId xmlns:a16="http://schemas.microsoft.com/office/drawing/2014/main" id="{5A5BDC69-C022-4D32-A3C3-B4D358627A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8" name="TextBox 335">
          <a:extLst>
            <a:ext uri="{FF2B5EF4-FFF2-40B4-BE49-F238E27FC236}">
              <a16:creationId xmlns:a16="http://schemas.microsoft.com/office/drawing/2014/main" id="{3F190A14-CD74-40EC-BA64-BED6F47DD6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49" name="TextBox 336">
          <a:extLst>
            <a:ext uri="{FF2B5EF4-FFF2-40B4-BE49-F238E27FC236}">
              <a16:creationId xmlns:a16="http://schemas.microsoft.com/office/drawing/2014/main" id="{E7216DC2-524C-4A79-8308-DE43377596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0" name="TextBox 337">
          <a:extLst>
            <a:ext uri="{FF2B5EF4-FFF2-40B4-BE49-F238E27FC236}">
              <a16:creationId xmlns:a16="http://schemas.microsoft.com/office/drawing/2014/main" id="{BF3C28D6-69CD-4794-AE14-0CC397ECFE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1" name="TextBox 338">
          <a:extLst>
            <a:ext uri="{FF2B5EF4-FFF2-40B4-BE49-F238E27FC236}">
              <a16:creationId xmlns:a16="http://schemas.microsoft.com/office/drawing/2014/main" id="{D1045FFC-2145-4295-B923-80C7A1E62F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2" name="TextBox 339">
          <a:extLst>
            <a:ext uri="{FF2B5EF4-FFF2-40B4-BE49-F238E27FC236}">
              <a16:creationId xmlns:a16="http://schemas.microsoft.com/office/drawing/2014/main" id="{02A47C75-E115-4CF9-9C18-FDABD2BF81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3" name="TextBox 340">
          <a:extLst>
            <a:ext uri="{FF2B5EF4-FFF2-40B4-BE49-F238E27FC236}">
              <a16:creationId xmlns:a16="http://schemas.microsoft.com/office/drawing/2014/main" id="{A7F6FB47-86C5-49CD-AF31-0474419ED3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4" name="TextBox 13">
          <a:extLst>
            <a:ext uri="{FF2B5EF4-FFF2-40B4-BE49-F238E27FC236}">
              <a16:creationId xmlns:a16="http://schemas.microsoft.com/office/drawing/2014/main" id="{0E255DBA-665B-445C-8A32-DCBCB82E90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5" name="TextBox 14">
          <a:extLst>
            <a:ext uri="{FF2B5EF4-FFF2-40B4-BE49-F238E27FC236}">
              <a16:creationId xmlns:a16="http://schemas.microsoft.com/office/drawing/2014/main" id="{A63CCD21-B18B-4AFB-8C17-B9CD234DD68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6" name="TextBox 343">
          <a:extLst>
            <a:ext uri="{FF2B5EF4-FFF2-40B4-BE49-F238E27FC236}">
              <a16:creationId xmlns:a16="http://schemas.microsoft.com/office/drawing/2014/main" id="{4FB31A5C-B972-4CDA-82A6-C7FDE206D9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7" name="TextBox 344">
          <a:extLst>
            <a:ext uri="{FF2B5EF4-FFF2-40B4-BE49-F238E27FC236}">
              <a16:creationId xmlns:a16="http://schemas.microsoft.com/office/drawing/2014/main" id="{0E231263-59FE-47F8-AC87-363AFAEA14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8" name="TextBox 345">
          <a:extLst>
            <a:ext uri="{FF2B5EF4-FFF2-40B4-BE49-F238E27FC236}">
              <a16:creationId xmlns:a16="http://schemas.microsoft.com/office/drawing/2014/main" id="{492DA40E-D32E-4199-9897-EAE83F65C4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59" name="TextBox 346">
          <a:extLst>
            <a:ext uri="{FF2B5EF4-FFF2-40B4-BE49-F238E27FC236}">
              <a16:creationId xmlns:a16="http://schemas.microsoft.com/office/drawing/2014/main" id="{11D7F277-79DE-4AE8-AE7B-0264D8F155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0" name="TextBox 15">
          <a:extLst>
            <a:ext uri="{FF2B5EF4-FFF2-40B4-BE49-F238E27FC236}">
              <a16:creationId xmlns:a16="http://schemas.microsoft.com/office/drawing/2014/main" id="{54639FBA-0AE3-4DD6-A835-A643A8696A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1" name="TextBox 16">
          <a:extLst>
            <a:ext uri="{FF2B5EF4-FFF2-40B4-BE49-F238E27FC236}">
              <a16:creationId xmlns:a16="http://schemas.microsoft.com/office/drawing/2014/main" id="{C3FF2CE2-5716-496C-963E-FB01283FC7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2" name="TextBox 17">
          <a:extLst>
            <a:ext uri="{FF2B5EF4-FFF2-40B4-BE49-F238E27FC236}">
              <a16:creationId xmlns:a16="http://schemas.microsoft.com/office/drawing/2014/main" id="{70346850-BF6A-42F7-9B06-8E3B9F4BAD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3" name="TextBox 18">
          <a:extLst>
            <a:ext uri="{FF2B5EF4-FFF2-40B4-BE49-F238E27FC236}">
              <a16:creationId xmlns:a16="http://schemas.microsoft.com/office/drawing/2014/main" id="{AEA2C242-16B9-48B4-A53A-F0325064D2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4" name="TextBox 351">
          <a:extLst>
            <a:ext uri="{FF2B5EF4-FFF2-40B4-BE49-F238E27FC236}">
              <a16:creationId xmlns:a16="http://schemas.microsoft.com/office/drawing/2014/main" id="{5F643A62-5F96-4F60-BC88-F61E77712E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5" name="TextBox 352">
          <a:extLst>
            <a:ext uri="{FF2B5EF4-FFF2-40B4-BE49-F238E27FC236}">
              <a16:creationId xmlns:a16="http://schemas.microsoft.com/office/drawing/2014/main" id="{DAABE208-CBC7-4DC0-B6F1-85CDEDE009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6" name="TextBox 1">
          <a:extLst>
            <a:ext uri="{FF2B5EF4-FFF2-40B4-BE49-F238E27FC236}">
              <a16:creationId xmlns:a16="http://schemas.microsoft.com/office/drawing/2014/main" id="{F0F24B78-20C1-4B81-A8B3-C50C88857F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7" name="TextBox 3">
          <a:extLst>
            <a:ext uri="{FF2B5EF4-FFF2-40B4-BE49-F238E27FC236}">
              <a16:creationId xmlns:a16="http://schemas.microsoft.com/office/drawing/2014/main" id="{B48598A0-2225-4780-A94A-4180FA2935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8" name="TextBox 355">
          <a:extLst>
            <a:ext uri="{FF2B5EF4-FFF2-40B4-BE49-F238E27FC236}">
              <a16:creationId xmlns:a16="http://schemas.microsoft.com/office/drawing/2014/main" id="{148E4D2F-2535-47BD-B075-2062E4158E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69" name="TextBox 356">
          <a:extLst>
            <a:ext uri="{FF2B5EF4-FFF2-40B4-BE49-F238E27FC236}">
              <a16:creationId xmlns:a16="http://schemas.microsoft.com/office/drawing/2014/main" id="{2124A810-7186-4423-BCC4-8A594C2861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0" name="TextBox 357">
          <a:extLst>
            <a:ext uri="{FF2B5EF4-FFF2-40B4-BE49-F238E27FC236}">
              <a16:creationId xmlns:a16="http://schemas.microsoft.com/office/drawing/2014/main" id="{1D27E133-4B27-4A37-9AEE-82290EB023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1" name="TextBox 358">
          <a:extLst>
            <a:ext uri="{FF2B5EF4-FFF2-40B4-BE49-F238E27FC236}">
              <a16:creationId xmlns:a16="http://schemas.microsoft.com/office/drawing/2014/main" id="{918F9E8C-F564-4994-898D-8D9084B4BE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2" name="TextBox 359">
          <a:extLst>
            <a:ext uri="{FF2B5EF4-FFF2-40B4-BE49-F238E27FC236}">
              <a16:creationId xmlns:a16="http://schemas.microsoft.com/office/drawing/2014/main" id="{CFC2C1ED-8B40-4AA6-9AE8-578DC4AF79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3" name="TextBox 360">
          <a:extLst>
            <a:ext uri="{FF2B5EF4-FFF2-40B4-BE49-F238E27FC236}">
              <a16:creationId xmlns:a16="http://schemas.microsoft.com/office/drawing/2014/main" id="{0D42BA36-8AF6-4C25-939D-52C77A0B6F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4" name="TextBox 361">
          <a:extLst>
            <a:ext uri="{FF2B5EF4-FFF2-40B4-BE49-F238E27FC236}">
              <a16:creationId xmlns:a16="http://schemas.microsoft.com/office/drawing/2014/main" id="{D1BC684B-1DB0-42EA-B964-5FAD5ACE73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5" name="TextBox 362">
          <a:extLst>
            <a:ext uri="{FF2B5EF4-FFF2-40B4-BE49-F238E27FC236}">
              <a16:creationId xmlns:a16="http://schemas.microsoft.com/office/drawing/2014/main" id="{D4F1111F-FAE4-42A5-8C2E-A6575343A6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6" name="TextBox 363">
          <a:extLst>
            <a:ext uri="{FF2B5EF4-FFF2-40B4-BE49-F238E27FC236}">
              <a16:creationId xmlns:a16="http://schemas.microsoft.com/office/drawing/2014/main" id="{5366AE16-5251-4D7A-BD9C-94C984B0AF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7" name="TextBox 364">
          <a:extLst>
            <a:ext uri="{FF2B5EF4-FFF2-40B4-BE49-F238E27FC236}">
              <a16:creationId xmlns:a16="http://schemas.microsoft.com/office/drawing/2014/main" id="{756288D4-EFD7-4A4E-8242-373E9FD55C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8" name="TextBox 13">
          <a:extLst>
            <a:ext uri="{FF2B5EF4-FFF2-40B4-BE49-F238E27FC236}">
              <a16:creationId xmlns:a16="http://schemas.microsoft.com/office/drawing/2014/main" id="{0520DFBD-0E35-4E81-B09A-405923E717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79" name="TextBox 14">
          <a:extLst>
            <a:ext uri="{FF2B5EF4-FFF2-40B4-BE49-F238E27FC236}">
              <a16:creationId xmlns:a16="http://schemas.microsoft.com/office/drawing/2014/main" id="{51AB7D56-530B-4FE2-98EB-8D3D74FD72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0" name="TextBox 367">
          <a:extLst>
            <a:ext uri="{FF2B5EF4-FFF2-40B4-BE49-F238E27FC236}">
              <a16:creationId xmlns:a16="http://schemas.microsoft.com/office/drawing/2014/main" id="{3A48EDEB-57E5-429D-B908-BFBAE1E357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1" name="TextBox 368">
          <a:extLst>
            <a:ext uri="{FF2B5EF4-FFF2-40B4-BE49-F238E27FC236}">
              <a16:creationId xmlns:a16="http://schemas.microsoft.com/office/drawing/2014/main" id="{420F781D-0452-4C11-BE46-B9BE1ADCEC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2" name="TextBox 369">
          <a:extLst>
            <a:ext uri="{FF2B5EF4-FFF2-40B4-BE49-F238E27FC236}">
              <a16:creationId xmlns:a16="http://schemas.microsoft.com/office/drawing/2014/main" id="{B1BED897-BADF-4627-A8C7-BCBEF195E7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3" name="TextBox 370">
          <a:extLst>
            <a:ext uri="{FF2B5EF4-FFF2-40B4-BE49-F238E27FC236}">
              <a16:creationId xmlns:a16="http://schemas.microsoft.com/office/drawing/2014/main" id="{87C69508-AF9E-4937-B270-70273E1C3E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4" name="TextBox 15">
          <a:extLst>
            <a:ext uri="{FF2B5EF4-FFF2-40B4-BE49-F238E27FC236}">
              <a16:creationId xmlns:a16="http://schemas.microsoft.com/office/drawing/2014/main" id="{36B30B3B-FDCB-4FA3-8C9C-A68E059829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5" name="TextBox 16">
          <a:extLst>
            <a:ext uri="{FF2B5EF4-FFF2-40B4-BE49-F238E27FC236}">
              <a16:creationId xmlns:a16="http://schemas.microsoft.com/office/drawing/2014/main" id="{0526A00B-6F70-4C13-A150-474C7B9818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6" name="TextBox 17">
          <a:extLst>
            <a:ext uri="{FF2B5EF4-FFF2-40B4-BE49-F238E27FC236}">
              <a16:creationId xmlns:a16="http://schemas.microsoft.com/office/drawing/2014/main" id="{BFDFEB51-14D7-4107-856D-6FD3BCB052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7" name="TextBox 18">
          <a:extLst>
            <a:ext uri="{FF2B5EF4-FFF2-40B4-BE49-F238E27FC236}">
              <a16:creationId xmlns:a16="http://schemas.microsoft.com/office/drawing/2014/main" id="{89A26E83-F0A1-4F63-9E15-BF1D1EF3E8F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8" name="TextBox 375">
          <a:extLst>
            <a:ext uri="{FF2B5EF4-FFF2-40B4-BE49-F238E27FC236}">
              <a16:creationId xmlns:a16="http://schemas.microsoft.com/office/drawing/2014/main" id="{E15D09D0-C5B8-4C2A-928B-0039DB1855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89" name="TextBox 376">
          <a:extLst>
            <a:ext uri="{FF2B5EF4-FFF2-40B4-BE49-F238E27FC236}">
              <a16:creationId xmlns:a16="http://schemas.microsoft.com/office/drawing/2014/main" id="{BAD91658-F116-423C-A62D-2EB2214179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0" name="TextBox 1">
          <a:extLst>
            <a:ext uri="{FF2B5EF4-FFF2-40B4-BE49-F238E27FC236}">
              <a16:creationId xmlns:a16="http://schemas.microsoft.com/office/drawing/2014/main" id="{CAB73D74-6C45-4DC3-BC39-D2D714B663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1" name="TextBox 3">
          <a:extLst>
            <a:ext uri="{FF2B5EF4-FFF2-40B4-BE49-F238E27FC236}">
              <a16:creationId xmlns:a16="http://schemas.microsoft.com/office/drawing/2014/main" id="{328C0B82-CC69-4886-9526-10BDA2E159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2" name="TextBox 379">
          <a:extLst>
            <a:ext uri="{FF2B5EF4-FFF2-40B4-BE49-F238E27FC236}">
              <a16:creationId xmlns:a16="http://schemas.microsoft.com/office/drawing/2014/main" id="{51B2C773-E52D-47C5-8B57-A373CD4868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3" name="TextBox 380">
          <a:extLst>
            <a:ext uri="{FF2B5EF4-FFF2-40B4-BE49-F238E27FC236}">
              <a16:creationId xmlns:a16="http://schemas.microsoft.com/office/drawing/2014/main" id="{165DF2ED-8A6E-4A3E-A07B-A403C4AE95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4" name="TextBox 381">
          <a:extLst>
            <a:ext uri="{FF2B5EF4-FFF2-40B4-BE49-F238E27FC236}">
              <a16:creationId xmlns:a16="http://schemas.microsoft.com/office/drawing/2014/main" id="{58B51AB5-D865-4DA2-A829-1F5BD4CEA7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5" name="TextBox 382">
          <a:extLst>
            <a:ext uri="{FF2B5EF4-FFF2-40B4-BE49-F238E27FC236}">
              <a16:creationId xmlns:a16="http://schemas.microsoft.com/office/drawing/2014/main" id="{2759C87B-76C9-4729-A054-1BB1C5A2C6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6" name="TextBox 383">
          <a:extLst>
            <a:ext uri="{FF2B5EF4-FFF2-40B4-BE49-F238E27FC236}">
              <a16:creationId xmlns:a16="http://schemas.microsoft.com/office/drawing/2014/main" id="{CC22393A-F92B-4A42-840C-A4E6E1EA5C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7" name="TextBox 384">
          <a:extLst>
            <a:ext uri="{FF2B5EF4-FFF2-40B4-BE49-F238E27FC236}">
              <a16:creationId xmlns:a16="http://schemas.microsoft.com/office/drawing/2014/main" id="{7930BDDA-99D9-4E06-A3BC-04A932CD98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8" name="TextBox 385">
          <a:extLst>
            <a:ext uri="{FF2B5EF4-FFF2-40B4-BE49-F238E27FC236}">
              <a16:creationId xmlns:a16="http://schemas.microsoft.com/office/drawing/2014/main" id="{128CF5D4-2A95-4285-B5A8-CFD20FBBE9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799" name="TextBox 386">
          <a:extLst>
            <a:ext uri="{FF2B5EF4-FFF2-40B4-BE49-F238E27FC236}">
              <a16:creationId xmlns:a16="http://schemas.microsoft.com/office/drawing/2014/main" id="{6ACAEF3B-725F-44D2-9535-1AF293A2B2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0" name="TextBox 387">
          <a:extLst>
            <a:ext uri="{FF2B5EF4-FFF2-40B4-BE49-F238E27FC236}">
              <a16:creationId xmlns:a16="http://schemas.microsoft.com/office/drawing/2014/main" id="{4E9C4FDC-DE0F-403E-ADBE-F2BC03072E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1" name="TextBox 388">
          <a:extLst>
            <a:ext uri="{FF2B5EF4-FFF2-40B4-BE49-F238E27FC236}">
              <a16:creationId xmlns:a16="http://schemas.microsoft.com/office/drawing/2014/main" id="{2303F087-AEBA-4D8F-AAF8-A182F40A90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2" name="TextBox 13">
          <a:extLst>
            <a:ext uri="{FF2B5EF4-FFF2-40B4-BE49-F238E27FC236}">
              <a16:creationId xmlns:a16="http://schemas.microsoft.com/office/drawing/2014/main" id="{BE41F274-6007-49C8-A575-80380BFD47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3" name="TextBox 14">
          <a:extLst>
            <a:ext uri="{FF2B5EF4-FFF2-40B4-BE49-F238E27FC236}">
              <a16:creationId xmlns:a16="http://schemas.microsoft.com/office/drawing/2014/main" id="{DCA959F5-925B-4E9C-84E2-7F2924F7D6B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4" name="TextBox 391">
          <a:extLst>
            <a:ext uri="{FF2B5EF4-FFF2-40B4-BE49-F238E27FC236}">
              <a16:creationId xmlns:a16="http://schemas.microsoft.com/office/drawing/2014/main" id="{D0FB40FB-BFF6-4FCF-8C4B-35EF0E98BF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5" name="TextBox 392">
          <a:extLst>
            <a:ext uri="{FF2B5EF4-FFF2-40B4-BE49-F238E27FC236}">
              <a16:creationId xmlns:a16="http://schemas.microsoft.com/office/drawing/2014/main" id="{54E733F9-4BBF-460C-A081-13B2947B97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6" name="TextBox 393">
          <a:extLst>
            <a:ext uri="{FF2B5EF4-FFF2-40B4-BE49-F238E27FC236}">
              <a16:creationId xmlns:a16="http://schemas.microsoft.com/office/drawing/2014/main" id="{A99B951B-297A-47F0-B682-1A4BF6AAD7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7" name="TextBox 394">
          <a:extLst>
            <a:ext uri="{FF2B5EF4-FFF2-40B4-BE49-F238E27FC236}">
              <a16:creationId xmlns:a16="http://schemas.microsoft.com/office/drawing/2014/main" id="{7A945178-9773-4C31-9353-923A39089E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8" name="TextBox 15">
          <a:extLst>
            <a:ext uri="{FF2B5EF4-FFF2-40B4-BE49-F238E27FC236}">
              <a16:creationId xmlns:a16="http://schemas.microsoft.com/office/drawing/2014/main" id="{64F7D8CF-4AB4-47BF-90E5-539874AA15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09" name="TextBox 16">
          <a:extLst>
            <a:ext uri="{FF2B5EF4-FFF2-40B4-BE49-F238E27FC236}">
              <a16:creationId xmlns:a16="http://schemas.microsoft.com/office/drawing/2014/main" id="{39FAE861-9667-4E7F-BDF8-2A337F4DDD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0" name="TextBox 17">
          <a:extLst>
            <a:ext uri="{FF2B5EF4-FFF2-40B4-BE49-F238E27FC236}">
              <a16:creationId xmlns:a16="http://schemas.microsoft.com/office/drawing/2014/main" id="{F3E7BE01-1537-4EF0-9F58-975F3942F9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1" name="TextBox 18">
          <a:extLst>
            <a:ext uri="{FF2B5EF4-FFF2-40B4-BE49-F238E27FC236}">
              <a16:creationId xmlns:a16="http://schemas.microsoft.com/office/drawing/2014/main" id="{1C6BB6BA-846B-455D-B54B-9348203EB0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2" name="TextBox 399">
          <a:extLst>
            <a:ext uri="{FF2B5EF4-FFF2-40B4-BE49-F238E27FC236}">
              <a16:creationId xmlns:a16="http://schemas.microsoft.com/office/drawing/2014/main" id="{CD304FBE-3060-4C35-9127-AD72D226ED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3" name="TextBox 400">
          <a:extLst>
            <a:ext uri="{FF2B5EF4-FFF2-40B4-BE49-F238E27FC236}">
              <a16:creationId xmlns:a16="http://schemas.microsoft.com/office/drawing/2014/main" id="{B36D18BD-012B-4B0F-BBE3-6B825D04BD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4" name="TextBox 1">
          <a:extLst>
            <a:ext uri="{FF2B5EF4-FFF2-40B4-BE49-F238E27FC236}">
              <a16:creationId xmlns:a16="http://schemas.microsoft.com/office/drawing/2014/main" id="{75BF0C16-8C02-4D95-B24C-3A49D74AF0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5" name="TextBox 3">
          <a:extLst>
            <a:ext uri="{FF2B5EF4-FFF2-40B4-BE49-F238E27FC236}">
              <a16:creationId xmlns:a16="http://schemas.microsoft.com/office/drawing/2014/main" id="{40C348A3-A0E8-41D1-89C3-25C89CCD69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6" name="TextBox 403">
          <a:extLst>
            <a:ext uri="{FF2B5EF4-FFF2-40B4-BE49-F238E27FC236}">
              <a16:creationId xmlns:a16="http://schemas.microsoft.com/office/drawing/2014/main" id="{0280EE83-8B84-486A-919F-FCFE87B3348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7" name="TextBox 404">
          <a:extLst>
            <a:ext uri="{FF2B5EF4-FFF2-40B4-BE49-F238E27FC236}">
              <a16:creationId xmlns:a16="http://schemas.microsoft.com/office/drawing/2014/main" id="{80C58213-2B3B-4832-8DA1-EACB3628E3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8" name="TextBox 405">
          <a:extLst>
            <a:ext uri="{FF2B5EF4-FFF2-40B4-BE49-F238E27FC236}">
              <a16:creationId xmlns:a16="http://schemas.microsoft.com/office/drawing/2014/main" id="{918E87C3-95A6-4CEA-9872-A4B4AE28CD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19" name="TextBox 406">
          <a:extLst>
            <a:ext uri="{FF2B5EF4-FFF2-40B4-BE49-F238E27FC236}">
              <a16:creationId xmlns:a16="http://schemas.microsoft.com/office/drawing/2014/main" id="{CF887CDE-FBCA-4161-B76E-79AB9E9777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0" name="TextBox 407">
          <a:extLst>
            <a:ext uri="{FF2B5EF4-FFF2-40B4-BE49-F238E27FC236}">
              <a16:creationId xmlns:a16="http://schemas.microsoft.com/office/drawing/2014/main" id="{5EF8B9EF-BA26-47E5-877A-2A0168BD18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1" name="TextBox 408">
          <a:extLst>
            <a:ext uri="{FF2B5EF4-FFF2-40B4-BE49-F238E27FC236}">
              <a16:creationId xmlns:a16="http://schemas.microsoft.com/office/drawing/2014/main" id="{35E84E6F-1E38-42BB-8286-26FCE95F10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2" name="TextBox 409">
          <a:extLst>
            <a:ext uri="{FF2B5EF4-FFF2-40B4-BE49-F238E27FC236}">
              <a16:creationId xmlns:a16="http://schemas.microsoft.com/office/drawing/2014/main" id="{E0D72606-B360-40E2-B4BB-9562E0CEBC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3" name="TextBox 410">
          <a:extLst>
            <a:ext uri="{FF2B5EF4-FFF2-40B4-BE49-F238E27FC236}">
              <a16:creationId xmlns:a16="http://schemas.microsoft.com/office/drawing/2014/main" id="{79A9709D-A960-4634-A674-2B9EFA66FA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4" name="TextBox 411">
          <a:extLst>
            <a:ext uri="{FF2B5EF4-FFF2-40B4-BE49-F238E27FC236}">
              <a16:creationId xmlns:a16="http://schemas.microsoft.com/office/drawing/2014/main" id="{EF43E3CB-A127-4BC8-A5A8-7CB6A38AE9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5" name="TextBox 412">
          <a:extLst>
            <a:ext uri="{FF2B5EF4-FFF2-40B4-BE49-F238E27FC236}">
              <a16:creationId xmlns:a16="http://schemas.microsoft.com/office/drawing/2014/main" id="{802E505C-79CD-480D-A340-64E65BCACB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6" name="TextBox 13">
          <a:extLst>
            <a:ext uri="{FF2B5EF4-FFF2-40B4-BE49-F238E27FC236}">
              <a16:creationId xmlns:a16="http://schemas.microsoft.com/office/drawing/2014/main" id="{3D9CD8EC-2068-4E90-93A9-DAF7C232BE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7" name="TextBox 14">
          <a:extLst>
            <a:ext uri="{FF2B5EF4-FFF2-40B4-BE49-F238E27FC236}">
              <a16:creationId xmlns:a16="http://schemas.microsoft.com/office/drawing/2014/main" id="{E427D718-F8B5-4AAC-BB1D-BA837EF904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8" name="TextBox 415">
          <a:extLst>
            <a:ext uri="{FF2B5EF4-FFF2-40B4-BE49-F238E27FC236}">
              <a16:creationId xmlns:a16="http://schemas.microsoft.com/office/drawing/2014/main" id="{0EA05F64-6AB9-412D-B57A-79F836A5C0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29" name="TextBox 416">
          <a:extLst>
            <a:ext uri="{FF2B5EF4-FFF2-40B4-BE49-F238E27FC236}">
              <a16:creationId xmlns:a16="http://schemas.microsoft.com/office/drawing/2014/main" id="{F99ACC11-8A55-4635-870F-C686AF47FA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0" name="TextBox 417">
          <a:extLst>
            <a:ext uri="{FF2B5EF4-FFF2-40B4-BE49-F238E27FC236}">
              <a16:creationId xmlns:a16="http://schemas.microsoft.com/office/drawing/2014/main" id="{34ECECA6-6262-44DA-BD66-B51561B824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1" name="TextBox 418">
          <a:extLst>
            <a:ext uri="{FF2B5EF4-FFF2-40B4-BE49-F238E27FC236}">
              <a16:creationId xmlns:a16="http://schemas.microsoft.com/office/drawing/2014/main" id="{314C0F3D-9FD1-4BC9-ABF5-09E6680E6B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2" name="TextBox 15">
          <a:extLst>
            <a:ext uri="{FF2B5EF4-FFF2-40B4-BE49-F238E27FC236}">
              <a16:creationId xmlns:a16="http://schemas.microsoft.com/office/drawing/2014/main" id="{542CB76F-13D3-47F8-A985-597CC7A805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3" name="TextBox 16">
          <a:extLst>
            <a:ext uri="{FF2B5EF4-FFF2-40B4-BE49-F238E27FC236}">
              <a16:creationId xmlns:a16="http://schemas.microsoft.com/office/drawing/2014/main" id="{94ED8260-B0A1-41E5-BBAB-E226BAC952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4" name="TextBox 17">
          <a:extLst>
            <a:ext uri="{FF2B5EF4-FFF2-40B4-BE49-F238E27FC236}">
              <a16:creationId xmlns:a16="http://schemas.microsoft.com/office/drawing/2014/main" id="{FEB4C63B-11E0-40C0-B69D-15A6C15CF1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5" name="TextBox 18">
          <a:extLst>
            <a:ext uri="{FF2B5EF4-FFF2-40B4-BE49-F238E27FC236}">
              <a16:creationId xmlns:a16="http://schemas.microsoft.com/office/drawing/2014/main" id="{EDE45BFE-2483-4063-9349-BD5DD6C1D2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6" name="TextBox 423">
          <a:extLst>
            <a:ext uri="{FF2B5EF4-FFF2-40B4-BE49-F238E27FC236}">
              <a16:creationId xmlns:a16="http://schemas.microsoft.com/office/drawing/2014/main" id="{894AB451-0728-4719-89BC-9DD499C89E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7" name="TextBox 424">
          <a:extLst>
            <a:ext uri="{FF2B5EF4-FFF2-40B4-BE49-F238E27FC236}">
              <a16:creationId xmlns:a16="http://schemas.microsoft.com/office/drawing/2014/main" id="{0FC5E93F-ED16-4761-9261-9BCC2FC151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8" name="TextBox 1">
          <a:extLst>
            <a:ext uri="{FF2B5EF4-FFF2-40B4-BE49-F238E27FC236}">
              <a16:creationId xmlns:a16="http://schemas.microsoft.com/office/drawing/2014/main" id="{9974C4AF-87A0-4508-8D28-B51F6E0B4B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39" name="TextBox 3">
          <a:extLst>
            <a:ext uri="{FF2B5EF4-FFF2-40B4-BE49-F238E27FC236}">
              <a16:creationId xmlns:a16="http://schemas.microsoft.com/office/drawing/2014/main" id="{AA05EE82-C596-4EC2-9FFB-093C3A3887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0" name="TextBox 427">
          <a:extLst>
            <a:ext uri="{FF2B5EF4-FFF2-40B4-BE49-F238E27FC236}">
              <a16:creationId xmlns:a16="http://schemas.microsoft.com/office/drawing/2014/main" id="{E47F8DBD-24DF-4105-894E-0E09A3AE6B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1" name="TextBox 428">
          <a:extLst>
            <a:ext uri="{FF2B5EF4-FFF2-40B4-BE49-F238E27FC236}">
              <a16:creationId xmlns:a16="http://schemas.microsoft.com/office/drawing/2014/main" id="{865F4F78-C190-4131-98EE-B04CAD9AA6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2" name="TextBox 429">
          <a:extLst>
            <a:ext uri="{FF2B5EF4-FFF2-40B4-BE49-F238E27FC236}">
              <a16:creationId xmlns:a16="http://schemas.microsoft.com/office/drawing/2014/main" id="{AE4F50D7-EBFA-462D-9FCD-3F4647D9B5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3" name="TextBox 430">
          <a:extLst>
            <a:ext uri="{FF2B5EF4-FFF2-40B4-BE49-F238E27FC236}">
              <a16:creationId xmlns:a16="http://schemas.microsoft.com/office/drawing/2014/main" id="{BE8350DC-7910-4AE3-AC55-DA6ADDF5FC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4" name="TextBox 431">
          <a:extLst>
            <a:ext uri="{FF2B5EF4-FFF2-40B4-BE49-F238E27FC236}">
              <a16:creationId xmlns:a16="http://schemas.microsoft.com/office/drawing/2014/main" id="{3E8A50BE-81AF-411C-A942-422B82DD4D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5" name="TextBox 432">
          <a:extLst>
            <a:ext uri="{FF2B5EF4-FFF2-40B4-BE49-F238E27FC236}">
              <a16:creationId xmlns:a16="http://schemas.microsoft.com/office/drawing/2014/main" id="{C47E2367-8E9D-4A0B-ABD3-0120E1782F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6" name="TextBox 433">
          <a:extLst>
            <a:ext uri="{FF2B5EF4-FFF2-40B4-BE49-F238E27FC236}">
              <a16:creationId xmlns:a16="http://schemas.microsoft.com/office/drawing/2014/main" id="{608F7C34-506C-4F1F-A53F-5A0694DDE0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7" name="TextBox 434">
          <a:extLst>
            <a:ext uri="{FF2B5EF4-FFF2-40B4-BE49-F238E27FC236}">
              <a16:creationId xmlns:a16="http://schemas.microsoft.com/office/drawing/2014/main" id="{4B4129E9-2063-4FD1-9C95-DBBE7479F0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8" name="TextBox 435">
          <a:extLst>
            <a:ext uri="{FF2B5EF4-FFF2-40B4-BE49-F238E27FC236}">
              <a16:creationId xmlns:a16="http://schemas.microsoft.com/office/drawing/2014/main" id="{36058CE9-F75A-4A4B-82E6-BB3E33BFF1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49" name="TextBox 436">
          <a:extLst>
            <a:ext uri="{FF2B5EF4-FFF2-40B4-BE49-F238E27FC236}">
              <a16:creationId xmlns:a16="http://schemas.microsoft.com/office/drawing/2014/main" id="{6DD39019-A011-4D09-AB9B-B354306F602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0" name="TextBox 13">
          <a:extLst>
            <a:ext uri="{FF2B5EF4-FFF2-40B4-BE49-F238E27FC236}">
              <a16:creationId xmlns:a16="http://schemas.microsoft.com/office/drawing/2014/main" id="{747AB244-34D7-4A0C-8561-3C7BBD5B81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1" name="TextBox 14">
          <a:extLst>
            <a:ext uri="{FF2B5EF4-FFF2-40B4-BE49-F238E27FC236}">
              <a16:creationId xmlns:a16="http://schemas.microsoft.com/office/drawing/2014/main" id="{601B5A3C-A03D-4983-990C-44757F59FA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2" name="TextBox 439">
          <a:extLst>
            <a:ext uri="{FF2B5EF4-FFF2-40B4-BE49-F238E27FC236}">
              <a16:creationId xmlns:a16="http://schemas.microsoft.com/office/drawing/2014/main" id="{69096AC2-CB75-4303-87AE-F3F7053597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3" name="TextBox 440">
          <a:extLst>
            <a:ext uri="{FF2B5EF4-FFF2-40B4-BE49-F238E27FC236}">
              <a16:creationId xmlns:a16="http://schemas.microsoft.com/office/drawing/2014/main" id="{E48C9C78-CC91-4437-A26B-B60769106C0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4" name="TextBox 441">
          <a:extLst>
            <a:ext uri="{FF2B5EF4-FFF2-40B4-BE49-F238E27FC236}">
              <a16:creationId xmlns:a16="http://schemas.microsoft.com/office/drawing/2014/main" id="{72F269D0-F72F-4AAF-B698-8792794E72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5" name="TextBox 442">
          <a:extLst>
            <a:ext uri="{FF2B5EF4-FFF2-40B4-BE49-F238E27FC236}">
              <a16:creationId xmlns:a16="http://schemas.microsoft.com/office/drawing/2014/main" id="{1292204C-5DE9-4713-B3A3-83641A1B21C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6" name="TextBox 15">
          <a:extLst>
            <a:ext uri="{FF2B5EF4-FFF2-40B4-BE49-F238E27FC236}">
              <a16:creationId xmlns:a16="http://schemas.microsoft.com/office/drawing/2014/main" id="{010B78F1-6AE8-4227-9FD0-72FCEB6682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7" name="TextBox 16">
          <a:extLst>
            <a:ext uri="{FF2B5EF4-FFF2-40B4-BE49-F238E27FC236}">
              <a16:creationId xmlns:a16="http://schemas.microsoft.com/office/drawing/2014/main" id="{4D04F40C-7868-4B2D-B6B1-452FA03325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8" name="TextBox 17">
          <a:extLst>
            <a:ext uri="{FF2B5EF4-FFF2-40B4-BE49-F238E27FC236}">
              <a16:creationId xmlns:a16="http://schemas.microsoft.com/office/drawing/2014/main" id="{76725ACC-2544-4938-980E-3ED1E22BBA2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59" name="TextBox 18">
          <a:extLst>
            <a:ext uri="{FF2B5EF4-FFF2-40B4-BE49-F238E27FC236}">
              <a16:creationId xmlns:a16="http://schemas.microsoft.com/office/drawing/2014/main" id="{76F5FC30-B9FD-4C0C-8A0B-3B251C6C222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0" name="TextBox 447">
          <a:extLst>
            <a:ext uri="{FF2B5EF4-FFF2-40B4-BE49-F238E27FC236}">
              <a16:creationId xmlns:a16="http://schemas.microsoft.com/office/drawing/2014/main" id="{96F66E1C-B172-4951-8E83-62555A36870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1" name="TextBox 448">
          <a:extLst>
            <a:ext uri="{FF2B5EF4-FFF2-40B4-BE49-F238E27FC236}">
              <a16:creationId xmlns:a16="http://schemas.microsoft.com/office/drawing/2014/main" id="{A00525DE-2355-4E18-AE2E-BB88739CC0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2" name="TextBox 1">
          <a:extLst>
            <a:ext uri="{FF2B5EF4-FFF2-40B4-BE49-F238E27FC236}">
              <a16:creationId xmlns:a16="http://schemas.microsoft.com/office/drawing/2014/main" id="{62E49996-B12A-4013-B827-356118639F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3" name="TextBox 3">
          <a:extLst>
            <a:ext uri="{FF2B5EF4-FFF2-40B4-BE49-F238E27FC236}">
              <a16:creationId xmlns:a16="http://schemas.microsoft.com/office/drawing/2014/main" id="{2FB56682-2959-4AF3-88CB-534C3FF0D43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4" name="TextBox 451">
          <a:extLst>
            <a:ext uri="{FF2B5EF4-FFF2-40B4-BE49-F238E27FC236}">
              <a16:creationId xmlns:a16="http://schemas.microsoft.com/office/drawing/2014/main" id="{032430D6-EF96-4C19-9B21-078F31183B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5" name="TextBox 452">
          <a:extLst>
            <a:ext uri="{FF2B5EF4-FFF2-40B4-BE49-F238E27FC236}">
              <a16:creationId xmlns:a16="http://schemas.microsoft.com/office/drawing/2014/main" id="{297062DB-1A24-4509-B4AE-3EF5E7CFFF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6" name="TextBox 453">
          <a:extLst>
            <a:ext uri="{FF2B5EF4-FFF2-40B4-BE49-F238E27FC236}">
              <a16:creationId xmlns:a16="http://schemas.microsoft.com/office/drawing/2014/main" id="{E353C1CF-E273-4F18-92DE-2673919022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7" name="TextBox 454">
          <a:extLst>
            <a:ext uri="{FF2B5EF4-FFF2-40B4-BE49-F238E27FC236}">
              <a16:creationId xmlns:a16="http://schemas.microsoft.com/office/drawing/2014/main" id="{F6A017AE-B437-4AAA-B9BD-C595553950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8" name="TextBox 455">
          <a:extLst>
            <a:ext uri="{FF2B5EF4-FFF2-40B4-BE49-F238E27FC236}">
              <a16:creationId xmlns:a16="http://schemas.microsoft.com/office/drawing/2014/main" id="{29BE2600-C08B-432D-960D-94327765D6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69" name="TextBox 456">
          <a:extLst>
            <a:ext uri="{FF2B5EF4-FFF2-40B4-BE49-F238E27FC236}">
              <a16:creationId xmlns:a16="http://schemas.microsoft.com/office/drawing/2014/main" id="{E934C802-5D3F-48C4-B066-FBB9423144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0" name="TextBox 457">
          <a:extLst>
            <a:ext uri="{FF2B5EF4-FFF2-40B4-BE49-F238E27FC236}">
              <a16:creationId xmlns:a16="http://schemas.microsoft.com/office/drawing/2014/main" id="{8B117F83-319C-49FC-A102-5FCF3DC602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1" name="TextBox 458">
          <a:extLst>
            <a:ext uri="{FF2B5EF4-FFF2-40B4-BE49-F238E27FC236}">
              <a16:creationId xmlns:a16="http://schemas.microsoft.com/office/drawing/2014/main" id="{C4D98BA2-045A-458F-8A61-C929EC582F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2" name="TextBox 459">
          <a:extLst>
            <a:ext uri="{FF2B5EF4-FFF2-40B4-BE49-F238E27FC236}">
              <a16:creationId xmlns:a16="http://schemas.microsoft.com/office/drawing/2014/main" id="{E3F1F9C0-31EB-4F88-90BD-05596FAD66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3" name="TextBox 460">
          <a:extLst>
            <a:ext uri="{FF2B5EF4-FFF2-40B4-BE49-F238E27FC236}">
              <a16:creationId xmlns:a16="http://schemas.microsoft.com/office/drawing/2014/main" id="{34DB856B-9B52-46D8-841C-91B4529029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4" name="TextBox 13">
          <a:extLst>
            <a:ext uri="{FF2B5EF4-FFF2-40B4-BE49-F238E27FC236}">
              <a16:creationId xmlns:a16="http://schemas.microsoft.com/office/drawing/2014/main" id="{86049B0F-BE94-4FD0-95D4-9FBD8C3986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5" name="TextBox 14">
          <a:extLst>
            <a:ext uri="{FF2B5EF4-FFF2-40B4-BE49-F238E27FC236}">
              <a16:creationId xmlns:a16="http://schemas.microsoft.com/office/drawing/2014/main" id="{E3A03C36-CEBD-4D71-9E0F-06E5D082B9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6" name="TextBox 463">
          <a:extLst>
            <a:ext uri="{FF2B5EF4-FFF2-40B4-BE49-F238E27FC236}">
              <a16:creationId xmlns:a16="http://schemas.microsoft.com/office/drawing/2014/main" id="{BB449F20-781C-4AEE-A408-6BC9864C0A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7" name="TextBox 464">
          <a:extLst>
            <a:ext uri="{FF2B5EF4-FFF2-40B4-BE49-F238E27FC236}">
              <a16:creationId xmlns:a16="http://schemas.microsoft.com/office/drawing/2014/main" id="{E1315424-88C3-493E-B172-C3BBD6BB0E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8" name="TextBox 465">
          <a:extLst>
            <a:ext uri="{FF2B5EF4-FFF2-40B4-BE49-F238E27FC236}">
              <a16:creationId xmlns:a16="http://schemas.microsoft.com/office/drawing/2014/main" id="{E5E4D767-77F0-4A20-A7BB-4A0FE5901D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79" name="TextBox 466">
          <a:extLst>
            <a:ext uri="{FF2B5EF4-FFF2-40B4-BE49-F238E27FC236}">
              <a16:creationId xmlns:a16="http://schemas.microsoft.com/office/drawing/2014/main" id="{06E59885-BA27-43FA-BCCA-30DCAFAEA3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0" name="TextBox 15">
          <a:extLst>
            <a:ext uri="{FF2B5EF4-FFF2-40B4-BE49-F238E27FC236}">
              <a16:creationId xmlns:a16="http://schemas.microsoft.com/office/drawing/2014/main" id="{021BF391-D0B2-4977-8189-7BED570823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1" name="TextBox 16">
          <a:extLst>
            <a:ext uri="{FF2B5EF4-FFF2-40B4-BE49-F238E27FC236}">
              <a16:creationId xmlns:a16="http://schemas.microsoft.com/office/drawing/2014/main" id="{5D94C46B-5265-4919-8C09-41542B33F3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2" name="TextBox 17">
          <a:extLst>
            <a:ext uri="{FF2B5EF4-FFF2-40B4-BE49-F238E27FC236}">
              <a16:creationId xmlns:a16="http://schemas.microsoft.com/office/drawing/2014/main" id="{E08AF24C-2B3D-4E68-B5E4-750677E295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3" name="TextBox 18">
          <a:extLst>
            <a:ext uri="{FF2B5EF4-FFF2-40B4-BE49-F238E27FC236}">
              <a16:creationId xmlns:a16="http://schemas.microsoft.com/office/drawing/2014/main" id="{81DBC712-2CCA-49D2-9776-E0F7B7EB0F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4" name="TextBox 471">
          <a:extLst>
            <a:ext uri="{FF2B5EF4-FFF2-40B4-BE49-F238E27FC236}">
              <a16:creationId xmlns:a16="http://schemas.microsoft.com/office/drawing/2014/main" id="{8ED0F69E-C3CD-4E99-A98A-E74A1BC1ACE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5" name="TextBox 472">
          <a:extLst>
            <a:ext uri="{FF2B5EF4-FFF2-40B4-BE49-F238E27FC236}">
              <a16:creationId xmlns:a16="http://schemas.microsoft.com/office/drawing/2014/main" id="{2F281AD1-2ACB-468F-9476-891A049D69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6" name="TextBox 1">
          <a:extLst>
            <a:ext uri="{FF2B5EF4-FFF2-40B4-BE49-F238E27FC236}">
              <a16:creationId xmlns:a16="http://schemas.microsoft.com/office/drawing/2014/main" id="{55ADF53B-F43D-43A4-AB24-BDFC2BC045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7" name="TextBox 3">
          <a:extLst>
            <a:ext uri="{FF2B5EF4-FFF2-40B4-BE49-F238E27FC236}">
              <a16:creationId xmlns:a16="http://schemas.microsoft.com/office/drawing/2014/main" id="{21EEB374-2A27-4A01-A75C-B4D678A4A8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8" name="TextBox 475">
          <a:extLst>
            <a:ext uri="{FF2B5EF4-FFF2-40B4-BE49-F238E27FC236}">
              <a16:creationId xmlns:a16="http://schemas.microsoft.com/office/drawing/2014/main" id="{CE08AE37-1857-4456-B6B8-8BEF554FE6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89" name="TextBox 476">
          <a:extLst>
            <a:ext uri="{FF2B5EF4-FFF2-40B4-BE49-F238E27FC236}">
              <a16:creationId xmlns:a16="http://schemas.microsoft.com/office/drawing/2014/main" id="{55B8F504-5570-457C-BA6F-B102F5B7DD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0" name="TextBox 477">
          <a:extLst>
            <a:ext uri="{FF2B5EF4-FFF2-40B4-BE49-F238E27FC236}">
              <a16:creationId xmlns:a16="http://schemas.microsoft.com/office/drawing/2014/main" id="{F17DD888-7E7A-4B00-976D-D3883FB31E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1" name="TextBox 478">
          <a:extLst>
            <a:ext uri="{FF2B5EF4-FFF2-40B4-BE49-F238E27FC236}">
              <a16:creationId xmlns:a16="http://schemas.microsoft.com/office/drawing/2014/main" id="{83668869-913F-49EA-9BCD-15E9B6290E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2" name="TextBox 479">
          <a:extLst>
            <a:ext uri="{FF2B5EF4-FFF2-40B4-BE49-F238E27FC236}">
              <a16:creationId xmlns:a16="http://schemas.microsoft.com/office/drawing/2014/main" id="{115569EC-CB3B-4D30-9B2F-5B0C7817E1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3" name="TextBox 480">
          <a:extLst>
            <a:ext uri="{FF2B5EF4-FFF2-40B4-BE49-F238E27FC236}">
              <a16:creationId xmlns:a16="http://schemas.microsoft.com/office/drawing/2014/main" id="{66FEFA1B-DA11-41A7-AD46-8A19295803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4" name="TextBox 481">
          <a:extLst>
            <a:ext uri="{FF2B5EF4-FFF2-40B4-BE49-F238E27FC236}">
              <a16:creationId xmlns:a16="http://schemas.microsoft.com/office/drawing/2014/main" id="{FDD01BEB-1C03-43DA-B0EA-A9279E8F0E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5" name="TextBox 482">
          <a:extLst>
            <a:ext uri="{FF2B5EF4-FFF2-40B4-BE49-F238E27FC236}">
              <a16:creationId xmlns:a16="http://schemas.microsoft.com/office/drawing/2014/main" id="{E443A0B7-FE3B-40DB-A239-AC5C450B9C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6" name="TextBox 483">
          <a:extLst>
            <a:ext uri="{FF2B5EF4-FFF2-40B4-BE49-F238E27FC236}">
              <a16:creationId xmlns:a16="http://schemas.microsoft.com/office/drawing/2014/main" id="{B26306F1-8318-4BC9-90D1-FA00B2DEDA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7" name="TextBox 484">
          <a:extLst>
            <a:ext uri="{FF2B5EF4-FFF2-40B4-BE49-F238E27FC236}">
              <a16:creationId xmlns:a16="http://schemas.microsoft.com/office/drawing/2014/main" id="{4342672C-109D-4629-B00B-EB1D489115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8" name="TextBox 13">
          <a:extLst>
            <a:ext uri="{FF2B5EF4-FFF2-40B4-BE49-F238E27FC236}">
              <a16:creationId xmlns:a16="http://schemas.microsoft.com/office/drawing/2014/main" id="{A547D80C-2CC5-4E36-8619-B29FEA99E4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899" name="TextBox 14">
          <a:extLst>
            <a:ext uri="{FF2B5EF4-FFF2-40B4-BE49-F238E27FC236}">
              <a16:creationId xmlns:a16="http://schemas.microsoft.com/office/drawing/2014/main" id="{DA53755E-6F8D-4E6C-A710-4441F2EA26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0" name="TextBox 487">
          <a:extLst>
            <a:ext uri="{FF2B5EF4-FFF2-40B4-BE49-F238E27FC236}">
              <a16:creationId xmlns:a16="http://schemas.microsoft.com/office/drawing/2014/main" id="{EBE3B583-A1E5-45C1-A024-D898472F8B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1" name="TextBox 488">
          <a:extLst>
            <a:ext uri="{FF2B5EF4-FFF2-40B4-BE49-F238E27FC236}">
              <a16:creationId xmlns:a16="http://schemas.microsoft.com/office/drawing/2014/main" id="{4AB89BAC-15D6-4280-B823-35A3AE0373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2" name="TextBox 489">
          <a:extLst>
            <a:ext uri="{FF2B5EF4-FFF2-40B4-BE49-F238E27FC236}">
              <a16:creationId xmlns:a16="http://schemas.microsoft.com/office/drawing/2014/main" id="{04EA0EA4-5AED-4D13-839A-5D38060797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3" name="TextBox 490">
          <a:extLst>
            <a:ext uri="{FF2B5EF4-FFF2-40B4-BE49-F238E27FC236}">
              <a16:creationId xmlns:a16="http://schemas.microsoft.com/office/drawing/2014/main" id="{9D813B6E-CEBB-4925-BD36-EECF65EE01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4" name="TextBox 15">
          <a:extLst>
            <a:ext uri="{FF2B5EF4-FFF2-40B4-BE49-F238E27FC236}">
              <a16:creationId xmlns:a16="http://schemas.microsoft.com/office/drawing/2014/main" id="{E1D330CA-E94E-40A8-8120-F9A16D0583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5" name="TextBox 16">
          <a:extLst>
            <a:ext uri="{FF2B5EF4-FFF2-40B4-BE49-F238E27FC236}">
              <a16:creationId xmlns:a16="http://schemas.microsoft.com/office/drawing/2014/main" id="{CC3226BC-56E8-411A-8821-F41230F1B0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6" name="TextBox 17">
          <a:extLst>
            <a:ext uri="{FF2B5EF4-FFF2-40B4-BE49-F238E27FC236}">
              <a16:creationId xmlns:a16="http://schemas.microsoft.com/office/drawing/2014/main" id="{81A01C3C-382D-4489-A03C-0B654A15A4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7" name="TextBox 18">
          <a:extLst>
            <a:ext uri="{FF2B5EF4-FFF2-40B4-BE49-F238E27FC236}">
              <a16:creationId xmlns:a16="http://schemas.microsoft.com/office/drawing/2014/main" id="{497E7198-FEC3-4917-86A6-93BB5B4C59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8" name="TextBox 495">
          <a:extLst>
            <a:ext uri="{FF2B5EF4-FFF2-40B4-BE49-F238E27FC236}">
              <a16:creationId xmlns:a16="http://schemas.microsoft.com/office/drawing/2014/main" id="{F4F45627-6884-40F0-822E-1E4DC9C591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09" name="TextBox 496">
          <a:extLst>
            <a:ext uri="{FF2B5EF4-FFF2-40B4-BE49-F238E27FC236}">
              <a16:creationId xmlns:a16="http://schemas.microsoft.com/office/drawing/2014/main" id="{76007026-1116-4D6C-87A2-8AF4E007DD2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0" name="TextBox 1">
          <a:extLst>
            <a:ext uri="{FF2B5EF4-FFF2-40B4-BE49-F238E27FC236}">
              <a16:creationId xmlns:a16="http://schemas.microsoft.com/office/drawing/2014/main" id="{30955247-6432-41A0-9C09-8A4F7853E1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1" name="TextBox 3">
          <a:extLst>
            <a:ext uri="{FF2B5EF4-FFF2-40B4-BE49-F238E27FC236}">
              <a16:creationId xmlns:a16="http://schemas.microsoft.com/office/drawing/2014/main" id="{E58509D2-5F45-431A-9996-1AF23585E3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2" name="TextBox 499">
          <a:extLst>
            <a:ext uri="{FF2B5EF4-FFF2-40B4-BE49-F238E27FC236}">
              <a16:creationId xmlns:a16="http://schemas.microsoft.com/office/drawing/2014/main" id="{1C7C6ED8-0947-4C44-B938-34C4EC86B1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3" name="TextBox 500">
          <a:extLst>
            <a:ext uri="{FF2B5EF4-FFF2-40B4-BE49-F238E27FC236}">
              <a16:creationId xmlns:a16="http://schemas.microsoft.com/office/drawing/2014/main" id="{F85FFF66-9004-44B2-A9CC-EBBB773288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4" name="TextBox 501">
          <a:extLst>
            <a:ext uri="{FF2B5EF4-FFF2-40B4-BE49-F238E27FC236}">
              <a16:creationId xmlns:a16="http://schemas.microsoft.com/office/drawing/2014/main" id="{411243FC-BFE3-45C9-BCCF-6FCA34D1DB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5" name="TextBox 502">
          <a:extLst>
            <a:ext uri="{FF2B5EF4-FFF2-40B4-BE49-F238E27FC236}">
              <a16:creationId xmlns:a16="http://schemas.microsoft.com/office/drawing/2014/main" id="{82A59627-1161-4F44-BD55-C1DF2EA33F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6" name="TextBox 503">
          <a:extLst>
            <a:ext uri="{FF2B5EF4-FFF2-40B4-BE49-F238E27FC236}">
              <a16:creationId xmlns:a16="http://schemas.microsoft.com/office/drawing/2014/main" id="{F8CA1CEB-B6C7-4FAD-9899-96AC74AD43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7" name="TextBox 504">
          <a:extLst>
            <a:ext uri="{FF2B5EF4-FFF2-40B4-BE49-F238E27FC236}">
              <a16:creationId xmlns:a16="http://schemas.microsoft.com/office/drawing/2014/main" id="{C47D80E9-1BF0-44F7-A224-0B2DE71247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8" name="TextBox 505">
          <a:extLst>
            <a:ext uri="{FF2B5EF4-FFF2-40B4-BE49-F238E27FC236}">
              <a16:creationId xmlns:a16="http://schemas.microsoft.com/office/drawing/2014/main" id="{661CC6CC-4B22-49A3-8096-5D2EB78BD7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19" name="TextBox 506">
          <a:extLst>
            <a:ext uri="{FF2B5EF4-FFF2-40B4-BE49-F238E27FC236}">
              <a16:creationId xmlns:a16="http://schemas.microsoft.com/office/drawing/2014/main" id="{52EF9A1E-B23D-4F0F-838D-9C0895C284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0" name="TextBox 507">
          <a:extLst>
            <a:ext uri="{FF2B5EF4-FFF2-40B4-BE49-F238E27FC236}">
              <a16:creationId xmlns:a16="http://schemas.microsoft.com/office/drawing/2014/main" id="{D44015E0-08B4-4466-A8AF-2DF5B974EB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1" name="TextBox 508">
          <a:extLst>
            <a:ext uri="{FF2B5EF4-FFF2-40B4-BE49-F238E27FC236}">
              <a16:creationId xmlns:a16="http://schemas.microsoft.com/office/drawing/2014/main" id="{49446A3C-646E-4390-8316-16768E097E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2" name="TextBox 13">
          <a:extLst>
            <a:ext uri="{FF2B5EF4-FFF2-40B4-BE49-F238E27FC236}">
              <a16:creationId xmlns:a16="http://schemas.microsoft.com/office/drawing/2014/main" id="{6E9B503A-FC8E-449E-A860-1442FE7C36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3" name="TextBox 14">
          <a:extLst>
            <a:ext uri="{FF2B5EF4-FFF2-40B4-BE49-F238E27FC236}">
              <a16:creationId xmlns:a16="http://schemas.microsoft.com/office/drawing/2014/main" id="{5D56711B-87BC-4DD5-812A-36BD1C74D6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4" name="TextBox 511">
          <a:extLst>
            <a:ext uri="{FF2B5EF4-FFF2-40B4-BE49-F238E27FC236}">
              <a16:creationId xmlns:a16="http://schemas.microsoft.com/office/drawing/2014/main" id="{2F92FBD8-CE54-4307-88B7-E780AE33B4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5" name="TextBox 512">
          <a:extLst>
            <a:ext uri="{FF2B5EF4-FFF2-40B4-BE49-F238E27FC236}">
              <a16:creationId xmlns:a16="http://schemas.microsoft.com/office/drawing/2014/main" id="{93E50FBF-85C1-4A37-9DDB-9E96218AA78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6" name="TextBox 513">
          <a:extLst>
            <a:ext uri="{FF2B5EF4-FFF2-40B4-BE49-F238E27FC236}">
              <a16:creationId xmlns:a16="http://schemas.microsoft.com/office/drawing/2014/main" id="{00A691D7-4ABC-404F-8723-63705891D1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7" name="TextBox 514">
          <a:extLst>
            <a:ext uri="{FF2B5EF4-FFF2-40B4-BE49-F238E27FC236}">
              <a16:creationId xmlns:a16="http://schemas.microsoft.com/office/drawing/2014/main" id="{7317F232-949F-4D9E-88CE-B629540C7F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8" name="TextBox 15">
          <a:extLst>
            <a:ext uri="{FF2B5EF4-FFF2-40B4-BE49-F238E27FC236}">
              <a16:creationId xmlns:a16="http://schemas.microsoft.com/office/drawing/2014/main" id="{EAEBE5D7-23D5-451B-AE9E-EB0BEDA5AD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29" name="TextBox 16">
          <a:extLst>
            <a:ext uri="{FF2B5EF4-FFF2-40B4-BE49-F238E27FC236}">
              <a16:creationId xmlns:a16="http://schemas.microsoft.com/office/drawing/2014/main" id="{FADF8EAE-15F9-4B9F-B09E-2267348715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0" name="TextBox 17">
          <a:extLst>
            <a:ext uri="{FF2B5EF4-FFF2-40B4-BE49-F238E27FC236}">
              <a16:creationId xmlns:a16="http://schemas.microsoft.com/office/drawing/2014/main" id="{7B24CA37-DEFA-4663-BD05-92E2583F4D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1" name="TextBox 18">
          <a:extLst>
            <a:ext uri="{FF2B5EF4-FFF2-40B4-BE49-F238E27FC236}">
              <a16:creationId xmlns:a16="http://schemas.microsoft.com/office/drawing/2014/main" id="{FF35E634-EC21-4023-B65C-11F170A348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2" name="TextBox 519">
          <a:extLst>
            <a:ext uri="{FF2B5EF4-FFF2-40B4-BE49-F238E27FC236}">
              <a16:creationId xmlns:a16="http://schemas.microsoft.com/office/drawing/2014/main" id="{30A1B0E5-77A8-4B5B-B443-6220F89781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3" name="TextBox 520">
          <a:extLst>
            <a:ext uri="{FF2B5EF4-FFF2-40B4-BE49-F238E27FC236}">
              <a16:creationId xmlns:a16="http://schemas.microsoft.com/office/drawing/2014/main" id="{52A3FD59-70F0-4C9D-8844-C79F96F7F2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4" name="TextBox 1">
          <a:extLst>
            <a:ext uri="{FF2B5EF4-FFF2-40B4-BE49-F238E27FC236}">
              <a16:creationId xmlns:a16="http://schemas.microsoft.com/office/drawing/2014/main" id="{B6A4E22D-E8C5-495B-8945-6B11873203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5" name="TextBox 3">
          <a:extLst>
            <a:ext uri="{FF2B5EF4-FFF2-40B4-BE49-F238E27FC236}">
              <a16:creationId xmlns:a16="http://schemas.microsoft.com/office/drawing/2014/main" id="{FE7162CD-64AF-4F2A-95E3-076AABC04B6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6" name="TextBox 523">
          <a:extLst>
            <a:ext uri="{FF2B5EF4-FFF2-40B4-BE49-F238E27FC236}">
              <a16:creationId xmlns:a16="http://schemas.microsoft.com/office/drawing/2014/main" id="{CADFC0D5-ABA3-4051-A07B-785730C7E2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7" name="TextBox 524">
          <a:extLst>
            <a:ext uri="{FF2B5EF4-FFF2-40B4-BE49-F238E27FC236}">
              <a16:creationId xmlns:a16="http://schemas.microsoft.com/office/drawing/2014/main" id="{C3B6B22E-8343-4DC5-B440-E8F9C9AE39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8" name="TextBox 525">
          <a:extLst>
            <a:ext uri="{FF2B5EF4-FFF2-40B4-BE49-F238E27FC236}">
              <a16:creationId xmlns:a16="http://schemas.microsoft.com/office/drawing/2014/main" id="{621F4CFF-A503-458A-B869-32F74DA2DF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39" name="TextBox 526">
          <a:extLst>
            <a:ext uri="{FF2B5EF4-FFF2-40B4-BE49-F238E27FC236}">
              <a16:creationId xmlns:a16="http://schemas.microsoft.com/office/drawing/2014/main" id="{86575AF1-3EDD-4FCC-BEA9-4D09C0A39F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0" name="TextBox 527">
          <a:extLst>
            <a:ext uri="{FF2B5EF4-FFF2-40B4-BE49-F238E27FC236}">
              <a16:creationId xmlns:a16="http://schemas.microsoft.com/office/drawing/2014/main" id="{CC5A80E4-3875-4154-B711-60214F0D8E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1" name="TextBox 528">
          <a:extLst>
            <a:ext uri="{FF2B5EF4-FFF2-40B4-BE49-F238E27FC236}">
              <a16:creationId xmlns:a16="http://schemas.microsoft.com/office/drawing/2014/main" id="{30744C79-5417-43A4-8067-9A13A95785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2" name="TextBox 529">
          <a:extLst>
            <a:ext uri="{FF2B5EF4-FFF2-40B4-BE49-F238E27FC236}">
              <a16:creationId xmlns:a16="http://schemas.microsoft.com/office/drawing/2014/main" id="{F159DE92-016D-4690-8289-1973213443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3" name="TextBox 530">
          <a:extLst>
            <a:ext uri="{FF2B5EF4-FFF2-40B4-BE49-F238E27FC236}">
              <a16:creationId xmlns:a16="http://schemas.microsoft.com/office/drawing/2014/main" id="{52160CB4-B310-4B0F-9FF8-5DA2AC73BF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4" name="TextBox 531">
          <a:extLst>
            <a:ext uri="{FF2B5EF4-FFF2-40B4-BE49-F238E27FC236}">
              <a16:creationId xmlns:a16="http://schemas.microsoft.com/office/drawing/2014/main" id="{379D08B4-7AF9-49E1-B1B7-46050680F4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5" name="TextBox 532">
          <a:extLst>
            <a:ext uri="{FF2B5EF4-FFF2-40B4-BE49-F238E27FC236}">
              <a16:creationId xmlns:a16="http://schemas.microsoft.com/office/drawing/2014/main" id="{96AC1E77-DBAC-4CDD-BDA8-928CE88260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6" name="TextBox 13">
          <a:extLst>
            <a:ext uri="{FF2B5EF4-FFF2-40B4-BE49-F238E27FC236}">
              <a16:creationId xmlns:a16="http://schemas.microsoft.com/office/drawing/2014/main" id="{BFEE5A23-B0F4-4B80-AD94-0E7A78DD63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7" name="TextBox 14">
          <a:extLst>
            <a:ext uri="{FF2B5EF4-FFF2-40B4-BE49-F238E27FC236}">
              <a16:creationId xmlns:a16="http://schemas.microsoft.com/office/drawing/2014/main" id="{93833F60-3E20-4817-A7A1-DC7D13402E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8" name="TextBox 535">
          <a:extLst>
            <a:ext uri="{FF2B5EF4-FFF2-40B4-BE49-F238E27FC236}">
              <a16:creationId xmlns:a16="http://schemas.microsoft.com/office/drawing/2014/main" id="{24D7AB6C-8ABB-4E3F-8FFD-670751F33A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49" name="TextBox 536">
          <a:extLst>
            <a:ext uri="{FF2B5EF4-FFF2-40B4-BE49-F238E27FC236}">
              <a16:creationId xmlns:a16="http://schemas.microsoft.com/office/drawing/2014/main" id="{282A9D67-041F-44A6-B7AC-A0FD8D5A99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0" name="TextBox 537">
          <a:extLst>
            <a:ext uri="{FF2B5EF4-FFF2-40B4-BE49-F238E27FC236}">
              <a16:creationId xmlns:a16="http://schemas.microsoft.com/office/drawing/2014/main" id="{4B0243ED-FE1C-4380-9673-BCB03A043B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1" name="TextBox 538">
          <a:extLst>
            <a:ext uri="{FF2B5EF4-FFF2-40B4-BE49-F238E27FC236}">
              <a16:creationId xmlns:a16="http://schemas.microsoft.com/office/drawing/2014/main" id="{61F9B65C-4DA5-4161-9CEA-E399C5F0EE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2" name="TextBox 15">
          <a:extLst>
            <a:ext uri="{FF2B5EF4-FFF2-40B4-BE49-F238E27FC236}">
              <a16:creationId xmlns:a16="http://schemas.microsoft.com/office/drawing/2014/main" id="{00126168-AF35-46DF-A903-A4D7F8F315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3" name="TextBox 16">
          <a:extLst>
            <a:ext uri="{FF2B5EF4-FFF2-40B4-BE49-F238E27FC236}">
              <a16:creationId xmlns:a16="http://schemas.microsoft.com/office/drawing/2014/main" id="{911E525A-58C7-458B-9B75-C7D7FA3744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4" name="TextBox 17">
          <a:extLst>
            <a:ext uri="{FF2B5EF4-FFF2-40B4-BE49-F238E27FC236}">
              <a16:creationId xmlns:a16="http://schemas.microsoft.com/office/drawing/2014/main" id="{240AF60C-45E1-4F0A-BF12-A2EBD7D783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5" name="TextBox 18">
          <a:extLst>
            <a:ext uri="{FF2B5EF4-FFF2-40B4-BE49-F238E27FC236}">
              <a16:creationId xmlns:a16="http://schemas.microsoft.com/office/drawing/2014/main" id="{16466CC7-1D42-4968-8DEB-7E8E79C94F0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6" name="TextBox 543">
          <a:extLst>
            <a:ext uri="{FF2B5EF4-FFF2-40B4-BE49-F238E27FC236}">
              <a16:creationId xmlns:a16="http://schemas.microsoft.com/office/drawing/2014/main" id="{C831ACC7-9A59-457A-9D7C-33F173D165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7" name="TextBox 544">
          <a:extLst>
            <a:ext uri="{FF2B5EF4-FFF2-40B4-BE49-F238E27FC236}">
              <a16:creationId xmlns:a16="http://schemas.microsoft.com/office/drawing/2014/main" id="{6791B7C9-466F-4F68-96C4-82B9CEBB17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8" name="TextBox 1">
          <a:extLst>
            <a:ext uri="{FF2B5EF4-FFF2-40B4-BE49-F238E27FC236}">
              <a16:creationId xmlns:a16="http://schemas.microsoft.com/office/drawing/2014/main" id="{55DD96BE-E534-4548-B565-CF7506FAA7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59" name="TextBox 3">
          <a:extLst>
            <a:ext uri="{FF2B5EF4-FFF2-40B4-BE49-F238E27FC236}">
              <a16:creationId xmlns:a16="http://schemas.microsoft.com/office/drawing/2014/main" id="{D5B408A8-A3CA-4800-9199-2C599DC912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0" name="TextBox 547">
          <a:extLst>
            <a:ext uri="{FF2B5EF4-FFF2-40B4-BE49-F238E27FC236}">
              <a16:creationId xmlns:a16="http://schemas.microsoft.com/office/drawing/2014/main" id="{D755961C-E6DF-42D3-8995-4F77E13A4D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1" name="TextBox 548">
          <a:extLst>
            <a:ext uri="{FF2B5EF4-FFF2-40B4-BE49-F238E27FC236}">
              <a16:creationId xmlns:a16="http://schemas.microsoft.com/office/drawing/2014/main" id="{7E439608-DE05-4D6B-B2C2-36B809C51E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2" name="TextBox 549">
          <a:extLst>
            <a:ext uri="{FF2B5EF4-FFF2-40B4-BE49-F238E27FC236}">
              <a16:creationId xmlns:a16="http://schemas.microsoft.com/office/drawing/2014/main" id="{834CBDFF-C079-4075-B691-0CB5338BCA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3" name="TextBox 550">
          <a:extLst>
            <a:ext uri="{FF2B5EF4-FFF2-40B4-BE49-F238E27FC236}">
              <a16:creationId xmlns:a16="http://schemas.microsoft.com/office/drawing/2014/main" id="{85F8477F-6B6C-461C-93A3-06A83FF981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4" name="TextBox 551">
          <a:extLst>
            <a:ext uri="{FF2B5EF4-FFF2-40B4-BE49-F238E27FC236}">
              <a16:creationId xmlns:a16="http://schemas.microsoft.com/office/drawing/2014/main" id="{CFE1B190-CCC2-4984-B930-C78AF133F2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5" name="TextBox 552">
          <a:extLst>
            <a:ext uri="{FF2B5EF4-FFF2-40B4-BE49-F238E27FC236}">
              <a16:creationId xmlns:a16="http://schemas.microsoft.com/office/drawing/2014/main" id="{403A73AD-2342-4B05-9944-C047C48048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6" name="TextBox 553">
          <a:extLst>
            <a:ext uri="{FF2B5EF4-FFF2-40B4-BE49-F238E27FC236}">
              <a16:creationId xmlns:a16="http://schemas.microsoft.com/office/drawing/2014/main" id="{B0C5B547-5898-4D10-8F56-EA511DB73F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7" name="TextBox 554">
          <a:extLst>
            <a:ext uri="{FF2B5EF4-FFF2-40B4-BE49-F238E27FC236}">
              <a16:creationId xmlns:a16="http://schemas.microsoft.com/office/drawing/2014/main" id="{11BB8D50-7016-4D7F-B355-8B5C080369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8" name="TextBox 555">
          <a:extLst>
            <a:ext uri="{FF2B5EF4-FFF2-40B4-BE49-F238E27FC236}">
              <a16:creationId xmlns:a16="http://schemas.microsoft.com/office/drawing/2014/main" id="{0A654A39-87FC-4A2D-93D8-CF5DD5939D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69" name="TextBox 556">
          <a:extLst>
            <a:ext uri="{FF2B5EF4-FFF2-40B4-BE49-F238E27FC236}">
              <a16:creationId xmlns:a16="http://schemas.microsoft.com/office/drawing/2014/main" id="{08015755-1FB0-4192-95AD-2E426438A1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0" name="TextBox 13">
          <a:extLst>
            <a:ext uri="{FF2B5EF4-FFF2-40B4-BE49-F238E27FC236}">
              <a16:creationId xmlns:a16="http://schemas.microsoft.com/office/drawing/2014/main" id="{5A523152-1282-42AF-909C-0E16CDC308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1" name="TextBox 14">
          <a:extLst>
            <a:ext uri="{FF2B5EF4-FFF2-40B4-BE49-F238E27FC236}">
              <a16:creationId xmlns:a16="http://schemas.microsoft.com/office/drawing/2014/main" id="{3C4BFD86-2761-4306-87BC-86A5EFB0DC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2" name="TextBox 559">
          <a:extLst>
            <a:ext uri="{FF2B5EF4-FFF2-40B4-BE49-F238E27FC236}">
              <a16:creationId xmlns:a16="http://schemas.microsoft.com/office/drawing/2014/main" id="{86AE607B-7D72-4868-B106-CF315E1288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3" name="TextBox 560">
          <a:extLst>
            <a:ext uri="{FF2B5EF4-FFF2-40B4-BE49-F238E27FC236}">
              <a16:creationId xmlns:a16="http://schemas.microsoft.com/office/drawing/2014/main" id="{8CCD2B1F-81B3-422B-AC11-1F813E6A17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4" name="TextBox 561">
          <a:extLst>
            <a:ext uri="{FF2B5EF4-FFF2-40B4-BE49-F238E27FC236}">
              <a16:creationId xmlns:a16="http://schemas.microsoft.com/office/drawing/2014/main" id="{A2A25A37-501B-413E-B2BD-1D558555F1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5" name="TextBox 562">
          <a:extLst>
            <a:ext uri="{FF2B5EF4-FFF2-40B4-BE49-F238E27FC236}">
              <a16:creationId xmlns:a16="http://schemas.microsoft.com/office/drawing/2014/main" id="{C719E4F7-2F12-4C4D-9CD4-1F3F3515BA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6" name="TextBox 15">
          <a:extLst>
            <a:ext uri="{FF2B5EF4-FFF2-40B4-BE49-F238E27FC236}">
              <a16:creationId xmlns:a16="http://schemas.microsoft.com/office/drawing/2014/main" id="{97923B46-56F6-418E-8569-910F43DF3D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7" name="TextBox 16">
          <a:extLst>
            <a:ext uri="{FF2B5EF4-FFF2-40B4-BE49-F238E27FC236}">
              <a16:creationId xmlns:a16="http://schemas.microsoft.com/office/drawing/2014/main" id="{D6550683-2D4F-4812-953A-AD79BFAB67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8" name="TextBox 17">
          <a:extLst>
            <a:ext uri="{FF2B5EF4-FFF2-40B4-BE49-F238E27FC236}">
              <a16:creationId xmlns:a16="http://schemas.microsoft.com/office/drawing/2014/main" id="{1014A9E4-6A01-4E83-A890-E3CBFA8176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79" name="TextBox 18">
          <a:extLst>
            <a:ext uri="{FF2B5EF4-FFF2-40B4-BE49-F238E27FC236}">
              <a16:creationId xmlns:a16="http://schemas.microsoft.com/office/drawing/2014/main" id="{41822B80-5E77-433C-B93F-49ADBB69A8C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0" name="TextBox 567">
          <a:extLst>
            <a:ext uri="{FF2B5EF4-FFF2-40B4-BE49-F238E27FC236}">
              <a16:creationId xmlns:a16="http://schemas.microsoft.com/office/drawing/2014/main" id="{0C0BF988-A67D-49C0-AB1D-8AD125F073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1" name="TextBox 568">
          <a:extLst>
            <a:ext uri="{FF2B5EF4-FFF2-40B4-BE49-F238E27FC236}">
              <a16:creationId xmlns:a16="http://schemas.microsoft.com/office/drawing/2014/main" id="{00F08161-8A27-4B89-A426-5CC6E75EF3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2" name="TextBox 1">
          <a:extLst>
            <a:ext uri="{FF2B5EF4-FFF2-40B4-BE49-F238E27FC236}">
              <a16:creationId xmlns:a16="http://schemas.microsoft.com/office/drawing/2014/main" id="{8028D9E8-A718-4A29-B7D2-4AD69350675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3" name="TextBox 3">
          <a:extLst>
            <a:ext uri="{FF2B5EF4-FFF2-40B4-BE49-F238E27FC236}">
              <a16:creationId xmlns:a16="http://schemas.microsoft.com/office/drawing/2014/main" id="{0F394E6C-3FF6-49A8-A5CD-C0B76F30DA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4" name="TextBox 571">
          <a:extLst>
            <a:ext uri="{FF2B5EF4-FFF2-40B4-BE49-F238E27FC236}">
              <a16:creationId xmlns:a16="http://schemas.microsoft.com/office/drawing/2014/main" id="{1F170720-6D13-4A32-9EFD-EBA74A4512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5" name="TextBox 572">
          <a:extLst>
            <a:ext uri="{FF2B5EF4-FFF2-40B4-BE49-F238E27FC236}">
              <a16:creationId xmlns:a16="http://schemas.microsoft.com/office/drawing/2014/main" id="{F6FF7CBF-EF55-48DF-9598-C9A0A64770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6" name="TextBox 573">
          <a:extLst>
            <a:ext uri="{FF2B5EF4-FFF2-40B4-BE49-F238E27FC236}">
              <a16:creationId xmlns:a16="http://schemas.microsoft.com/office/drawing/2014/main" id="{2A431F19-F2BA-4A4A-801A-CB415BFB8C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7" name="TextBox 574">
          <a:extLst>
            <a:ext uri="{FF2B5EF4-FFF2-40B4-BE49-F238E27FC236}">
              <a16:creationId xmlns:a16="http://schemas.microsoft.com/office/drawing/2014/main" id="{005D9774-6338-4681-A177-68E55B62D7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8" name="TextBox 575">
          <a:extLst>
            <a:ext uri="{FF2B5EF4-FFF2-40B4-BE49-F238E27FC236}">
              <a16:creationId xmlns:a16="http://schemas.microsoft.com/office/drawing/2014/main" id="{15F8FD38-394F-4194-A6C4-022C5B2FBF0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89" name="TextBox 576">
          <a:extLst>
            <a:ext uri="{FF2B5EF4-FFF2-40B4-BE49-F238E27FC236}">
              <a16:creationId xmlns:a16="http://schemas.microsoft.com/office/drawing/2014/main" id="{D7637E49-0B5A-46E0-A85F-19E3D3407F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0" name="TextBox 577">
          <a:extLst>
            <a:ext uri="{FF2B5EF4-FFF2-40B4-BE49-F238E27FC236}">
              <a16:creationId xmlns:a16="http://schemas.microsoft.com/office/drawing/2014/main" id="{C4F5F695-38EB-40BC-9C06-B1C6AEF068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1" name="TextBox 578">
          <a:extLst>
            <a:ext uri="{FF2B5EF4-FFF2-40B4-BE49-F238E27FC236}">
              <a16:creationId xmlns:a16="http://schemas.microsoft.com/office/drawing/2014/main" id="{58B1C486-B48C-49E1-B866-25CA136B75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2" name="TextBox 579">
          <a:extLst>
            <a:ext uri="{FF2B5EF4-FFF2-40B4-BE49-F238E27FC236}">
              <a16:creationId xmlns:a16="http://schemas.microsoft.com/office/drawing/2014/main" id="{73645898-80A9-4941-81FF-52E758F03B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3" name="TextBox 580">
          <a:extLst>
            <a:ext uri="{FF2B5EF4-FFF2-40B4-BE49-F238E27FC236}">
              <a16:creationId xmlns:a16="http://schemas.microsoft.com/office/drawing/2014/main" id="{98A97B57-8805-493E-9B79-4665298F3F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4" name="TextBox 13">
          <a:extLst>
            <a:ext uri="{FF2B5EF4-FFF2-40B4-BE49-F238E27FC236}">
              <a16:creationId xmlns:a16="http://schemas.microsoft.com/office/drawing/2014/main" id="{BA0A468F-0121-4B4B-9110-F85D7B3DA6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5" name="TextBox 14">
          <a:extLst>
            <a:ext uri="{FF2B5EF4-FFF2-40B4-BE49-F238E27FC236}">
              <a16:creationId xmlns:a16="http://schemas.microsoft.com/office/drawing/2014/main" id="{4DCCC027-48D6-49F3-AA7E-6A31D9C0C7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6" name="TextBox 583">
          <a:extLst>
            <a:ext uri="{FF2B5EF4-FFF2-40B4-BE49-F238E27FC236}">
              <a16:creationId xmlns:a16="http://schemas.microsoft.com/office/drawing/2014/main" id="{22555721-50A3-4AC3-B7DE-0D860F6162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7" name="TextBox 584">
          <a:extLst>
            <a:ext uri="{FF2B5EF4-FFF2-40B4-BE49-F238E27FC236}">
              <a16:creationId xmlns:a16="http://schemas.microsoft.com/office/drawing/2014/main" id="{23CE8B6E-39B7-4DDF-B74E-D01F54713B3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8" name="TextBox 585">
          <a:extLst>
            <a:ext uri="{FF2B5EF4-FFF2-40B4-BE49-F238E27FC236}">
              <a16:creationId xmlns:a16="http://schemas.microsoft.com/office/drawing/2014/main" id="{04AF6B97-172B-4011-9FAB-89918E8E5C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2999" name="TextBox 586">
          <a:extLst>
            <a:ext uri="{FF2B5EF4-FFF2-40B4-BE49-F238E27FC236}">
              <a16:creationId xmlns:a16="http://schemas.microsoft.com/office/drawing/2014/main" id="{E958379A-1B22-4D72-B578-52DC02208B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0" name="TextBox 15">
          <a:extLst>
            <a:ext uri="{FF2B5EF4-FFF2-40B4-BE49-F238E27FC236}">
              <a16:creationId xmlns:a16="http://schemas.microsoft.com/office/drawing/2014/main" id="{2A9954E7-AE6B-4193-9561-0F7665E353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1" name="TextBox 16">
          <a:extLst>
            <a:ext uri="{FF2B5EF4-FFF2-40B4-BE49-F238E27FC236}">
              <a16:creationId xmlns:a16="http://schemas.microsoft.com/office/drawing/2014/main" id="{98556144-22A3-4F13-A575-3705CA269E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2" name="TextBox 17">
          <a:extLst>
            <a:ext uri="{FF2B5EF4-FFF2-40B4-BE49-F238E27FC236}">
              <a16:creationId xmlns:a16="http://schemas.microsoft.com/office/drawing/2014/main" id="{574A0998-DB12-4195-900A-4BFF07EFC3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3" name="TextBox 18">
          <a:extLst>
            <a:ext uri="{FF2B5EF4-FFF2-40B4-BE49-F238E27FC236}">
              <a16:creationId xmlns:a16="http://schemas.microsoft.com/office/drawing/2014/main" id="{E204E2CD-517A-4BCA-A49C-66D1F22B53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4" name="TextBox 591">
          <a:extLst>
            <a:ext uri="{FF2B5EF4-FFF2-40B4-BE49-F238E27FC236}">
              <a16:creationId xmlns:a16="http://schemas.microsoft.com/office/drawing/2014/main" id="{7CF9B421-2B6F-4BDE-8FAD-F997628675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5" name="TextBox 592">
          <a:extLst>
            <a:ext uri="{FF2B5EF4-FFF2-40B4-BE49-F238E27FC236}">
              <a16:creationId xmlns:a16="http://schemas.microsoft.com/office/drawing/2014/main" id="{9A1762F7-F354-48A4-AC20-427759F68E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6" name="TextBox 1">
          <a:extLst>
            <a:ext uri="{FF2B5EF4-FFF2-40B4-BE49-F238E27FC236}">
              <a16:creationId xmlns:a16="http://schemas.microsoft.com/office/drawing/2014/main" id="{2FDC6232-C056-4B8D-B8BF-82E8538962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7" name="TextBox 3">
          <a:extLst>
            <a:ext uri="{FF2B5EF4-FFF2-40B4-BE49-F238E27FC236}">
              <a16:creationId xmlns:a16="http://schemas.microsoft.com/office/drawing/2014/main" id="{8739B5D1-2D65-482C-81A4-3F3BADC969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8" name="TextBox 595">
          <a:extLst>
            <a:ext uri="{FF2B5EF4-FFF2-40B4-BE49-F238E27FC236}">
              <a16:creationId xmlns:a16="http://schemas.microsoft.com/office/drawing/2014/main" id="{377C8BC8-46A3-47BD-819A-DD5EC7A0F0F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09" name="TextBox 596">
          <a:extLst>
            <a:ext uri="{FF2B5EF4-FFF2-40B4-BE49-F238E27FC236}">
              <a16:creationId xmlns:a16="http://schemas.microsoft.com/office/drawing/2014/main" id="{C657D65D-290B-4282-BCAA-94A6E0EB58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0" name="TextBox 597">
          <a:extLst>
            <a:ext uri="{FF2B5EF4-FFF2-40B4-BE49-F238E27FC236}">
              <a16:creationId xmlns:a16="http://schemas.microsoft.com/office/drawing/2014/main" id="{A61EC735-0947-4B9B-BB43-1FBDDDAE82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1" name="TextBox 598">
          <a:extLst>
            <a:ext uri="{FF2B5EF4-FFF2-40B4-BE49-F238E27FC236}">
              <a16:creationId xmlns:a16="http://schemas.microsoft.com/office/drawing/2014/main" id="{9B69848D-7873-42DB-B855-888733DF35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2" name="TextBox 599">
          <a:extLst>
            <a:ext uri="{FF2B5EF4-FFF2-40B4-BE49-F238E27FC236}">
              <a16:creationId xmlns:a16="http://schemas.microsoft.com/office/drawing/2014/main" id="{B825D682-EF6B-4899-9FFB-3BD7643C4E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3" name="TextBox 600">
          <a:extLst>
            <a:ext uri="{FF2B5EF4-FFF2-40B4-BE49-F238E27FC236}">
              <a16:creationId xmlns:a16="http://schemas.microsoft.com/office/drawing/2014/main" id="{D44AAFA5-6871-4628-8355-335962A908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4" name="TextBox 601">
          <a:extLst>
            <a:ext uri="{FF2B5EF4-FFF2-40B4-BE49-F238E27FC236}">
              <a16:creationId xmlns:a16="http://schemas.microsoft.com/office/drawing/2014/main" id="{48C98254-1860-4464-BD7F-C7FB6F1838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5" name="TextBox 602">
          <a:extLst>
            <a:ext uri="{FF2B5EF4-FFF2-40B4-BE49-F238E27FC236}">
              <a16:creationId xmlns:a16="http://schemas.microsoft.com/office/drawing/2014/main" id="{84419D77-71AC-47A9-A18C-3DCB99BD5E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6" name="TextBox 603">
          <a:extLst>
            <a:ext uri="{FF2B5EF4-FFF2-40B4-BE49-F238E27FC236}">
              <a16:creationId xmlns:a16="http://schemas.microsoft.com/office/drawing/2014/main" id="{DE47A74B-A501-465D-92AC-4CB211F851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7" name="TextBox 604">
          <a:extLst>
            <a:ext uri="{FF2B5EF4-FFF2-40B4-BE49-F238E27FC236}">
              <a16:creationId xmlns:a16="http://schemas.microsoft.com/office/drawing/2014/main" id="{9AEA6193-DC5A-4E5D-96E5-AD79D4F616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8" name="TextBox 13">
          <a:extLst>
            <a:ext uri="{FF2B5EF4-FFF2-40B4-BE49-F238E27FC236}">
              <a16:creationId xmlns:a16="http://schemas.microsoft.com/office/drawing/2014/main" id="{6333D672-7271-4EE1-B87F-A6CD75ED72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19" name="TextBox 14">
          <a:extLst>
            <a:ext uri="{FF2B5EF4-FFF2-40B4-BE49-F238E27FC236}">
              <a16:creationId xmlns:a16="http://schemas.microsoft.com/office/drawing/2014/main" id="{0CCBEC26-85DC-468D-858F-7A895A435D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0" name="TextBox 607">
          <a:extLst>
            <a:ext uri="{FF2B5EF4-FFF2-40B4-BE49-F238E27FC236}">
              <a16:creationId xmlns:a16="http://schemas.microsoft.com/office/drawing/2014/main" id="{024839C9-E4AE-4A76-8DD8-22470E8337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1" name="TextBox 608">
          <a:extLst>
            <a:ext uri="{FF2B5EF4-FFF2-40B4-BE49-F238E27FC236}">
              <a16:creationId xmlns:a16="http://schemas.microsoft.com/office/drawing/2014/main" id="{8D4CC48B-64C7-43A0-BAB0-5C0B34923F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2" name="TextBox 609">
          <a:extLst>
            <a:ext uri="{FF2B5EF4-FFF2-40B4-BE49-F238E27FC236}">
              <a16:creationId xmlns:a16="http://schemas.microsoft.com/office/drawing/2014/main" id="{A9C3347F-DE79-4F5D-9003-1992E76895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3" name="TextBox 610">
          <a:extLst>
            <a:ext uri="{FF2B5EF4-FFF2-40B4-BE49-F238E27FC236}">
              <a16:creationId xmlns:a16="http://schemas.microsoft.com/office/drawing/2014/main" id="{1D5244EA-D311-4D52-A73F-D3EDBFCC8C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4" name="TextBox 15">
          <a:extLst>
            <a:ext uri="{FF2B5EF4-FFF2-40B4-BE49-F238E27FC236}">
              <a16:creationId xmlns:a16="http://schemas.microsoft.com/office/drawing/2014/main" id="{FD8CF61F-9755-4EC5-AD55-623C8288B0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5" name="TextBox 16">
          <a:extLst>
            <a:ext uri="{FF2B5EF4-FFF2-40B4-BE49-F238E27FC236}">
              <a16:creationId xmlns:a16="http://schemas.microsoft.com/office/drawing/2014/main" id="{51AFD4BB-F4DC-4255-A871-2819A7290E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6" name="TextBox 17">
          <a:extLst>
            <a:ext uri="{FF2B5EF4-FFF2-40B4-BE49-F238E27FC236}">
              <a16:creationId xmlns:a16="http://schemas.microsoft.com/office/drawing/2014/main" id="{C63386D1-38E3-4ED8-9D5F-DE15782AE7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7" name="TextBox 18">
          <a:extLst>
            <a:ext uri="{FF2B5EF4-FFF2-40B4-BE49-F238E27FC236}">
              <a16:creationId xmlns:a16="http://schemas.microsoft.com/office/drawing/2014/main" id="{7228FDB5-E274-4E6A-80E7-AFC327413F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8" name="TextBox 615">
          <a:extLst>
            <a:ext uri="{FF2B5EF4-FFF2-40B4-BE49-F238E27FC236}">
              <a16:creationId xmlns:a16="http://schemas.microsoft.com/office/drawing/2014/main" id="{7AAE70C7-3BB1-462C-B1EF-B912E52CC0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29" name="TextBox 616">
          <a:extLst>
            <a:ext uri="{FF2B5EF4-FFF2-40B4-BE49-F238E27FC236}">
              <a16:creationId xmlns:a16="http://schemas.microsoft.com/office/drawing/2014/main" id="{B021FC49-BECB-4583-A7FE-18EEFF9138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0" name="TextBox 1">
          <a:extLst>
            <a:ext uri="{FF2B5EF4-FFF2-40B4-BE49-F238E27FC236}">
              <a16:creationId xmlns:a16="http://schemas.microsoft.com/office/drawing/2014/main" id="{81C54FC1-00BB-4B61-9013-68499F25BD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1" name="TextBox 3">
          <a:extLst>
            <a:ext uri="{FF2B5EF4-FFF2-40B4-BE49-F238E27FC236}">
              <a16:creationId xmlns:a16="http://schemas.microsoft.com/office/drawing/2014/main" id="{85474821-D8AB-40CE-A6C5-C7E3BEFEC7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2" name="TextBox 619">
          <a:extLst>
            <a:ext uri="{FF2B5EF4-FFF2-40B4-BE49-F238E27FC236}">
              <a16:creationId xmlns:a16="http://schemas.microsoft.com/office/drawing/2014/main" id="{97420AF1-7A78-43B9-ABCF-BC28565C84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3" name="TextBox 620">
          <a:extLst>
            <a:ext uri="{FF2B5EF4-FFF2-40B4-BE49-F238E27FC236}">
              <a16:creationId xmlns:a16="http://schemas.microsoft.com/office/drawing/2014/main" id="{6902F9F4-8287-49B3-8691-983D8F4EF4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4" name="TextBox 621">
          <a:extLst>
            <a:ext uri="{FF2B5EF4-FFF2-40B4-BE49-F238E27FC236}">
              <a16:creationId xmlns:a16="http://schemas.microsoft.com/office/drawing/2014/main" id="{FBA86180-41EC-4606-B235-F956829E4A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5" name="TextBox 622">
          <a:extLst>
            <a:ext uri="{FF2B5EF4-FFF2-40B4-BE49-F238E27FC236}">
              <a16:creationId xmlns:a16="http://schemas.microsoft.com/office/drawing/2014/main" id="{F152EC97-BFD8-48B0-8EEB-C48407F401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6" name="TextBox 623">
          <a:extLst>
            <a:ext uri="{FF2B5EF4-FFF2-40B4-BE49-F238E27FC236}">
              <a16:creationId xmlns:a16="http://schemas.microsoft.com/office/drawing/2014/main" id="{32E8E2CD-756C-4A19-BAD4-BA181E298A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7" name="TextBox 624">
          <a:extLst>
            <a:ext uri="{FF2B5EF4-FFF2-40B4-BE49-F238E27FC236}">
              <a16:creationId xmlns:a16="http://schemas.microsoft.com/office/drawing/2014/main" id="{919BC351-8831-49AE-A3BA-48ABFED456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8" name="TextBox 625">
          <a:extLst>
            <a:ext uri="{FF2B5EF4-FFF2-40B4-BE49-F238E27FC236}">
              <a16:creationId xmlns:a16="http://schemas.microsoft.com/office/drawing/2014/main" id="{63CFA621-FFBA-4CE2-86BC-4FD26A918DE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39" name="TextBox 626">
          <a:extLst>
            <a:ext uri="{FF2B5EF4-FFF2-40B4-BE49-F238E27FC236}">
              <a16:creationId xmlns:a16="http://schemas.microsoft.com/office/drawing/2014/main" id="{62197D12-FFA9-4AA3-A545-8F5156F63A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0" name="TextBox 627">
          <a:extLst>
            <a:ext uri="{FF2B5EF4-FFF2-40B4-BE49-F238E27FC236}">
              <a16:creationId xmlns:a16="http://schemas.microsoft.com/office/drawing/2014/main" id="{7F139AB4-26DE-417A-BD69-885A44D3EE8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1" name="TextBox 628">
          <a:extLst>
            <a:ext uri="{FF2B5EF4-FFF2-40B4-BE49-F238E27FC236}">
              <a16:creationId xmlns:a16="http://schemas.microsoft.com/office/drawing/2014/main" id="{AA75B804-A9FF-476C-A732-7D7388E5EF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2" name="TextBox 13">
          <a:extLst>
            <a:ext uri="{FF2B5EF4-FFF2-40B4-BE49-F238E27FC236}">
              <a16:creationId xmlns:a16="http://schemas.microsoft.com/office/drawing/2014/main" id="{23FF2F56-61F2-4072-B2C0-0779003495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3" name="TextBox 14">
          <a:extLst>
            <a:ext uri="{FF2B5EF4-FFF2-40B4-BE49-F238E27FC236}">
              <a16:creationId xmlns:a16="http://schemas.microsoft.com/office/drawing/2014/main" id="{EC64FC33-9265-46E5-A09C-ECB3280995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4" name="TextBox 631">
          <a:extLst>
            <a:ext uri="{FF2B5EF4-FFF2-40B4-BE49-F238E27FC236}">
              <a16:creationId xmlns:a16="http://schemas.microsoft.com/office/drawing/2014/main" id="{6AB7E542-C8AD-45AB-B3B3-3C551B32E2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5" name="TextBox 632">
          <a:extLst>
            <a:ext uri="{FF2B5EF4-FFF2-40B4-BE49-F238E27FC236}">
              <a16:creationId xmlns:a16="http://schemas.microsoft.com/office/drawing/2014/main" id="{BBD49229-F270-400A-8E8C-174395E8CA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6" name="TextBox 633">
          <a:extLst>
            <a:ext uri="{FF2B5EF4-FFF2-40B4-BE49-F238E27FC236}">
              <a16:creationId xmlns:a16="http://schemas.microsoft.com/office/drawing/2014/main" id="{4A276F6D-F2D7-4552-BFE6-48986639A3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7" name="TextBox 634">
          <a:extLst>
            <a:ext uri="{FF2B5EF4-FFF2-40B4-BE49-F238E27FC236}">
              <a16:creationId xmlns:a16="http://schemas.microsoft.com/office/drawing/2014/main" id="{A188B905-B8BB-46E5-B906-1FAB2CA300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8" name="TextBox 15">
          <a:extLst>
            <a:ext uri="{FF2B5EF4-FFF2-40B4-BE49-F238E27FC236}">
              <a16:creationId xmlns:a16="http://schemas.microsoft.com/office/drawing/2014/main" id="{9CD2CD13-2004-41C4-81AA-CB6B97771A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49" name="TextBox 16">
          <a:extLst>
            <a:ext uri="{FF2B5EF4-FFF2-40B4-BE49-F238E27FC236}">
              <a16:creationId xmlns:a16="http://schemas.microsoft.com/office/drawing/2014/main" id="{A8E7CBC4-0EBC-41B4-B415-6D576795BC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0" name="TextBox 17">
          <a:extLst>
            <a:ext uri="{FF2B5EF4-FFF2-40B4-BE49-F238E27FC236}">
              <a16:creationId xmlns:a16="http://schemas.microsoft.com/office/drawing/2014/main" id="{8518F0B5-B7DB-4B9B-91C3-CCCABEC22A0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1" name="TextBox 18">
          <a:extLst>
            <a:ext uri="{FF2B5EF4-FFF2-40B4-BE49-F238E27FC236}">
              <a16:creationId xmlns:a16="http://schemas.microsoft.com/office/drawing/2014/main" id="{5474D7FD-E262-48E3-A1AA-A9BFC461C8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2" name="TextBox 639">
          <a:extLst>
            <a:ext uri="{FF2B5EF4-FFF2-40B4-BE49-F238E27FC236}">
              <a16:creationId xmlns:a16="http://schemas.microsoft.com/office/drawing/2014/main" id="{3C835821-59BF-49B0-A288-681AE49BB3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3" name="TextBox 640">
          <a:extLst>
            <a:ext uri="{FF2B5EF4-FFF2-40B4-BE49-F238E27FC236}">
              <a16:creationId xmlns:a16="http://schemas.microsoft.com/office/drawing/2014/main" id="{6F0CA52F-DC8C-4B48-8FD6-2903D72569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4" name="TextBox 1">
          <a:extLst>
            <a:ext uri="{FF2B5EF4-FFF2-40B4-BE49-F238E27FC236}">
              <a16:creationId xmlns:a16="http://schemas.microsoft.com/office/drawing/2014/main" id="{859809BE-953F-4219-9BBD-8C0837DF1A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5" name="TextBox 3">
          <a:extLst>
            <a:ext uri="{FF2B5EF4-FFF2-40B4-BE49-F238E27FC236}">
              <a16:creationId xmlns:a16="http://schemas.microsoft.com/office/drawing/2014/main" id="{4DE245A1-93D0-4B44-A732-79D90FD609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6" name="TextBox 643">
          <a:extLst>
            <a:ext uri="{FF2B5EF4-FFF2-40B4-BE49-F238E27FC236}">
              <a16:creationId xmlns:a16="http://schemas.microsoft.com/office/drawing/2014/main" id="{40DB9AB7-EBB1-44E3-B3A3-AA8BF17A1B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7" name="TextBox 644">
          <a:extLst>
            <a:ext uri="{FF2B5EF4-FFF2-40B4-BE49-F238E27FC236}">
              <a16:creationId xmlns:a16="http://schemas.microsoft.com/office/drawing/2014/main" id="{3C86EBF8-56D9-437D-93E9-62FAE6BE07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8" name="TextBox 645">
          <a:extLst>
            <a:ext uri="{FF2B5EF4-FFF2-40B4-BE49-F238E27FC236}">
              <a16:creationId xmlns:a16="http://schemas.microsoft.com/office/drawing/2014/main" id="{AFB265CF-AEFF-4F42-9100-A5DBB456E6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59" name="TextBox 646">
          <a:extLst>
            <a:ext uri="{FF2B5EF4-FFF2-40B4-BE49-F238E27FC236}">
              <a16:creationId xmlns:a16="http://schemas.microsoft.com/office/drawing/2014/main" id="{A273F164-7C3F-4797-A36D-F43E5B3056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0" name="TextBox 647">
          <a:extLst>
            <a:ext uri="{FF2B5EF4-FFF2-40B4-BE49-F238E27FC236}">
              <a16:creationId xmlns:a16="http://schemas.microsoft.com/office/drawing/2014/main" id="{15BCAC6D-0822-4040-B975-6D346D7D67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1" name="TextBox 648">
          <a:extLst>
            <a:ext uri="{FF2B5EF4-FFF2-40B4-BE49-F238E27FC236}">
              <a16:creationId xmlns:a16="http://schemas.microsoft.com/office/drawing/2014/main" id="{B3807696-8571-4068-8991-30F34C542F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2" name="TextBox 649">
          <a:extLst>
            <a:ext uri="{FF2B5EF4-FFF2-40B4-BE49-F238E27FC236}">
              <a16:creationId xmlns:a16="http://schemas.microsoft.com/office/drawing/2014/main" id="{18D36966-3F6F-4FAC-ABF5-63DF177896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3" name="TextBox 650">
          <a:extLst>
            <a:ext uri="{FF2B5EF4-FFF2-40B4-BE49-F238E27FC236}">
              <a16:creationId xmlns:a16="http://schemas.microsoft.com/office/drawing/2014/main" id="{5A3A3305-FAEC-4DF9-AAC4-35F2A5AD47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4" name="TextBox 651">
          <a:extLst>
            <a:ext uri="{FF2B5EF4-FFF2-40B4-BE49-F238E27FC236}">
              <a16:creationId xmlns:a16="http://schemas.microsoft.com/office/drawing/2014/main" id="{4B2A82DC-C4FE-414E-BCE2-BD8045C154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5" name="TextBox 652">
          <a:extLst>
            <a:ext uri="{FF2B5EF4-FFF2-40B4-BE49-F238E27FC236}">
              <a16:creationId xmlns:a16="http://schemas.microsoft.com/office/drawing/2014/main" id="{1B8AEF06-879E-400B-8451-3F51678ED1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6" name="TextBox 13">
          <a:extLst>
            <a:ext uri="{FF2B5EF4-FFF2-40B4-BE49-F238E27FC236}">
              <a16:creationId xmlns:a16="http://schemas.microsoft.com/office/drawing/2014/main" id="{16F4F1CF-F8AC-4EA5-98ED-0FE2E0B30E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7" name="TextBox 14">
          <a:extLst>
            <a:ext uri="{FF2B5EF4-FFF2-40B4-BE49-F238E27FC236}">
              <a16:creationId xmlns:a16="http://schemas.microsoft.com/office/drawing/2014/main" id="{BDAEE3D7-E3EC-4B01-AC50-96323B56DD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8" name="TextBox 655">
          <a:extLst>
            <a:ext uri="{FF2B5EF4-FFF2-40B4-BE49-F238E27FC236}">
              <a16:creationId xmlns:a16="http://schemas.microsoft.com/office/drawing/2014/main" id="{CB73BFCF-12D3-4F78-A73A-06CB9A1A43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69" name="TextBox 656">
          <a:extLst>
            <a:ext uri="{FF2B5EF4-FFF2-40B4-BE49-F238E27FC236}">
              <a16:creationId xmlns:a16="http://schemas.microsoft.com/office/drawing/2014/main" id="{704CA818-549C-4DE5-89FE-61E2F4E87D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0" name="TextBox 657">
          <a:extLst>
            <a:ext uri="{FF2B5EF4-FFF2-40B4-BE49-F238E27FC236}">
              <a16:creationId xmlns:a16="http://schemas.microsoft.com/office/drawing/2014/main" id="{0740E59F-DC5B-438E-B459-A334883EC0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1" name="TextBox 658">
          <a:extLst>
            <a:ext uri="{FF2B5EF4-FFF2-40B4-BE49-F238E27FC236}">
              <a16:creationId xmlns:a16="http://schemas.microsoft.com/office/drawing/2014/main" id="{5A01CD32-665D-46CC-B2FC-542D943E05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2" name="TextBox 15">
          <a:extLst>
            <a:ext uri="{FF2B5EF4-FFF2-40B4-BE49-F238E27FC236}">
              <a16:creationId xmlns:a16="http://schemas.microsoft.com/office/drawing/2014/main" id="{A2F78A1A-B4A0-46B9-96E4-0594FBE96B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3" name="TextBox 16">
          <a:extLst>
            <a:ext uri="{FF2B5EF4-FFF2-40B4-BE49-F238E27FC236}">
              <a16:creationId xmlns:a16="http://schemas.microsoft.com/office/drawing/2014/main" id="{C6A01EF5-6BEC-4E36-8F4F-B06A9F2A2F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4" name="TextBox 17">
          <a:extLst>
            <a:ext uri="{FF2B5EF4-FFF2-40B4-BE49-F238E27FC236}">
              <a16:creationId xmlns:a16="http://schemas.microsoft.com/office/drawing/2014/main" id="{CDE7C833-4371-4B37-BEEC-1766096BBE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5" name="TextBox 18">
          <a:extLst>
            <a:ext uri="{FF2B5EF4-FFF2-40B4-BE49-F238E27FC236}">
              <a16:creationId xmlns:a16="http://schemas.microsoft.com/office/drawing/2014/main" id="{F6719FB1-FA20-4F5A-8C2A-6A0207A7B4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6" name="TextBox 663">
          <a:extLst>
            <a:ext uri="{FF2B5EF4-FFF2-40B4-BE49-F238E27FC236}">
              <a16:creationId xmlns:a16="http://schemas.microsoft.com/office/drawing/2014/main" id="{63A922D8-03FD-481E-ACBB-305711849D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7" name="TextBox 664">
          <a:extLst>
            <a:ext uri="{FF2B5EF4-FFF2-40B4-BE49-F238E27FC236}">
              <a16:creationId xmlns:a16="http://schemas.microsoft.com/office/drawing/2014/main" id="{81ADC151-36C5-4D92-8D30-67728F3601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8" name="TextBox 1">
          <a:extLst>
            <a:ext uri="{FF2B5EF4-FFF2-40B4-BE49-F238E27FC236}">
              <a16:creationId xmlns:a16="http://schemas.microsoft.com/office/drawing/2014/main" id="{1C13C196-2637-4411-92AA-391AF412D1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79" name="TextBox 3">
          <a:extLst>
            <a:ext uri="{FF2B5EF4-FFF2-40B4-BE49-F238E27FC236}">
              <a16:creationId xmlns:a16="http://schemas.microsoft.com/office/drawing/2014/main" id="{1DDB8CA8-556A-4730-A694-AB80252448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0" name="TextBox 667">
          <a:extLst>
            <a:ext uri="{FF2B5EF4-FFF2-40B4-BE49-F238E27FC236}">
              <a16:creationId xmlns:a16="http://schemas.microsoft.com/office/drawing/2014/main" id="{5B23A58E-6799-4ABF-BF6B-AB1EED2BC0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1" name="TextBox 668">
          <a:extLst>
            <a:ext uri="{FF2B5EF4-FFF2-40B4-BE49-F238E27FC236}">
              <a16:creationId xmlns:a16="http://schemas.microsoft.com/office/drawing/2014/main" id="{24084322-2E22-4C6D-8B07-44CD54876B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2" name="TextBox 669">
          <a:extLst>
            <a:ext uri="{FF2B5EF4-FFF2-40B4-BE49-F238E27FC236}">
              <a16:creationId xmlns:a16="http://schemas.microsoft.com/office/drawing/2014/main" id="{E996DC7B-ECB9-486E-AC0D-D008672B55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3" name="TextBox 670">
          <a:extLst>
            <a:ext uri="{FF2B5EF4-FFF2-40B4-BE49-F238E27FC236}">
              <a16:creationId xmlns:a16="http://schemas.microsoft.com/office/drawing/2014/main" id="{8252962A-61F3-4E9A-BEBF-13B14F0C2B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4" name="TextBox 671">
          <a:extLst>
            <a:ext uri="{FF2B5EF4-FFF2-40B4-BE49-F238E27FC236}">
              <a16:creationId xmlns:a16="http://schemas.microsoft.com/office/drawing/2014/main" id="{78C4250F-05A1-4C27-8723-AB090509BD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5" name="TextBox 672">
          <a:extLst>
            <a:ext uri="{FF2B5EF4-FFF2-40B4-BE49-F238E27FC236}">
              <a16:creationId xmlns:a16="http://schemas.microsoft.com/office/drawing/2014/main" id="{2FE09BE8-62BC-46D9-B089-FEB65B7E5E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6" name="TextBox 673">
          <a:extLst>
            <a:ext uri="{FF2B5EF4-FFF2-40B4-BE49-F238E27FC236}">
              <a16:creationId xmlns:a16="http://schemas.microsoft.com/office/drawing/2014/main" id="{5E391F3D-92FB-409B-95D0-E6D4244F49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7" name="TextBox 674">
          <a:extLst>
            <a:ext uri="{FF2B5EF4-FFF2-40B4-BE49-F238E27FC236}">
              <a16:creationId xmlns:a16="http://schemas.microsoft.com/office/drawing/2014/main" id="{48D8FA93-45CC-40B1-9DA0-1A8A1D1DB39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8" name="TextBox 675">
          <a:extLst>
            <a:ext uri="{FF2B5EF4-FFF2-40B4-BE49-F238E27FC236}">
              <a16:creationId xmlns:a16="http://schemas.microsoft.com/office/drawing/2014/main" id="{630FC7DE-686B-410D-8F96-1F9CC28DD4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89" name="TextBox 676">
          <a:extLst>
            <a:ext uri="{FF2B5EF4-FFF2-40B4-BE49-F238E27FC236}">
              <a16:creationId xmlns:a16="http://schemas.microsoft.com/office/drawing/2014/main" id="{E2B5AB3D-330A-4E9C-93F0-CFE5F7D073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0" name="TextBox 13">
          <a:extLst>
            <a:ext uri="{FF2B5EF4-FFF2-40B4-BE49-F238E27FC236}">
              <a16:creationId xmlns:a16="http://schemas.microsoft.com/office/drawing/2014/main" id="{E5B7F7C9-22DE-4D0A-AA0C-709444F3AD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1" name="TextBox 14">
          <a:extLst>
            <a:ext uri="{FF2B5EF4-FFF2-40B4-BE49-F238E27FC236}">
              <a16:creationId xmlns:a16="http://schemas.microsoft.com/office/drawing/2014/main" id="{4066EDC9-56E6-4BD1-889B-433D2C4870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2" name="TextBox 679">
          <a:extLst>
            <a:ext uri="{FF2B5EF4-FFF2-40B4-BE49-F238E27FC236}">
              <a16:creationId xmlns:a16="http://schemas.microsoft.com/office/drawing/2014/main" id="{2329CF12-152F-4104-836B-AB8E352A69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3" name="TextBox 680">
          <a:extLst>
            <a:ext uri="{FF2B5EF4-FFF2-40B4-BE49-F238E27FC236}">
              <a16:creationId xmlns:a16="http://schemas.microsoft.com/office/drawing/2014/main" id="{A4297B44-7D8F-47B1-8D01-E665934D2F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4" name="TextBox 681">
          <a:extLst>
            <a:ext uri="{FF2B5EF4-FFF2-40B4-BE49-F238E27FC236}">
              <a16:creationId xmlns:a16="http://schemas.microsoft.com/office/drawing/2014/main" id="{81777EA6-6C66-4D80-8291-33C056EBDB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5" name="TextBox 682">
          <a:extLst>
            <a:ext uri="{FF2B5EF4-FFF2-40B4-BE49-F238E27FC236}">
              <a16:creationId xmlns:a16="http://schemas.microsoft.com/office/drawing/2014/main" id="{07FFD7C8-21B6-41FC-851E-E4F579032B3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6" name="TextBox 15">
          <a:extLst>
            <a:ext uri="{FF2B5EF4-FFF2-40B4-BE49-F238E27FC236}">
              <a16:creationId xmlns:a16="http://schemas.microsoft.com/office/drawing/2014/main" id="{8B27EF0D-7D91-422C-8552-0EDFC17529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7" name="TextBox 16">
          <a:extLst>
            <a:ext uri="{FF2B5EF4-FFF2-40B4-BE49-F238E27FC236}">
              <a16:creationId xmlns:a16="http://schemas.microsoft.com/office/drawing/2014/main" id="{DBEAA38F-711C-40A9-8564-A81A39C999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8" name="TextBox 17">
          <a:extLst>
            <a:ext uri="{FF2B5EF4-FFF2-40B4-BE49-F238E27FC236}">
              <a16:creationId xmlns:a16="http://schemas.microsoft.com/office/drawing/2014/main" id="{1C3CD27B-6CC9-4DF4-856A-19A9B72E21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099" name="TextBox 18">
          <a:extLst>
            <a:ext uri="{FF2B5EF4-FFF2-40B4-BE49-F238E27FC236}">
              <a16:creationId xmlns:a16="http://schemas.microsoft.com/office/drawing/2014/main" id="{C05E08EF-3635-42CA-8CD1-32C06D7C6B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0" name="TextBox 687">
          <a:extLst>
            <a:ext uri="{FF2B5EF4-FFF2-40B4-BE49-F238E27FC236}">
              <a16:creationId xmlns:a16="http://schemas.microsoft.com/office/drawing/2014/main" id="{6C39D3EC-2828-4123-A307-2BF71EE94F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1" name="TextBox 688">
          <a:extLst>
            <a:ext uri="{FF2B5EF4-FFF2-40B4-BE49-F238E27FC236}">
              <a16:creationId xmlns:a16="http://schemas.microsoft.com/office/drawing/2014/main" id="{76888E93-E12A-4200-9331-A74B97DE6B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2" name="TextBox 1">
          <a:extLst>
            <a:ext uri="{FF2B5EF4-FFF2-40B4-BE49-F238E27FC236}">
              <a16:creationId xmlns:a16="http://schemas.microsoft.com/office/drawing/2014/main" id="{E5F9736F-C77F-44BD-9E51-7704D15655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3" name="TextBox 3">
          <a:extLst>
            <a:ext uri="{FF2B5EF4-FFF2-40B4-BE49-F238E27FC236}">
              <a16:creationId xmlns:a16="http://schemas.microsoft.com/office/drawing/2014/main" id="{33ED7BE8-4C3D-4493-ADDD-D1E75C4B90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4" name="TextBox 691">
          <a:extLst>
            <a:ext uri="{FF2B5EF4-FFF2-40B4-BE49-F238E27FC236}">
              <a16:creationId xmlns:a16="http://schemas.microsoft.com/office/drawing/2014/main" id="{300B798E-D3AD-490E-A6AA-D23CB59421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5" name="TextBox 692">
          <a:extLst>
            <a:ext uri="{FF2B5EF4-FFF2-40B4-BE49-F238E27FC236}">
              <a16:creationId xmlns:a16="http://schemas.microsoft.com/office/drawing/2014/main" id="{80837EC3-7C02-40ED-9D1B-0477A44960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6" name="TextBox 693">
          <a:extLst>
            <a:ext uri="{FF2B5EF4-FFF2-40B4-BE49-F238E27FC236}">
              <a16:creationId xmlns:a16="http://schemas.microsoft.com/office/drawing/2014/main" id="{3FACF655-4A10-4221-9AC6-331563E862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7" name="TextBox 694">
          <a:extLst>
            <a:ext uri="{FF2B5EF4-FFF2-40B4-BE49-F238E27FC236}">
              <a16:creationId xmlns:a16="http://schemas.microsoft.com/office/drawing/2014/main" id="{19540ED7-4703-4DFE-A190-DD9FDD809A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8" name="TextBox 695">
          <a:extLst>
            <a:ext uri="{FF2B5EF4-FFF2-40B4-BE49-F238E27FC236}">
              <a16:creationId xmlns:a16="http://schemas.microsoft.com/office/drawing/2014/main" id="{C5F9829A-8111-43E8-9811-CB2F5A683B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09" name="TextBox 696">
          <a:extLst>
            <a:ext uri="{FF2B5EF4-FFF2-40B4-BE49-F238E27FC236}">
              <a16:creationId xmlns:a16="http://schemas.microsoft.com/office/drawing/2014/main" id="{E3777BDF-F62B-457C-AF5C-1963B0D1B2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0" name="TextBox 697">
          <a:extLst>
            <a:ext uri="{FF2B5EF4-FFF2-40B4-BE49-F238E27FC236}">
              <a16:creationId xmlns:a16="http://schemas.microsoft.com/office/drawing/2014/main" id="{CB4F0515-3A18-4D25-B823-038925C80A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1" name="TextBox 698">
          <a:extLst>
            <a:ext uri="{FF2B5EF4-FFF2-40B4-BE49-F238E27FC236}">
              <a16:creationId xmlns:a16="http://schemas.microsoft.com/office/drawing/2014/main" id="{20C162DF-B273-46FF-8725-1578AAFE9F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2" name="TextBox 699">
          <a:extLst>
            <a:ext uri="{FF2B5EF4-FFF2-40B4-BE49-F238E27FC236}">
              <a16:creationId xmlns:a16="http://schemas.microsoft.com/office/drawing/2014/main" id="{F4FBCFEC-AACF-47A3-B3EA-DE7B3A40C4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3" name="TextBox 700">
          <a:extLst>
            <a:ext uri="{FF2B5EF4-FFF2-40B4-BE49-F238E27FC236}">
              <a16:creationId xmlns:a16="http://schemas.microsoft.com/office/drawing/2014/main" id="{5E8ABF0E-F449-4B67-95A7-02EAFADB26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4" name="TextBox 13">
          <a:extLst>
            <a:ext uri="{FF2B5EF4-FFF2-40B4-BE49-F238E27FC236}">
              <a16:creationId xmlns:a16="http://schemas.microsoft.com/office/drawing/2014/main" id="{037801C5-F2CC-45CD-9B6E-4F9716B13B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5" name="TextBox 14">
          <a:extLst>
            <a:ext uri="{FF2B5EF4-FFF2-40B4-BE49-F238E27FC236}">
              <a16:creationId xmlns:a16="http://schemas.microsoft.com/office/drawing/2014/main" id="{B92BA408-1426-48C5-AF66-C84B741376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6" name="TextBox 703">
          <a:extLst>
            <a:ext uri="{FF2B5EF4-FFF2-40B4-BE49-F238E27FC236}">
              <a16:creationId xmlns:a16="http://schemas.microsoft.com/office/drawing/2014/main" id="{FB419CD8-0D66-416F-9E90-BAA81ECEF7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7" name="TextBox 704">
          <a:extLst>
            <a:ext uri="{FF2B5EF4-FFF2-40B4-BE49-F238E27FC236}">
              <a16:creationId xmlns:a16="http://schemas.microsoft.com/office/drawing/2014/main" id="{A6814009-B26E-4DA4-96D6-C58F9DFDF5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8" name="TextBox 705">
          <a:extLst>
            <a:ext uri="{FF2B5EF4-FFF2-40B4-BE49-F238E27FC236}">
              <a16:creationId xmlns:a16="http://schemas.microsoft.com/office/drawing/2014/main" id="{EB797F2A-1C76-4049-9F7C-E98FED8554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19" name="TextBox 706">
          <a:extLst>
            <a:ext uri="{FF2B5EF4-FFF2-40B4-BE49-F238E27FC236}">
              <a16:creationId xmlns:a16="http://schemas.microsoft.com/office/drawing/2014/main" id="{F87E3793-0A79-487D-BBAC-0C2457AA2F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0" name="TextBox 15">
          <a:extLst>
            <a:ext uri="{FF2B5EF4-FFF2-40B4-BE49-F238E27FC236}">
              <a16:creationId xmlns:a16="http://schemas.microsoft.com/office/drawing/2014/main" id="{22CF20FE-E4D2-4D0B-8ED5-C662FE93EE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1" name="TextBox 16">
          <a:extLst>
            <a:ext uri="{FF2B5EF4-FFF2-40B4-BE49-F238E27FC236}">
              <a16:creationId xmlns:a16="http://schemas.microsoft.com/office/drawing/2014/main" id="{3429A1CE-49EE-4DFB-89B1-FF108AF7A9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2" name="TextBox 17">
          <a:extLst>
            <a:ext uri="{FF2B5EF4-FFF2-40B4-BE49-F238E27FC236}">
              <a16:creationId xmlns:a16="http://schemas.microsoft.com/office/drawing/2014/main" id="{1FCAC561-69B6-4EA4-B3A2-878EBA6800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3" name="TextBox 18">
          <a:extLst>
            <a:ext uri="{FF2B5EF4-FFF2-40B4-BE49-F238E27FC236}">
              <a16:creationId xmlns:a16="http://schemas.microsoft.com/office/drawing/2014/main" id="{D67489A8-7E5B-4C28-8799-26C40416F4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4" name="TextBox 711">
          <a:extLst>
            <a:ext uri="{FF2B5EF4-FFF2-40B4-BE49-F238E27FC236}">
              <a16:creationId xmlns:a16="http://schemas.microsoft.com/office/drawing/2014/main" id="{57D44004-F3E8-484B-A90D-87633162F9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5" name="TextBox 712">
          <a:extLst>
            <a:ext uri="{FF2B5EF4-FFF2-40B4-BE49-F238E27FC236}">
              <a16:creationId xmlns:a16="http://schemas.microsoft.com/office/drawing/2014/main" id="{0DF0636F-35EE-4443-B508-80AC9CA178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6" name="TextBox 1">
          <a:extLst>
            <a:ext uri="{FF2B5EF4-FFF2-40B4-BE49-F238E27FC236}">
              <a16:creationId xmlns:a16="http://schemas.microsoft.com/office/drawing/2014/main" id="{485FFA56-93FB-49A2-914E-E951A4EAD7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7" name="TextBox 3">
          <a:extLst>
            <a:ext uri="{FF2B5EF4-FFF2-40B4-BE49-F238E27FC236}">
              <a16:creationId xmlns:a16="http://schemas.microsoft.com/office/drawing/2014/main" id="{71E5ED7E-16A0-4E47-8D20-6CD0F672CE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8" name="TextBox 715">
          <a:extLst>
            <a:ext uri="{FF2B5EF4-FFF2-40B4-BE49-F238E27FC236}">
              <a16:creationId xmlns:a16="http://schemas.microsoft.com/office/drawing/2014/main" id="{EDF68620-EFAA-48D1-977A-6EE9EA7222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29" name="TextBox 716">
          <a:extLst>
            <a:ext uri="{FF2B5EF4-FFF2-40B4-BE49-F238E27FC236}">
              <a16:creationId xmlns:a16="http://schemas.microsoft.com/office/drawing/2014/main" id="{6EDA4526-7A28-4FFF-A077-9F16AAB23B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0" name="TextBox 717">
          <a:extLst>
            <a:ext uri="{FF2B5EF4-FFF2-40B4-BE49-F238E27FC236}">
              <a16:creationId xmlns:a16="http://schemas.microsoft.com/office/drawing/2014/main" id="{F53EE46E-F3A5-4B17-B490-8A8346DFFC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1" name="TextBox 718">
          <a:extLst>
            <a:ext uri="{FF2B5EF4-FFF2-40B4-BE49-F238E27FC236}">
              <a16:creationId xmlns:a16="http://schemas.microsoft.com/office/drawing/2014/main" id="{A3059ACC-24CA-469B-A6CC-3897AE3431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2" name="TextBox 719">
          <a:extLst>
            <a:ext uri="{FF2B5EF4-FFF2-40B4-BE49-F238E27FC236}">
              <a16:creationId xmlns:a16="http://schemas.microsoft.com/office/drawing/2014/main" id="{B5BECD84-31A6-4FE0-A931-E6AB798C84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3" name="TextBox 720">
          <a:extLst>
            <a:ext uri="{FF2B5EF4-FFF2-40B4-BE49-F238E27FC236}">
              <a16:creationId xmlns:a16="http://schemas.microsoft.com/office/drawing/2014/main" id="{D3214290-E917-49DD-9CCA-D055AB168E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4" name="TextBox 721">
          <a:extLst>
            <a:ext uri="{FF2B5EF4-FFF2-40B4-BE49-F238E27FC236}">
              <a16:creationId xmlns:a16="http://schemas.microsoft.com/office/drawing/2014/main" id="{DD508372-FF43-45F5-B57A-E77EA033B8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5" name="TextBox 722">
          <a:extLst>
            <a:ext uri="{FF2B5EF4-FFF2-40B4-BE49-F238E27FC236}">
              <a16:creationId xmlns:a16="http://schemas.microsoft.com/office/drawing/2014/main" id="{591CFE40-0B8F-49B8-8BBD-865DDEFE83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6" name="TextBox 723">
          <a:extLst>
            <a:ext uri="{FF2B5EF4-FFF2-40B4-BE49-F238E27FC236}">
              <a16:creationId xmlns:a16="http://schemas.microsoft.com/office/drawing/2014/main" id="{37F9EF66-0595-4103-8C23-6115D662C6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7" name="TextBox 724">
          <a:extLst>
            <a:ext uri="{FF2B5EF4-FFF2-40B4-BE49-F238E27FC236}">
              <a16:creationId xmlns:a16="http://schemas.microsoft.com/office/drawing/2014/main" id="{85CA320F-276C-4D13-B220-75914446C6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8" name="TextBox 13">
          <a:extLst>
            <a:ext uri="{FF2B5EF4-FFF2-40B4-BE49-F238E27FC236}">
              <a16:creationId xmlns:a16="http://schemas.microsoft.com/office/drawing/2014/main" id="{12A42015-A715-4911-A427-5643915D6F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39" name="TextBox 14">
          <a:extLst>
            <a:ext uri="{FF2B5EF4-FFF2-40B4-BE49-F238E27FC236}">
              <a16:creationId xmlns:a16="http://schemas.microsoft.com/office/drawing/2014/main" id="{C5A3BFB9-9FE4-4705-AD6C-20BFA43EEE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0" name="TextBox 727">
          <a:extLst>
            <a:ext uri="{FF2B5EF4-FFF2-40B4-BE49-F238E27FC236}">
              <a16:creationId xmlns:a16="http://schemas.microsoft.com/office/drawing/2014/main" id="{A26F2EC2-8BCC-496B-A504-D5D561D6CA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1" name="TextBox 728">
          <a:extLst>
            <a:ext uri="{FF2B5EF4-FFF2-40B4-BE49-F238E27FC236}">
              <a16:creationId xmlns:a16="http://schemas.microsoft.com/office/drawing/2014/main" id="{3AB87767-F145-41B7-B4F4-C402D79C64E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2" name="TextBox 729">
          <a:extLst>
            <a:ext uri="{FF2B5EF4-FFF2-40B4-BE49-F238E27FC236}">
              <a16:creationId xmlns:a16="http://schemas.microsoft.com/office/drawing/2014/main" id="{93A88444-C7CD-4A4F-BDFE-DB7082DF2E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3" name="TextBox 730">
          <a:extLst>
            <a:ext uri="{FF2B5EF4-FFF2-40B4-BE49-F238E27FC236}">
              <a16:creationId xmlns:a16="http://schemas.microsoft.com/office/drawing/2014/main" id="{27DB9E35-5FE3-41BC-8D3B-F18BD1EDEB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4" name="TextBox 15">
          <a:extLst>
            <a:ext uri="{FF2B5EF4-FFF2-40B4-BE49-F238E27FC236}">
              <a16:creationId xmlns:a16="http://schemas.microsoft.com/office/drawing/2014/main" id="{9836490B-68A8-4FD1-9F83-852DB122CE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5" name="TextBox 16">
          <a:extLst>
            <a:ext uri="{FF2B5EF4-FFF2-40B4-BE49-F238E27FC236}">
              <a16:creationId xmlns:a16="http://schemas.microsoft.com/office/drawing/2014/main" id="{B4878530-D6C6-4086-8CEE-CE3DB5EA5E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6" name="TextBox 17">
          <a:extLst>
            <a:ext uri="{FF2B5EF4-FFF2-40B4-BE49-F238E27FC236}">
              <a16:creationId xmlns:a16="http://schemas.microsoft.com/office/drawing/2014/main" id="{B1E6D994-3387-455E-B8AB-7B4138B4F0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7" name="TextBox 18">
          <a:extLst>
            <a:ext uri="{FF2B5EF4-FFF2-40B4-BE49-F238E27FC236}">
              <a16:creationId xmlns:a16="http://schemas.microsoft.com/office/drawing/2014/main" id="{2795CFE0-610A-4C06-AA38-6966334BA6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8" name="TextBox 735">
          <a:extLst>
            <a:ext uri="{FF2B5EF4-FFF2-40B4-BE49-F238E27FC236}">
              <a16:creationId xmlns:a16="http://schemas.microsoft.com/office/drawing/2014/main" id="{C661F3A9-3C33-404E-A574-FE91255B59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49" name="TextBox 736">
          <a:extLst>
            <a:ext uri="{FF2B5EF4-FFF2-40B4-BE49-F238E27FC236}">
              <a16:creationId xmlns:a16="http://schemas.microsoft.com/office/drawing/2014/main" id="{304D088C-027F-40EE-83FE-2944BC41C9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0" name="TextBox 1">
          <a:extLst>
            <a:ext uri="{FF2B5EF4-FFF2-40B4-BE49-F238E27FC236}">
              <a16:creationId xmlns:a16="http://schemas.microsoft.com/office/drawing/2014/main" id="{ED9F21D9-266F-4E22-A0A4-23DC4838C70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1" name="TextBox 3">
          <a:extLst>
            <a:ext uri="{FF2B5EF4-FFF2-40B4-BE49-F238E27FC236}">
              <a16:creationId xmlns:a16="http://schemas.microsoft.com/office/drawing/2014/main" id="{8FDB3A7B-F585-45A3-9B0C-252090ABAC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2" name="TextBox 739">
          <a:extLst>
            <a:ext uri="{FF2B5EF4-FFF2-40B4-BE49-F238E27FC236}">
              <a16:creationId xmlns:a16="http://schemas.microsoft.com/office/drawing/2014/main" id="{286D40CE-CA00-418F-8887-6471FB38FD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3" name="TextBox 740">
          <a:extLst>
            <a:ext uri="{FF2B5EF4-FFF2-40B4-BE49-F238E27FC236}">
              <a16:creationId xmlns:a16="http://schemas.microsoft.com/office/drawing/2014/main" id="{0AEA8EC6-BA70-4F3B-A716-B21D369694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4" name="TextBox 741">
          <a:extLst>
            <a:ext uri="{FF2B5EF4-FFF2-40B4-BE49-F238E27FC236}">
              <a16:creationId xmlns:a16="http://schemas.microsoft.com/office/drawing/2014/main" id="{0375D8A9-EA3C-4289-9529-7739085E59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5" name="TextBox 742">
          <a:extLst>
            <a:ext uri="{FF2B5EF4-FFF2-40B4-BE49-F238E27FC236}">
              <a16:creationId xmlns:a16="http://schemas.microsoft.com/office/drawing/2014/main" id="{854E3C22-9428-44FB-AC81-538B35FA0E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6" name="TextBox 743">
          <a:extLst>
            <a:ext uri="{FF2B5EF4-FFF2-40B4-BE49-F238E27FC236}">
              <a16:creationId xmlns:a16="http://schemas.microsoft.com/office/drawing/2014/main" id="{6803FF06-2017-4026-931F-DF106F85AF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7" name="TextBox 744">
          <a:extLst>
            <a:ext uri="{FF2B5EF4-FFF2-40B4-BE49-F238E27FC236}">
              <a16:creationId xmlns:a16="http://schemas.microsoft.com/office/drawing/2014/main" id="{2EC67139-248A-4457-B1B9-4F1FF7E741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8" name="TextBox 745">
          <a:extLst>
            <a:ext uri="{FF2B5EF4-FFF2-40B4-BE49-F238E27FC236}">
              <a16:creationId xmlns:a16="http://schemas.microsoft.com/office/drawing/2014/main" id="{C7BD9A02-C61A-42D3-ABDE-5734456444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59" name="TextBox 746">
          <a:extLst>
            <a:ext uri="{FF2B5EF4-FFF2-40B4-BE49-F238E27FC236}">
              <a16:creationId xmlns:a16="http://schemas.microsoft.com/office/drawing/2014/main" id="{50BA81B7-B652-4795-B8D8-A59ADFB9BF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0" name="TextBox 747">
          <a:extLst>
            <a:ext uri="{FF2B5EF4-FFF2-40B4-BE49-F238E27FC236}">
              <a16:creationId xmlns:a16="http://schemas.microsoft.com/office/drawing/2014/main" id="{00354003-0636-4CF1-A29A-C5DF2EC98B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1" name="TextBox 748">
          <a:extLst>
            <a:ext uri="{FF2B5EF4-FFF2-40B4-BE49-F238E27FC236}">
              <a16:creationId xmlns:a16="http://schemas.microsoft.com/office/drawing/2014/main" id="{DA7C10CA-1DFA-4BB7-B395-58D649D762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2" name="TextBox 13">
          <a:extLst>
            <a:ext uri="{FF2B5EF4-FFF2-40B4-BE49-F238E27FC236}">
              <a16:creationId xmlns:a16="http://schemas.microsoft.com/office/drawing/2014/main" id="{FB5431F3-8A6A-4900-868D-8D0719DF16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3" name="TextBox 14">
          <a:extLst>
            <a:ext uri="{FF2B5EF4-FFF2-40B4-BE49-F238E27FC236}">
              <a16:creationId xmlns:a16="http://schemas.microsoft.com/office/drawing/2014/main" id="{00810CB4-FB3F-4107-B0C6-33843275E7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4" name="TextBox 751">
          <a:extLst>
            <a:ext uri="{FF2B5EF4-FFF2-40B4-BE49-F238E27FC236}">
              <a16:creationId xmlns:a16="http://schemas.microsoft.com/office/drawing/2014/main" id="{395981FD-8D57-48BB-947F-4875E59BE02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5" name="TextBox 752">
          <a:extLst>
            <a:ext uri="{FF2B5EF4-FFF2-40B4-BE49-F238E27FC236}">
              <a16:creationId xmlns:a16="http://schemas.microsoft.com/office/drawing/2014/main" id="{F63C88DC-0218-42EC-84A1-C1F9515B75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6" name="TextBox 753">
          <a:extLst>
            <a:ext uri="{FF2B5EF4-FFF2-40B4-BE49-F238E27FC236}">
              <a16:creationId xmlns:a16="http://schemas.microsoft.com/office/drawing/2014/main" id="{2BECE7CA-BC44-40CC-A5BC-2C068248AC0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7" name="TextBox 754">
          <a:extLst>
            <a:ext uri="{FF2B5EF4-FFF2-40B4-BE49-F238E27FC236}">
              <a16:creationId xmlns:a16="http://schemas.microsoft.com/office/drawing/2014/main" id="{A1880A10-25CB-4B5C-8B95-90E538550F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8" name="TextBox 15">
          <a:extLst>
            <a:ext uri="{FF2B5EF4-FFF2-40B4-BE49-F238E27FC236}">
              <a16:creationId xmlns:a16="http://schemas.microsoft.com/office/drawing/2014/main" id="{4CE29883-57D0-4659-83A3-4A69997BB6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69" name="TextBox 16">
          <a:extLst>
            <a:ext uri="{FF2B5EF4-FFF2-40B4-BE49-F238E27FC236}">
              <a16:creationId xmlns:a16="http://schemas.microsoft.com/office/drawing/2014/main" id="{B5111946-16A2-4FD8-9510-A28B313182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0" name="TextBox 17">
          <a:extLst>
            <a:ext uri="{FF2B5EF4-FFF2-40B4-BE49-F238E27FC236}">
              <a16:creationId xmlns:a16="http://schemas.microsoft.com/office/drawing/2014/main" id="{8A4ED3E4-F08C-4F79-B6CB-A6BF892E9A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1" name="TextBox 18">
          <a:extLst>
            <a:ext uri="{FF2B5EF4-FFF2-40B4-BE49-F238E27FC236}">
              <a16:creationId xmlns:a16="http://schemas.microsoft.com/office/drawing/2014/main" id="{495F9769-C3C1-4060-9AD1-B1558D4754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2" name="TextBox 759">
          <a:extLst>
            <a:ext uri="{FF2B5EF4-FFF2-40B4-BE49-F238E27FC236}">
              <a16:creationId xmlns:a16="http://schemas.microsoft.com/office/drawing/2014/main" id="{68988AC9-BE44-4E1B-BD93-DB6DCE23426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3" name="TextBox 760">
          <a:extLst>
            <a:ext uri="{FF2B5EF4-FFF2-40B4-BE49-F238E27FC236}">
              <a16:creationId xmlns:a16="http://schemas.microsoft.com/office/drawing/2014/main" id="{6CB235EC-16D2-4AD1-8EDA-86E30FA2CD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4" name="TextBox 1">
          <a:extLst>
            <a:ext uri="{FF2B5EF4-FFF2-40B4-BE49-F238E27FC236}">
              <a16:creationId xmlns:a16="http://schemas.microsoft.com/office/drawing/2014/main" id="{97F6AA26-CDF6-474F-A716-726BE2B518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5" name="TextBox 3">
          <a:extLst>
            <a:ext uri="{FF2B5EF4-FFF2-40B4-BE49-F238E27FC236}">
              <a16:creationId xmlns:a16="http://schemas.microsoft.com/office/drawing/2014/main" id="{18AEA3E4-89D1-4BD5-AF93-42E370A35F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6" name="TextBox 763">
          <a:extLst>
            <a:ext uri="{FF2B5EF4-FFF2-40B4-BE49-F238E27FC236}">
              <a16:creationId xmlns:a16="http://schemas.microsoft.com/office/drawing/2014/main" id="{B3B0B6A5-A504-4625-91CC-CCA3D01515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7" name="TextBox 764">
          <a:extLst>
            <a:ext uri="{FF2B5EF4-FFF2-40B4-BE49-F238E27FC236}">
              <a16:creationId xmlns:a16="http://schemas.microsoft.com/office/drawing/2014/main" id="{CCA5ADAD-1DB2-4A6B-B67D-3922418E19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8" name="TextBox 765">
          <a:extLst>
            <a:ext uri="{FF2B5EF4-FFF2-40B4-BE49-F238E27FC236}">
              <a16:creationId xmlns:a16="http://schemas.microsoft.com/office/drawing/2014/main" id="{17DCC42A-A457-4AD6-BC8C-F8D7A08FEB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79" name="TextBox 766">
          <a:extLst>
            <a:ext uri="{FF2B5EF4-FFF2-40B4-BE49-F238E27FC236}">
              <a16:creationId xmlns:a16="http://schemas.microsoft.com/office/drawing/2014/main" id="{AA119259-BB66-4A26-963C-54E7F116DF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0" name="TextBox 767">
          <a:extLst>
            <a:ext uri="{FF2B5EF4-FFF2-40B4-BE49-F238E27FC236}">
              <a16:creationId xmlns:a16="http://schemas.microsoft.com/office/drawing/2014/main" id="{25411604-B893-4714-8D50-5CC1CA5A26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1" name="TextBox 768">
          <a:extLst>
            <a:ext uri="{FF2B5EF4-FFF2-40B4-BE49-F238E27FC236}">
              <a16:creationId xmlns:a16="http://schemas.microsoft.com/office/drawing/2014/main" id="{B9151F20-4A58-4672-B6BD-C34884066F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2" name="TextBox 769">
          <a:extLst>
            <a:ext uri="{FF2B5EF4-FFF2-40B4-BE49-F238E27FC236}">
              <a16:creationId xmlns:a16="http://schemas.microsoft.com/office/drawing/2014/main" id="{FBB332A5-F167-4A83-A3EB-42FFB15FC52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3" name="TextBox 770">
          <a:extLst>
            <a:ext uri="{FF2B5EF4-FFF2-40B4-BE49-F238E27FC236}">
              <a16:creationId xmlns:a16="http://schemas.microsoft.com/office/drawing/2014/main" id="{C18B1745-FD52-4B09-8347-C3CBB5097B9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4" name="TextBox 771">
          <a:extLst>
            <a:ext uri="{FF2B5EF4-FFF2-40B4-BE49-F238E27FC236}">
              <a16:creationId xmlns:a16="http://schemas.microsoft.com/office/drawing/2014/main" id="{ADA453AB-36EA-4974-A770-1C76F45A81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5" name="TextBox 772">
          <a:extLst>
            <a:ext uri="{FF2B5EF4-FFF2-40B4-BE49-F238E27FC236}">
              <a16:creationId xmlns:a16="http://schemas.microsoft.com/office/drawing/2014/main" id="{4459A2DD-3874-4CA0-9341-4FF1D6F2F0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6" name="TextBox 13">
          <a:extLst>
            <a:ext uri="{FF2B5EF4-FFF2-40B4-BE49-F238E27FC236}">
              <a16:creationId xmlns:a16="http://schemas.microsoft.com/office/drawing/2014/main" id="{AEB9BAF4-E76A-4945-B3AF-542F1B6AF7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7" name="TextBox 14">
          <a:extLst>
            <a:ext uri="{FF2B5EF4-FFF2-40B4-BE49-F238E27FC236}">
              <a16:creationId xmlns:a16="http://schemas.microsoft.com/office/drawing/2014/main" id="{96430682-1996-4C13-9A7A-E643385302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8" name="TextBox 775">
          <a:extLst>
            <a:ext uri="{FF2B5EF4-FFF2-40B4-BE49-F238E27FC236}">
              <a16:creationId xmlns:a16="http://schemas.microsoft.com/office/drawing/2014/main" id="{FF335AF5-90E9-4E37-A84E-DF2E4BC264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89" name="TextBox 776">
          <a:extLst>
            <a:ext uri="{FF2B5EF4-FFF2-40B4-BE49-F238E27FC236}">
              <a16:creationId xmlns:a16="http://schemas.microsoft.com/office/drawing/2014/main" id="{A76250C2-8D37-4487-A207-2EFCFE8E89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0" name="TextBox 777">
          <a:extLst>
            <a:ext uri="{FF2B5EF4-FFF2-40B4-BE49-F238E27FC236}">
              <a16:creationId xmlns:a16="http://schemas.microsoft.com/office/drawing/2014/main" id="{62D5EF03-DB36-4EFE-9107-5F58FF6E1D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1" name="TextBox 778">
          <a:extLst>
            <a:ext uri="{FF2B5EF4-FFF2-40B4-BE49-F238E27FC236}">
              <a16:creationId xmlns:a16="http://schemas.microsoft.com/office/drawing/2014/main" id="{FA9EBEFA-6A07-48C1-8A8A-74AE844B16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2" name="TextBox 15">
          <a:extLst>
            <a:ext uri="{FF2B5EF4-FFF2-40B4-BE49-F238E27FC236}">
              <a16:creationId xmlns:a16="http://schemas.microsoft.com/office/drawing/2014/main" id="{D3344107-E613-4261-8B56-8A69FA674D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3" name="TextBox 16">
          <a:extLst>
            <a:ext uri="{FF2B5EF4-FFF2-40B4-BE49-F238E27FC236}">
              <a16:creationId xmlns:a16="http://schemas.microsoft.com/office/drawing/2014/main" id="{B1EBB6EA-EB84-4A94-B0E0-8F005B904D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4" name="TextBox 17">
          <a:extLst>
            <a:ext uri="{FF2B5EF4-FFF2-40B4-BE49-F238E27FC236}">
              <a16:creationId xmlns:a16="http://schemas.microsoft.com/office/drawing/2014/main" id="{D4F4DFA1-48D9-405E-8A76-2844B41F5B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5" name="TextBox 18">
          <a:extLst>
            <a:ext uri="{FF2B5EF4-FFF2-40B4-BE49-F238E27FC236}">
              <a16:creationId xmlns:a16="http://schemas.microsoft.com/office/drawing/2014/main" id="{D3419F37-DF88-4E8A-81DA-61527B9FBC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6" name="TextBox 783">
          <a:extLst>
            <a:ext uri="{FF2B5EF4-FFF2-40B4-BE49-F238E27FC236}">
              <a16:creationId xmlns:a16="http://schemas.microsoft.com/office/drawing/2014/main" id="{167144E0-C9DF-442C-9AAC-418B11B0D5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7" name="TextBox 784">
          <a:extLst>
            <a:ext uri="{FF2B5EF4-FFF2-40B4-BE49-F238E27FC236}">
              <a16:creationId xmlns:a16="http://schemas.microsoft.com/office/drawing/2014/main" id="{78825A35-F2DC-4EFF-AADC-4E2736C2E6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8" name="TextBox 1">
          <a:extLst>
            <a:ext uri="{FF2B5EF4-FFF2-40B4-BE49-F238E27FC236}">
              <a16:creationId xmlns:a16="http://schemas.microsoft.com/office/drawing/2014/main" id="{D3F2A2B7-FAD1-48FC-961F-2B4AB6134B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199" name="TextBox 3">
          <a:extLst>
            <a:ext uri="{FF2B5EF4-FFF2-40B4-BE49-F238E27FC236}">
              <a16:creationId xmlns:a16="http://schemas.microsoft.com/office/drawing/2014/main" id="{E6B46188-F0D8-4284-9498-379EEFE508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0" name="TextBox 787">
          <a:extLst>
            <a:ext uri="{FF2B5EF4-FFF2-40B4-BE49-F238E27FC236}">
              <a16:creationId xmlns:a16="http://schemas.microsoft.com/office/drawing/2014/main" id="{E3794C82-DAD6-4E93-95F7-DD52878EBC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1" name="TextBox 788">
          <a:extLst>
            <a:ext uri="{FF2B5EF4-FFF2-40B4-BE49-F238E27FC236}">
              <a16:creationId xmlns:a16="http://schemas.microsoft.com/office/drawing/2014/main" id="{566B75D4-E278-48CE-A4E7-1ADA2A2B20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2" name="TextBox 789">
          <a:extLst>
            <a:ext uri="{FF2B5EF4-FFF2-40B4-BE49-F238E27FC236}">
              <a16:creationId xmlns:a16="http://schemas.microsoft.com/office/drawing/2014/main" id="{319ADE85-936F-43C1-9362-1A4062D22D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3" name="TextBox 790">
          <a:extLst>
            <a:ext uri="{FF2B5EF4-FFF2-40B4-BE49-F238E27FC236}">
              <a16:creationId xmlns:a16="http://schemas.microsoft.com/office/drawing/2014/main" id="{20D37A48-2484-42FD-8CF9-1C8B4214BA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4" name="TextBox 791">
          <a:extLst>
            <a:ext uri="{FF2B5EF4-FFF2-40B4-BE49-F238E27FC236}">
              <a16:creationId xmlns:a16="http://schemas.microsoft.com/office/drawing/2014/main" id="{5B268D9C-B741-43B0-B314-52C7888164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5" name="TextBox 792">
          <a:extLst>
            <a:ext uri="{FF2B5EF4-FFF2-40B4-BE49-F238E27FC236}">
              <a16:creationId xmlns:a16="http://schemas.microsoft.com/office/drawing/2014/main" id="{8F58674F-46FA-4823-AA98-0E8D5AF624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6" name="TextBox 793">
          <a:extLst>
            <a:ext uri="{FF2B5EF4-FFF2-40B4-BE49-F238E27FC236}">
              <a16:creationId xmlns:a16="http://schemas.microsoft.com/office/drawing/2014/main" id="{8654DF8C-0B42-4480-B7EB-7E9BE9042C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7" name="TextBox 794">
          <a:extLst>
            <a:ext uri="{FF2B5EF4-FFF2-40B4-BE49-F238E27FC236}">
              <a16:creationId xmlns:a16="http://schemas.microsoft.com/office/drawing/2014/main" id="{EEF7DE1F-B280-4440-997D-6D9B700CB6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8" name="TextBox 795">
          <a:extLst>
            <a:ext uri="{FF2B5EF4-FFF2-40B4-BE49-F238E27FC236}">
              <a16:creationId xmlns:a16="http://schemas.microsoft.com/office/drawing/2014/main" id="{58E1AE3C-51FC-4C69-AC5F-DC74F64D39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09" name="TextBox 796">
          <a:extLst>
            <a:ext uri="{FF2B5EF4-FFF2-40B4-BE49-F238E27FC236}">
              <a16:creationId xmlns:a16="http://schemas.microsoft.com/office/drawing/2014/main" id="{BBE3FBDD-AB36-4FC9-B5F0-BF183E491F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0" name="TextBox 13">
          <a:extLst>
            <a:ext uri="{FF2B5EF4-FFF2-40B4-BE49-F238E27FC236}">
              <a16:creationId xmlns:a16="http://schemas.microsoft.com/office/drawing/2014/main" id="{C2D0822D-BC57-4261-B7AF-F369642464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1" name="TextBox 14">
          <a:extLst>
            <a:ext uri="{FF2B5EF4-FFF2-40B4-BE49-F238E27FC236}">
              <a16:creationId xmlns:a16="http://schemas.microsoft.com/office/drawing/2014/main" id="{8F7E5885-0B48-405A-9DB5-95366EACCA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2" name="TextBox 799">
          <a:extLst>
            <a:ext uri="{FF2B5EF4-FFF2-40B4-BE49-F238E27FC236}">
              <a16:creationId xmlns:a16="http://schemas.microsoft.com/office/drawing/2014/main" id="{5384833E-3D40-462F-85BC-D92B7F3154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3" name="TextBox 800">
          <a:extLst>
            <a:ext uri="{FF2B5EF4-FFF2-40B4-BE49-F238E27FC236}">
              <a16:creationId xmlns:a16="http://schemas.microsoft.com/office/drawing/2014/main" id="{7EF871FA-D25F-49C3-9EE1-107C6AA606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4" name="TextBox 801">
          <a:extLst>
            <a:ext uri="{FF2B5EF4-FFF2-40B4-BE49-F238E27FC236}">
              <a16:creationId xmlns:a16="http://schemas.microsoft.com/office/drawing/2014/main" id="{308F0BD4-4515-4EF5-923C-251CD13D7A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5" name="TextBox 802">
          <a:extLst>
            <a:ext uri="{FF2B5EF4-FFF2-40B4-BE49-F238E27FC236}">
              <a16:creationId xmlns:a16="http://schemas.microsoft.com/office/drawing/2014/main" id="{C2E85EED-17B6-4E45-95A3-B84E8B7F73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6" name="TextBox 15">
          <a:extLst>
            <a:ext uri="{FF2B5EF4-FFF2-40B4-BE49-F238E27FC236}">
              <a16:creationId xmlns:a16="http://schemas.microsoft.com/office/drawing/2014/main" id="{6AC36981-B428-4D7D-937A-EB9CDA339B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7" name="TextBox 16">
          <a:extLst>
            <a:ext uri="{FF2B5EF4-FFF2-40B4-BE49-F238E27FC236}">
              <a16:creationId xmlns:a16="http://schemas.microsoft.com/office/drawing/2014/main" id="{BC0B06F7-35B3-486E-8916-D55E7D75B5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8" name="TextBox 17">
          <a:extLst>
            <a:ext uri="{FF2B5EF4-FFF2-40B4-BE49-F238E27FC236}">
              <a16:creationId xmlns:a16="http://schemas.microsoft.com/office/drawing/2014/main" id="{1565A122-C5DC-4CDB-A953-1475DA5CEB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19" name="TextBox 18">
          <a:extLst>
            <a:ext uri="{FF2B5EF4-FFF2-40B4-BE49-F238E27FC236}">
              <a16:creationId xmlns:a16="http://schemas.microsoft.com/office/drawing/2014/main" id="{BA27FD5B-B55D-4C88-8A38-F90C6010DE0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0" name="TextBox 807">
          <a:extLst>
            <a:ext uri="{FF2B5EF4-FFF2-40B4-BE49-F238E27FC236}">
              <a16:creationId xmlns:a16="http://schemas.microsoft.com/office/drawing/2014/main" id="{603CB399-6039-4C4B-8F6A-8AEA79AEF5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1" name="TextBox 808">
          <a:extLst>
            <a:ext uri="{FF2B5EF4-FFF2-40B4-BE49-F238E27FC236}">
              <a16:creationId xmlns:a16="http://schemas.microsoft.com/office/drawing/2014/main" id="{97FD04D8-5338-444D-95D0-B148B8873D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2" name="TextBox 1">
          <a:extLst>
            <a:ext uri="{FF2B5EF4-FFF2-40B4-BE49-F238E27FC236}">
              <a16:creationId xmlns:a16="http://schemas.microsoft.com/office/drawing/2014/main" id="{097C6A57-6119-480A-A3A9-16146C2914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3" name="TextBox 3">
          <a:extLst>
            <a:ext uri="{FF2B5EF4-FFF2-40B4-BE49-F238E27FC236}">
              <a16:creationId xmlns:a16="http://schemas.microsoft.com/office/drawing/2014/main" id="{D2537C42-E171-4B40-BB53-336EA6FD18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4" name="TextBox 811">
          <a:extLst>
            <a:ext uri="{FF2B5EF4-FFF2-40B4-BE49-F238E27FC236}">
              <a16:creationId xmlns:a16="http://schemas.microsoft.com/office/drawing/2014/main" id="{8C71808B-FAA8-459B-AD09-2662B7E9B6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5" name="TextBox 812">
          <a:extLst>
            <a:ext uri="{FF2B5EF4-FFF2-40B4-BE49-F238E27FC236}">
              <a16:creationId xmlns:a16="http://schemas.microsoft.com/office/drawing/2014/main" id="{05EF2A33-55B7-4711-9270-635FD893A5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6" name="TextBox 813">
          <a:extLst>
            <a:ext uri="{FF2B5EF4-FFF2-40B4-BE49-F238E27FC236}">
              <a16:creationId xmlns:a16="http://schemas.microsoft.com/office/drawing/2014/main" id="{9BE78A3B-8D85-4D5D-972D-592A52A3CA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7" name="TextBox 814">
          <a:extLst>
            <a:ext uri="{FF2B5EF4-FFF2-40B4-BE49-F238E27FC236}">
              <a16:creationId xmlns:a16="http://schemas.microsoft.com/office/drawing/2014/main" id="{C763DFD7-759F-4666-A187-56D1FFE0DA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8" name="TextBox 815">
          <a:extLst>
            <a:ext uri="{FF2B5EF4-FFF2-40B4-BE49-F238E27FC236}">
              <a16:creationId xmlns:a16="http://schemas.microsoft.com/office/drawing/2014/main" id="{A5B18E9D-9441-4018-809B-AB23560C75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29" name="TextBox 816">
          <a:extLst>
            <a:ext uri="{FF2B5EF4-FFF2-40B4-BE49-F238E27FC236}">
              <a16:creationId xmlns:a16="http://schemas.microsoft.com/office/drawing/2014/main" id="{6B3CF541-19B4-4418-9FC2-E0DB20F2BA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0" name="TextBox 817">
          <a:extLst>
            <a:ext uri="{FF2B5EF4-FFF2-40B4-BE49-F238E27FC236}">
              <a16:creationId xmlns:a16="http://schemas.microsoft.com/office/drawing/2014/main" id="{C94A94E9-380B-4658-8F99-D6F8713C10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1" name="TextBox 818">
          <a:extLst>
            <a:ext uri="{FF2B5EF4-FFF2-40B4-BE49-F238E27FC236}">
              <a16:creationId xmlns:a16="http://schemas.microsoft.com/office/drawing/2014/main" id="{1403A52F-DDD1-4383-BAF5-80F73DF756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2" name="TextBox 819">
          <a:extLst>
            <a:ext uri="{FF2B5EF4-FFF2-40B4-BE49-F238E27FC236}">
              <a16:creationId xmlns:a16="http://schemas.microsoft.com/office/drawing/2014/main" id="{861EB357-DCEA-4DCF-AC95-B98CBFA1FA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3" name="TextBox 820">
          <a:extLst>
            <a:ext uri="{FF2B5EF4-FFF2-40B4-BE49-F238E27FC236}">
              <a16:creationId xmlns:a16="http://schemas.microsoft.com/office/drawing/2014/main" id="{BD79B227-23A2-4759-A9BD-5D200BEBEB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4" name="TextBox 13">
          <a:extLst>
            <a:ext uri="{FF2B5EF4-FFF2-40B4-BE49-F238E27FC236}">
              <a16:creationId xmlns:a16="http://schemas.microsoft.com/office/drawing/2014/main" id="{104379EC-A1CA-431E-8651-F502246610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5" name="TextBox 14">
          <a:extLst>
            <a:ext uri="{FF2B5EF4-FFF2-40B4-BE49-F238E27FC236}">
              <a16:creationId xmlns:a16="http://schemas.microsoft.com/office/drawing/2014/main" id="{AAD2CFD4-87AE-4303-A125-0C0AE0A3CF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6" name="TextBox 823">
          <a:extLst>
            <a:ext uri="{FF2B5EF4-FFF2-40B4-BE49-F238E27FC236}">
              <a16:creationId xmlns:a16="http://schemas.microsoft.com/office/drawing/2014/main" id="{7DDBFF6D-B100-408F-A1BC-866FB876EF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7" name="TextBox 824">
          <a:extLst>
            <a:ext uri="{FF2B5EF4-FFF2-40B4-BE49-F238E27FC236}">
              <a16:creationId xmlns:a16="http://schemas.microsoft.com/office/drawing/2014/main" id="{274BC42B-A065-4800-8DEC-B0ECF4A9CA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8" name="TextBox 825">
          <a:extLst>
            <a:ext uri="{FF2B5EF4-FFF2-40B4-BE49-F238E27FC236}">
              <a16:creationId xmlns:a16="http://schemas.microsoft.com/office/drawing/2014/main" id="{F0EFA060-6DF6-4FD5-B023-A2176F9FEC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39" name="TextBox 826">
          <a:extLst>
            <a:ext uri="{FF2B5EF4-FFF2-40B4-BE49-F238E27FC236}">
              <a16:creationId xmlns:a16="http://schemas.microsoft.com/office/drawing/2014/main" id="{354FECC1-89D0-4304-8ECF-3B9F887A20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0" name="TextBox 15">
          <a:extLst>
            <a:ext uri="{FF2B5EF4-FFF2-40B4-BE49-F238E27FC236}">
              <a16:creationId xmlns:a16="http://schemas.microsoft.com/office/drawing/2014/main" id="{D095BB07-DA04-4FBB-915B-487988A9CE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1" name="TextBox 16">
          <a:extLst>
            <a:ext uri="{FF2B5EF4-FFF2-40B4-BE49-F238E27FC236}">
              <a16:creationId xmlns:a16="http://schemas.microsoft.com/office/drawing/2014/main" id="{92921F5F-9A9C-45FC-B3AE-7139D56268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2" name="TextBox 17">
          <a:extLst>
            <a:ext uri="{FF2B5EF4-FFF2-40B4-BE49-F238E27FC236}">
              <a16:creationId xmlns:a16="http://schemas.microsoft.com/office/drawing/2014/main" id="{D56785AD-A516-46A5-8432-6BED5824BB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3" name="TextBox 18">
          <a:extLst>
            <a:ext uri="{FF2B5EF4-FFF2-40B4-BE49-F238E27FC236}">
              <a16:creationId xmlns:a16="http://schemas.microsoft.com/office/drawing/2014/main" id="{BFA00695-6102-4B87-9678-38EFC35D77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4" name="TextBox 831">
          <a:extLst>
            <a:ext uri="{FF2B5EF4-FFF2-40B4-BE49-F238E27FC236}">
              <a16:creationId xmlns:a16="http://schemas.microsoft.com/office/drawing/2014/main" id="{5FAE8E48-5F88-43C4-8327-C453389B1C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5" name="TextBox 832">
          <a:extLst>
            <a:ext uri="{FF2B5EF4-FFF2-40B4-BE49-F238E27FC236}">
              <a16:creationId xmlns:a16="http://schemas.microsoft.com/office/drawing/2014/main" id="{70723326-1B16-42F7-901C-EF788EDC58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6" name="TextBox 1">
          <a:extLst>
            <a:ext uri="{FF2B5EF4-FFF2-40B4-BE49-F238E27FC236}">
              <a16:creationId xmlns:a16="http://schemas.microsoft.com/office/drawing/2014/main" id="{299E251C-EFBD-4153-8098-24F90E8D80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7" name="TextBox 3">
          <a:extLst>
            <a:ext uri="{FF2B5EF4-FFF2-40B4-BE49-F238E27FC236}">
              <a16:creationId xmlns:a16="http://schemas.microsoft.com/office/drawing/2014/main" id="{133E21FA-BDB0-40CC-9D51-100AA32792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8" name="TextBox 835">
          <a:extLst>
            <a:ext uri="{FF2B5EF4-FFF2-40B4-BE49-F238E27FC236}">
              <a16:creationId xmlns:a16="http://schemas.microsoft.com/office/drawing/2014/main" id="{1595DE6B-7F58-4D24-9F5B-B2AC81B026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49" name="TextBox 836">
          <a:extLst>
            <a:ext uri="{FF2B5EF4-FFF2-40B4-BE49-F238E27FC236}">
              <a16:creationId xmlns:a16="http://schemas.microsoft.com/office/drawing/2014/main" id="{8B8F8F6B-FF68-4088-8922-84C35782F0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0" name="TextBox 837">
          <a:extLst>
            <a:ext uri="{FF2B5EF4-FFF2-40B4-BE49-F238E27FC236}">
              <a16:creationId xmlns:a16="http://schemas.microsoft.com/office/drawing/2014/main" id="{9F0EF76A-EC57-4A0E-B550-46A7B61A88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1" name="TextBox 838">
          <a:extLst>
            <a:ext uri="{FF2B5EF4-FFF2-40B4-BE49-F238E27FC236}">
              <a16:creationId xmlns:a16="http://schemas.microsoft.com/office/drawing/2014/main" id="{D360AED9-5EFD-4A48-8771-7A247CEA10E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2" name="TextBox 839">
          <a:extLst>
            <a:ext uri="{FF2B5EF4-FFF2-40B4-BE49-F238E27FC236}">
              <a16:creationId xmlns:a16="http://schemas.microsoft.com/office/drawing/2014/main" id="{11919A98-0938-4453-9CDC-75B1EFB101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3" name="TextBox 840">
          <a:extLst>
            <a:ext uri="{FF2B5EF4-FFF2-40B4-BE49-F238E27FC236}">
              <a16:creationId xmlns:a16="http://schemas.microsoft.com/office/drawing/2014/main" id="{1A736F24-05F3-42B4-9FD6-4CD3891EFC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4" name="TextBox 841">
          <a:extLst>
            <a:ext uri="{FF2B5EF4-FFF2-40B4-BE49-F238E27FC236}">
              <a16:creationId xmlns:a16="http://schemas.microsoft.com/office/drawing/2014/main" id="{6FF4ABCA-DC54-4691-BBA6-5D647999B1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5" name="TextBox 842">
          <a:extLst>
            <a:ext uri="{FF2B5EF4-FFF2-40B4-BE49-F238E27FC236}">
              <a16:creationId xmlns:a16="http://schemas.microsoft.com/office/drawing/2014/main" id="{EBA8AA55-E465-4657-A10B-DB77382151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6" name="TextBox 843">
          <a:extLst>
            <a:ext uri="{FF2B5EF4-FFF2-40B4-BE49-F238E27FC236}">
              <a16:creationId xmlns:a16="http://schemas.microsoft.com/office/drawing/2014/main" id="{1DA2AFF3-06B9-4186-AACA-7BD7A6E05F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7" name="TextBox 844">
          <a:extLst>
            <a:ext uri="{FF2B5EF4-FFF2-40B4-BE49-F238E27FC236}">
              <a16:creationId xmlns:a16="http://schemas.microsoft.com/office/drawing/2014/main" id="{5FDDE8B8-FC62-40CA-B757-31E387001F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8" name="TextBox 13">
          <a:extLst>
            <a:ext uri="{FF2B5EF4-FFF2-40B4-BE49-F238E27FC236}">
              <a16:creationId xmlns:a16="http://schemas.microsoft.com/office/drawing/2014/main" id="{3F0C1273-B74D-4D55-B11A-344EEC01E7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59" name="TextBox 14">
          <a:extLst>
            <a:ext uri="{FF2B5EF4-FFF2-40B4-BE49-F238E27FC236}">
              <a16:creationId xmlns:a16="http://schemas.microsoft.com/office/drawing/2014/main" id="{36A4F28A-6DD2-4F6D-A838-12D58785A7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0" name="TextBox 847">
          <a:extLst>
            <a:ext uri="{FF2B5EF4-FFF2-40B4-BE49-F238E27FC236}">
              <a16:creationId xmlns:a16="http://schemas.microsoft.com/office/drawing/2014/main" id="{195B1468-600A-4E5C-B2F5-CE5E31D2BF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1" name="TextBox 848">
          <a:extLst>
            <a:ext uri="{FF2B5EF4-FFF2-40B4-BE49-F238E27FC236}">
              <a16:creationId xmlns:a16="http://schemas.microsoft.com/office/drawing/2014/main" id="{B0CE81B6-857A-4440-AE6C-C579369F6E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2" name="TextBox 849">
          <a:extLst>
            <a:ext uri="{FF2B5EF4-FFF2-40B4-BE49-F238E27FC236}">
              <a16:creationId xmlns:a16="http://schemas.microsoft.com/office/drawing/2014/main" id="{837A1ACC-D77D-42E9-BF7E-797B39E084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3" name="TextBox 850">
          <a:extLst>
            <a:ext uri="{FF2B5EF4-FFF2-40B4-BE49-F238E27FC236}">
              <a16:creationId xmlns:a16="http://schemas.microsoft.com/office/drawing/2014/main" id="{317609AF-2564-4B7E-B4AA-5B1043170D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4" name="TextBox 15">
          <a:extLst>
            <a:ext uri="{FF2B5EF4-FFF2-40B4-BE49-F238E27FC236}">
              <a16:creationId xmlns:a16="http://schemas.microsoft.com/office/drawing/2014/main" id="{D20E5847-0E14-44B5-A899-18A52AFF0C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5" name="TextBox 16">
          <a:extLst>
            <a:ext uri="{FF2B5EF4-FFF2-40B4-BE49-F238E27FC236}">
              <a16:creationId xmlns:a16="http://schemas.microsoft.com/office/drawing/2014/main" id="{1F045C4A-9AE8-4AE9-8C64-9006C5D738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6" name="TextBox 17">
          <a:extLst>
            <a:ext uri="{FF2B5EF4-FFF2-40B4-BE49-F238E27FC236}">
              <a16:creationId xmlns:a16="http://schemas.microsoft.com/office/drawing/2014/main" id="{8ACF9D44-1652-4639-83FC-B24C527325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7" name="TextBox 18">
          <a:extLst>
            <a:ext uri="{FF2B5EF4-FFF2-40B4-BE49-F238E27FC236}">
              <a16:creationId xmlns:a16="http://schemas.microsoft.com/office/drawing/2014/main" id="{23FCD4AF-8379-4C0B-A8BE-ECB3E2A4EB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8" name="TextBox 855">
          <a:extLst>
            <a:ext uri="{FF2B5EF4-FFF2-40B4-BE49-F238E27FC236}">
              <a16:creationId xmlns:a16="http://schemas.microsoft.com/office/drawing/2014/main" id="{296F1576-AC5A-4D3A-A4BD-79ADF28CC79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69" name="TextBox 856">
          <a:extLst>
            <a:ext uri="{FF2B5EF4-FFF2-40B4-BE49-F238E27FC236}">
              <a16:creationId xmlns:a16="http://schemas.microsoft.com/office/drawing/2014/main" id="{1662F0EB-5656-4FAC-8954-E7994C0078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0" name="TextBox 1">
          <a:extLst>
            <a:ext uri="{FF2B5EF4-FFF2-40B4-BE49-F238E27FC236}">
              <a16:creationId xmlns:a16="http://schemas.microsoft.com/office/drawing/2014/main" id="{7C52491E-42A9-4560-9863-6396856948D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1" name="TextBox 3">
          <a:extLst>
            <a:ext uri="{FF2B5EF4-FFF2-40B4-BE49-F238E27FC236}">
              <a16:creationId xmlns:a16="http://schemas.microsoft.com/office/drawing/2014/main" id="{D223C8D1-2394-473D-9DE8-4C26B6796D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2" name="TextBox 859">
          <a:extLst>
            <a:ext uri="{FF2B5EF4-FFF2-40B4-BE49-F238E27FC236}">
              <a16:creationId xmlns:a16="http://schemas.microsoft.com/office/drawing/2014/main" id="{044937D9-8778-44E8-A3D8-300658EB63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3" name="TextBox 860">
          <a:extLst>
            <a:ext uri="{FF2B5EF4-FFF2-40B4-BE49-F238E27FC236}">
              <a16:creationId xmlns:a16="http://schemas.microsoft.com/office/drawing/2014/main" id="{91FC9F99-AEB6-4C2F-80B6-DB06F81354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4" name="TextBox 861">
          <a:extLst>
            <a:ext uri="{FF2B5EF4-FFF2-40B4-BE49-F238E27FC236}">
              <a16:creationId xmlns:a16="http://schemas.microsoft.com/office/drawing/2014/main" id="{4A84E23A-C8E9-4C5F-98E3-72DCBA7001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5" name="TextBox 862">
          <a:extLst>
            <a:ext uri="{FF2B5EF4-FFF2-40B4-BE49-F238E27FC236}">
              <a16:creationId xmlns:a16="http://schemas.microsoft.com/office/drawing/2014/main" id="{91A22617-A16E-49B2-BAEE-3CA9D333E4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6" name="TextBox 863">
          <a:extLst>
            <a:ext uri="{FF2B5EF4-FFF2-40B4-BE49-F238E27FC236}">
              <a16:creationId xmlns:a16="http://schemas.microsoft.com/office/drawing/2014/main" id="{C0813A7F-BB33-49BD-9C64-64B992556E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7" name="TextBox 864">
          <a:extLst>
            <a:ext uri="{FF2B5EF4-FFF2-40B4-BE49-F238E27FC236}">
              <a16:creationId xmlns:a16="http://schemas.microsoft.com/office/drawing/2014/main" id="{7C5D46A9-6E97-4DB0-98E9-FED2F1812C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8" name="TextBox 865">
          <a:extLst>
            <a:ext uri="{FF2B5EF4-FFF2-40B4-BE49-F238E27FC236}">
              <a16:creationId xmlns:a16="http://schemas.microsoft.com/office/drawing/2014/main" id="{085AC9E4-3F39-4267-AC71-3B7F2F7E05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79" name="TextBox 866">
          <a:extLst>
            <a:ext uri="{FF2B5EF4-FFF2-40B4-BE49-F238E27FC236}">
              <a16:creationId xmlns:a16="http://schemas.microsoft.com/office/drawing/2014/main" id="{63636D57-6CC9-4CDE-9EF0-9799152862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0" name="TextBox 867">
          <a:extLst>
            <a:ext uri="{FF2B5EF4-FFF2-40B4-BE49-F238E27FC236}">
              <a16:creationId xmlns:a16="http://schemas.microsoft.com/office/drawing/2014/main" id="{1C2F182D-174B-43A1-B4F3-0CFC2DFB0A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1" name="TextBox 868">
          <a:extLst>
            <a:ext uri="{FF2B5EF4-FFF2-40B4-BE49-F238E27FC236}">
              <a16:creationId xmlns:a16="http://schemas.microsoft.com/office/drawing/2014/main" id="{ECC5AF01-C048-4C9F-A299-5ECD8C1327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2" name="TextBox 13">
          <a:extLst>
            <a:ext uri="{FF2B5EF4-FFF2-40B4-BE49-F238E27FC236}">
              <a16:creationId xmlns:a16="http://schemas.microsoft.com/office/drawing/2014/main" id="{21D7E7E3-085B-427F-B85B-795AFCC86D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3" name="TextBox 14">
          <a:extLst>
            <a:ext uri="{FF2B5EF4-FFF2-40B4-BE49-F238E27FC236}">
              <a16:creationId xmlns:a16="http://schemas.microsoft.com/office/drawing/2014/main" id="{3D815F6D-CF61-4C08-A9F8-D12BDB94AC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4" name="TextBox 871">
          <a:extLst>
            <a:ext uri="{FF2B5EF4-FFF2-40B4-BE49-F238E27FC236}">
              <a16:creationId xmlns:a16="http://schemas.microsoft.com/office/drawing/2014/main" id="{4F4B133B-0387-4889-A7EF-BE2F77A984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5" name="TextBox 872">
          <a:extLst>
            <a:ext uri="{FF2B5EF4-FFF2-40B4-BE49-F238E27FC236}">
              <a16:creationId xmlns:a16="http://schemas.microsoft.com/office/drawing/2014/main" id="{98BB4F89-829B-4DA1-8A62-0340360AB1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6" name="TextBox 873">
          <a:extLst>
            <a:ext uri="{FF2B5EF4-FFF2-40B4-BE49-F238E27FC236}">
              <a16:creationId xmlns:a16="http://schemas.microsoft.com/office/drawing/2014/main" id="{C93920BF-5DB7-45C3-BAB3-66353BE6CD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7" name="TextBox 874">
          <a:extLst>
            <a:ext uri="{FF2B5EF4-FFF2-40B4-BE49-F238E27FC236}">
              <a16:creationId xmlns:a16="http://schemas.microsoft.com/office/drawing/2014/main" id="{5D23903B-CCB8-4E17-94A7-51C7260B6A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8" name="TextBox 15">
          <a:extLst>
            <a:ext uri="{FF2B5EF4-FFF2-40B4-BE49-F238E27FC236}">
              <a16:creationId xmlns:a16="http://schemas.microsoft.com/office/drawing/2014/main" id="{422893F1-1696-4619-93E4-A974E0F6E9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89" name="TextBox 16">
          <a:extLst>
            <a:ext uri="{FF2B5EF4-FFF2-40B4-BE49-F238E27FC236}">
              <a16:creationId xmlns:a16="http://schemas.microsoft.com/office/drawing/2014/main" id="{1574D566-B12E-48BA-B092-3876C3179F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0" name="TextBox 17">
          <a:extLst>
            <a:ext uri="{FF2B5EF4-FFF2-40B4-BE49-F238E27FC236}">
              <a16:creationId xmlns:a16="http://schemas.microsoft.com/office/drawing/2014/main" id="{B16E9C92-8C92-4A09-B3DB-256E526EB2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1" name="TextBox 18">
          <a:extLst>
            <a:ext uri="{FF2B5EF4-FFF2-40B4-BE49-F238E27FC236}">
              <a16:creationId xmlns:a16="http://schemas.microsoft.com/office/drawing/2014/main" id="{6EB70C5C-51A1-4C96-90BE-4EBF60D672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2" name="TextBox 879">
          <a:extLst>
            <a:ext uri="{FF2B5EF4-FFF2-40B4-BE49-F238E27FC236}">
              <a16:creationId xmlns:a16="http://schemas.microsoft.com/office/drawing/2014/main" id="{CA626B81-2B47-4C40-92A8-57F4C8AFCB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3" name="TextBox 880">
          <a:extLst>
            <a:ext uri="{FF2B5EF4-FFF2-40B4-BE49-F238E27FC236}">
              <a16:creationId xmlns:a16="http://schemas.microsoft.com/office/drawing/2014/main" id="{A32B8D29-5E54-447B-BDC6-31DF6372A6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4" name="TextBox 1">
          <a:extLst>
            <a:ext uri="{FF2B5EF4-FFF2-40B4-BE49-F238E27FC236}">
              <a16:creationId xmlns:a16="http://schemas.microsoft.com/office/drawing/2014/main" id="{67EEF6FC-82C0-47A7-B5D7-015601750F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5" name="TextBox 3">
          <a:extLst>
            <a:ext uri="{FF2B5EF4-FFF2-40B4-BE49-F238E27FC236}">
              <a16:creationId xmlns:a16="http://schemas.microsoft.com/office/drawing/2014/main" id="{2DA1E290-762D-48D9-BB08-338A1CC4BE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6" name="TextBox 883">
          <a:extLst>
            <a:ext uri="{FF2B5EF4-FFF2-40B4-BE49-F238E27FC236}">
              <a16:creationId xmlns:a16="http://schemas.microsoft.com/office/drawing/2014/main" id="{0DBC3052-4E63-42F1-9D55-139E0FED28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7" name="TextBox 884">
          <a:extLst>
            <a:ext uri="{FF2B5EF4-FFF2-40B4-BE49-F238E27FC236}">
              <a16:creationId xmlns:a16="http://schemas.microsoft.com/office/drawing/2014/main" id="{372E3CE7-B3CD-4C20-B7BA-95545B3C1B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8" name="TextBox 885">
          <a:extLst>
            <a:ext uri="{FF2B5EF4-FFF2-40B4-BE49-F238E27FC236}">
              <a16:creationId xmlns:a16="http://schemas.microsoft.com/office/drawing/2014/main" id="{77BE39F5-AEDA-4AEB-BE8A-06709BB84F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299" name="TextBox 886">
          <a:extLst>
            <a:ext uri="{FF2B5EF4-FFF2-40B4-BE49-F238E27FC236}">
              <a16:creationId xmlns:a16="http://schemas.microsoft.com/office/drawing/2014/main" id="{178120BD-837B-45FC-9AF2-6B91806A62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0" name="TextBox 887">
          <a:extLst>
            <a:ext uri="{FF2B5EF4-FFF2-40B4-BE49-F238E27FC236}">
              <a16:creationId xmlns:a16="http://schemas.microsoft.com/office/drawing/2014/main" id="{90D518DD-42A5-4700-81F0-2DB9506D34C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1" name="TextBox 888">
          <a:extLst>
            <a:ext uri="{FF2B5EF4-FFF2-40B4-BE49-F238E27FC236}">
              <a16:creationId xmlns:a16="http://schemas.microsoft.com/office/drawing/2014/main" id="{80F50606-4D3A-403E-A144-49103BE3E7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2" name="TextBox 889">
          <a:extLst>
            <a:ext uri="{FF2B5EF4-FFF2-40B4-BE49-F238E27FC236}">
              <a16:creationId xmlns:a16="http://schemas.microsoft.com/office/drawing/2014/main" id="{0DAF0E4C-71F1-4095-962F-B660B4744E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3" name="TextBox 890">
          <a:extLst>
            <a:ext uri="{FF2B5EF4-FFF2-40B4-BE49-F238E27FC236}">
              <a16:creationId xmlns:a16="http://schemas.microsoft.com/office/drawing/2014/main" id="{C3C18196-FE40-4A8A-8B98-BA6D8D3DD9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4" name="TextBox 891">
          <a:extLst>
            <a:ext uri="{FF2B5EF4-FFF2-40B4-BE49-F238E27FC236}">
              <a16:creationId xmlns:a16="http://schemas.microsoft.com/office/drawing/2014/main" id="{2309D333-E941-42AD-869D-79F4112839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5" name="TextBox 892">
          <a:extLst>
            <a:ext uri="{FF2B5EF4-FFF2-40B4-BE49-F238E27FC236}">
              <a16:creationId xmlns:a16="http://schemas.microsoft.com/office/drawing/2014/main" id="{BC19BA78-3278-410A-81B1-2CE2E4D57D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6" name="TextBox 13">
          <a:extLst>
            <a:ext uri="{FF2B5EF4-FFF2-40B4-BE49-F238E27FC236}">
              <a16:creationId xmlns:a16="http://schemas.microsoft.com/office/drawing/2014/main" id="{9E1E1205-ECA5-45AF-98B9-7542EBF368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7" name="TextBox 14">
          <a:extLst>
            <a:ext uri="{FF2B5EF4-FFF2-40B4-BE49-F238E27FC236}">
              <a16:creationId xmlns:a16="http://schemas.microsoft.com/office/drawing/2014/main" id="{FF97D36E-FA56-4384-80AF-2641BC72E2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8" name="TextBox 895">
          <a:extLst>
            <a:ext uri="{FF2B5EF4-FFF2-40B4-BE49-F238E27FC236}">
              <a16:creationId xmlns:a16="http://schemas.microsoft.com/office/drawing/2014/main" id="{0DF3BC52-403F-481A-B857-875C9C59ED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09" name="TextBox 896">
          <a:extLst>
            <a:ext uri="{FF2B5EF4-FFF2-40B4-BE49-F238E27FC236}">
              <a16:creationId xmlns:a16="http://schemas.microsoft.com/office/drawing/2014/main" id="{16A898DE-FD3E-4DAB-9542-D1A0B38F1D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0" name="TextBox 897">
          <a:extLst>
            <a:ext uri="{FF2B5EF4-FFF2-40B4-BE49-F238E27FC236}">
              <a16:creationId xmlns:a16="http://schemas.microsoft.com/office/drawing/2014/main" id="{B172A87E-5B9A-462F-8A4F-D3C6E39C23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1" name="TextBox 898">
          <a:extLst>
            <a:ext uri="{FF2B5EF4-FFF2-40B4-BE49-F238E27FC236}">
              <a16:creationId xmlns:a16="http://schemas.microsoft.com/office/drawing/2014/main" id="{28CD11F7-1A35-46A0-AFA1-58FB7E0F02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2" name="TextBox 15">
          <a:extLst>
            <a:ext uri="{FF2B5EF4-FFF2-40B4-BE49-F238E27FC236}">
              <a16:creationId xmlns:a16="http://schemas.microsoft.com/office/drawing/2014/main" id="{AB4F7EE0-BE50-4023-9398-5DDDC1C3D6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3" name="TextBox 16">
          <a:extLst>
            <a:ext uri="{FF2B5EF4-FFF2-40B4-BE49-F238E27FC236}">
              <a16:creationId xmlns:a16="http://schemas.microsoft.com/office/drawing/2014/main" id="{CB04111A-9E02-45FE-A1B8-AFD9F2F09B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4" name="TextBox 17">
          <a:extLst>
            <a:ext uri="{FF2B5EF4-FFF2-40B4-BE49-F238E27FC236}">
              <a16:creationId xmlns:a16="http://schemas.microsoft.com/office/drawing/2014/main" id="{7B34E372-F4E1-48AE-8BC9-D6651199A1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5" name="TextBox 18">
          <a:extLst>
            <a:ext uri="{FF2B5EF4-FFF2-40B4-BE49-F238E27FC236}">
              <a16:creationId xmlns:a16="http://schemas.microsoft.com/office/drawing/2014/main" id="{C81193B6-B521-4E5B-8C0F-9791D151D5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6" name="TextBox 903">
          <a:extLst>
            <a:ext uri="{FF2B5EF4-FFF2-40B4-BE49-F238E27FC236}">
              <a16:creationId xmlns:a16="http://schemas.microsoft.com/office/drawing/2014/main" id="{BE32327B-2C15-43DE-AE43-BD06C6FC4A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7" name="TextBox 904">
          <a:extLst>
            <a:ext uri="{FF2B5EF4-FFF2-40B4-BE49-F238E27FC236}">
              <a16:creationId xmlns:a16="http://schemas.microsoft.com/office/drawing/2014/main" id="{EFA54571-EB89-4A10-9C61-92198F2983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8" name="TextBox 1">
          <a:extLst>
            <a:ext uri="{FF2B5EF4-FFF2-40B4-BE49-F238E27FC236}">
              <a16:creationId xmlns:a16="http://schemas.microsoft.com/office/drawing/2014/main" id="{9D81DA5D-326E-4404-8C45-23AC5D3830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19" name="TextBox 3">
          <a:extLst>
            <a:ext uri="{FF2B5EF4-FFF2-40B4-BE49-F238E27FC236}">
              <a16:creationId xmlns:a16="http://schemas.microsoft.com/office/drawing/2014/main" id="{D227961A-A4AE-4C75-9E4B-BD363BD56F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0" name="TextBox 907">
          <a:extLst>
            <a:ext uri="{FF2B5EF4-FFF2-40B4-BE49-F238E27FC236}">
              <a16:creationId xmlns:a16="http://schemas.microsoft.com/office/drawing/2014/main" id="{CFE83B41-C11B-4D2E-90B3-599E8314D9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1" name="TextBox 908">
          <a:extLst>
            <a:ext uri="{FF2B5EF4-FFF2-40B4-BE49-F238E27FC236}">
              <a16:creationId xmlns:a16="http://schemas.microsoft.com/office/drawing/2014/main" id="{B034AF6A-966A-4D68-AE4E-045FFA0EB0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2" name="TextBox 909">
          <a:extLst>
            <a:ext uri="{FF2B5EF4-FFF2-40B4-BE49-F238E27FC236}">
              <a16:creationId xmlns:a16="http://schemas.microsoft.com/office/drawing/2014/main" id="{5FA01389-6BA7-40B5-9937-D7EBFF5C56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3" name="TextBox 910">
          <a:extLst>
            <a:ext uri="{FF2B5EF4-FFF2-40B4-BE49-F238E27FC236}">
              <a16:creationId xmlns:a16="http://schemas.microsoft.com/office/drawing/2014/main" id="{53C49778-15F1-405B-8B21-12AD2F2083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4" name="TextBox 911">
          <a:extLst>
            <a:ext uri="{FF2B5EF4-FFF2-40B4-BE49-F238E27FC236}">
              <a16:creationId xmlns:a16="http://schemas.microsoft.com/office/drawing/2014/main" id="{E99DC2D9-7B45-487F-A11F-2C895F93C5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5" name="TextBox 912">
          <a:extLst>
            <a:ext uri="{FF2B5EF4-FFF2-40B4-BE49-F238E27FC236}">
              <a16:creationId xmlns:a16="http://schemas.microsoft.com/office/drawing/2014/main" id="{E49FAA92-EF69-4035-85B6-E4B9A39922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6" name="TextBox 913">
          <a:extLst>
            <a:ext uri="{FF2B5EF4-FFF2-40B4-BE49-F238E27FC236}">
              <a16:creationId xmlns:a16="http://schemas.microsoft.com/office/drawing/2014/main" id="{CE6490FA-AC74-4584-87F9-FAD8080F89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7" name="TextBox 914">
          <a:extLst>
            <a:ext uri="{FF2B5EF4-FFF2-40B4-BE49-F238E27FC236}">
              <a16:creationId xmlns:a16="http://schemas.microsoft.com/office/drawing/2014/main" id="{DE8E1198-C584-485D-A852-91171C8573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8" name="TextBox 915">
          <a:extLst>
            <a:ext uri="{FF2B5EF4-FFF2-40B4-BE49-F238E27FC236}">
              <a16:creationId xmlns:a16="http://schemas.microsoft.com/office/drawing/2014/main" id="{0DBBCADD-151E-45C1-A103-53593827A8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29" name="TextBox 916">
          <a:extLst>
            <a:ext uri="{FF2B5EF4-FFF2-40B4-BE49-F238E27FC236}">
              <a16:creationId xmlns:a16="http://schemas.microsoft.com/office/drawing/2014/main" id="{E9D8C360-8B9D-4921-8920-F0C7831FC9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0" name="TextBox 13">
          <a:extLst>
            <a:ext uri="{FF2B5EF4-FFF2-40B4-BE49-F238E27FC236}">
              <a16:creationId xmlns:a16="http://schemas.microsoft.com/office/drawing/2014/main" id="{5FA43441-832F-4DA2-AE7A-B23F2DD7D3D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1" name="TextBox 14">
          <a:extLst>
            <a:ext uri="{FF2B5EF4-FFF2-40B4-BE49-F238E27FC236}">
              <a16:creationId xmlns:a16="http://schemas.microsoft.com/office/drawing/2014/main" id="{1B1A39B4-DB08-4721-B2E2-78A452760A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2" name="TextBox 919">
          <a:extLst>
            <a:ext uri="{FF2B5EF4-FFF2-40B4-BE49-F238E27FC236}">
              <a16:creationId xmlns:a16="http://schemas.microsoft.com/office/drawing/2014/main" id="{66BAEE8A-1212-4206-A193-9772A08B84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3" name="TextBox 920">
          <a:extLst>
            <a:ext uri="{FF2B5EF4-FFF2-40B4-BE49-F238E27FC236}">
              <a16:creationId xmlns:a16="http://schemas.microsoft.com/office/drawing/2014/main" id="{1B7C1DC9-EA46-4081-9E3C-BF44E31399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4" name="TextBox 921">
          <a:extLst>
            <a:ext uri="{FF2B5EF4-FFF2-40B4-BE49-F238E27FC236}">
              <a16:creationId xmlns:a16="http://schemas.microsoft.com/office/drawing/2014/main" id="{B46C6773-3DE6-401F-9F46-FB431D72F6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5" name="TextBox 922">
          <a:extLst>
            <a:ext uri="{FF2B5EF4-FFF2-40B4-BE49-F238E27FC236}">
              <a16:creationId xmlns:a16="http://schemas.microsoft.com/office/drawing/2014/main" id="{6E7DA907-A582-4050-BEC5-C2FD3429CF9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6" name="TextBox 15">
          <a:extLst>
            <a:ext uri="{FF2B5EF4-FFF2-40B4-BE49-F238E27FC236}">
              <a16:creationId xmlns:a16="http://schemas.microsoft.com/office/drawing/2014/main" id="{DF1A0F6F-DEF0-418F-8CE3-484A14BB2A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7" name="TextBox 16">
          <a:extLst>
            <a:ext uri="{FF2B5EF4-FFF2-40B4-BE49-F238E27FC236}">
              <a16:creationId xmlns:a16="http://schemas.microsoft.com/office/drawing/2014/main" id="{37B9171F-9A2A-4348-A2E9-D8CAE0E198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8" name="TextBox 17">
          <a:extLst>
            <a:ext uri="{FF2B5EF4-FFF2-40B4-BE49-F238E27FC236}">
              <a16:creationId xmlns:a16="http://schemas.microsoft.com/office/drawing/2014/main" id="{40EF4714-A697-460A-9B6A-F11D14DF3D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39" name="TextBox 18">
          <a:extLst>
            <a:ext uri="{FF2B5EF4-FFF2-40B4-BE49-F238E27FC236}">
              <a16:creationId xmlns:a16="http://schemas.microsoft.com/office/drawing/2014/main" id="{A3CBD722-E7B9-4B5C-A3AE-62CA82A9B6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0" name="TextBox 927">
          <a:extLst>
            <a:ext uri="{FF2B5EF4-FFF2-40B4-BE49-F238E27FC236}">
              <a16:creationId xmlns:a16="http://schemas.microsoft.com/office/drawing/2014/main" id="{94575071-145E-47FF-A9A4-C29EB4313B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1" name="TextBox 928">
          <a:extLst>
            <a:ext uri="{FF2B5EF4-FFF2-40B4-BE49-F238E27FC236}">
              <a16:creationId xmlns:a16="http://schemas.microsoft.com/office/drawing/2014/main" id="{1D6A3AC2-DBB2-4A19-AB9B-A5E291B4B8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2" name="TextBox 1">
          <a:extLst>
            <a:ext uri="{FF2B5EF4-FFF2-40B4-BE49-F238E27FC236}">
              <a16:creationId xmlns:a16="http://schemas.microsoft.com/office/drawing/2014/main" id="{8C6BBDDE-A18D-415A-9ADC-69CCAB7C94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3" name="TextBox 3">
          <a:extLst>
            <a:ext uri="{FF2B5EF4-FFF2-40B4-BE49-F238E27FC236}">
              <a16:creationId xmlns:a16="http://schemas.microsoft.com/office/drawing/2014/main" id="{DBAA3679-C37E-4EE1-8857-2203D636C2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4" name="TextBox 931">
          <a:extLst>
            <a:ext uri="{FF2B5EF4-FFF2-40B4-BE49-F238E27FC236}">
              <a16:creationId xmlns:a16="http://schemas.microsoft.com/office/drawing/2014/main" id="{EFC18768-518D-4543-A906-ADC3911B25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5" name="TextBox 932">
          <a:extLst>
            <a:ext uri="{FF2B5EF4-FFF2-40B4-BE49-F238E27FC236}">
              <a16:creationId xmlns:a16="http://schemas.microsoft.com/office/drawing/2014/main" id="{981E50BC-B098-488B-8D66-1401185109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6" name="TextBox 933">
          <a:extLst>
            <a:ext uri="{FF2B5EF4-FFF2-40B4-BE49-F238E27FC236}">
              <a16:creationId xmlns:a16="http://schemas.microsoft.com/office/drawing/2014/main" id="{5F90F1CA-BB6C-4428-B056-1E92B9C745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7" name="TextBox 934">
          <a:extLst>
            <a:ext uri="{FF2B5EF4-FFF2-40B4-BE49-F238E27FC236}">
              <a16:creationId xmlns:a16="http://schemas.microsoft.com/office/drawing/2014/main" id="{18B32FB9-6FF4-4AA9-9FA3-3BAE010A0C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8" name="TextBox 935">
          <a:extLst>
            <a:ext uri="{FF2B5EF4-FFF2-40B4-BE49-F238E27FC236}">
              <a16:creationId xmlns:a16="http://schemas.microsoft.com/office/drawing/2014/main" id="{6E2AD7DE-4C1A-431F-9FCD-3261B62675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49" name="TextBox 936">
          <a:extLst>
            <a:ext uri="{FF2B5EF4-FFF2-40B4-BE49-F238E27FC236}">
              <a16:creationId xmlns:a16="http://schemas.microsoft.com/office/drawing/2014/main" id="{ECABD865-8AE1-4315-9C43-EA25573AF9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0" name="TextBox 937">
          <a:extLst>
            <a:ext uri="{FF2B5EF4-FFF2-40B4-BE49-F238E27FC236}">
              <a16:creationId xmlns:a16="http://schemas.microsoft.com/office/drawing/2014/main" id="{F35063D7-A05D-4540-836C-592C279F7C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1" name="TextBox 938">
          <a:extLst>
            <a:ext uri="{FF2B5EF4-FFF2-40B4-BE49-F238E27FC236}">
              <a16:creationId xmlns:a16="http://schemas.microsoft.com/office/drawing/2014/main" id="{13108A04-6BE5-48FC-8A76-FA5F44E8E0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2" name="TextBox 939">
          <a:extLst>
            <a:ext uri="{FF2B5EF4-FFF2-40B4-BE49-F238E27FC236}">
              <a16:creationId xmlns:a16="http://schemas.microsoft.com/office/drawing/2014/main" id="{532668CF-DE32-4D5D-BAFD-37A156720A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3" name="TextBox 940">
          <a:extLst>
            <a:ext uri="{FF2B5EF4-FFF2-40B4-BE49-F238E27FC236}">
              <a16:creationId xmlns:a16="http://schemas.microsoft.com/office/drawing/2014/main" id="{3FDB679D-4591-4A2B-AAAB-357CF53EE0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4" name="TextBox 13">
          <a:extLst>
            <a:ext uri="{FF2B5EF4-FFF2-40B4-BE49-F238E27FC236}">
              <a16:creationId xmlns:a16="http://schemas.microsoft.com/office/drawing/2014/main" id="{4A31CB5B-DF1E-4E85-A7C2-D12EE94C3E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5" name="TextBox 14">
          <a:extLst>
            <a:ext uri="{FF2B5EF4-FFF2-40B4-BE49-F238E27FC236}">
              <a16:creationId xmlns:a16="http://schemas.microsoft.com/office/drawing/2014/main" id="{901375A2-5896-41E1-B52A-1F26994450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6" name="TextBox 943">
          <a:extLst>
            <a:ext uri="{FF2B5EF4-FFF2-40B4-BE49-F238E27FC236}">
              <a16:creationId xmlns:a16="http://schemas.microsoft.com/office/drawing/2014/main" id="{D75DD53F-7463-47BA-B85B-45B2184592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7" name="TextBox 944">
          <a:extLst>
            <a:ext uri="{FF2B5EF4-FFF2-40B4-BE49-F238E27FC236}">
              <a16:creationId xmlns:a16="http://schemas.microsoft.com/office/drawing/2014/main" id="{F951BF13-E8C5-459D-BB03-68ECC926A0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8" name="TextBox 945">
          <a:extLst>
            <a:ext uri="{FF2B5EF4-FFF2-40B4-BE49-F238E27FC236}">
              <a16:creationId xmlns:a16="http://schemas.microsoft.com/office/drawing/2014/main" id="{A7E87BB2-6001-4762-8547-AD14302151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59" name="TextBox 946">
          <a:extLst>
            <a:ext uri="{FF2B5EF4-FFF2-40B4-BE49-F238E27FC236}">
              <a16:creationId xmlns:a16="http://schemas.microsoft.com/office/drawing/2014/main" id="{52E3AFAE-6A4F-4E5C-91FA-AB233650BC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0" name="TextBox 15">
          <a:extLst>
            <a:ext uri="{FF2B5EF4-FFF2-40B4-BE49-F238E27FC236}">
              <a16:creationId xmlns:a16="http://schemas.microsoft.com/office/drawing/2014/main" id="{BF55085F-D327-4A8E-8E4A-2D3225B2CFE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1" name="TextBox 16">
          <a:extLst>
            <a:ext uri="{FF2B5EF4-FFF2-40B4-BE49-F238E27FC236}">
              <a16:creationId xmlns:a16="http://schemas.microsoft.com/office/drawing/2014/main" id="{8BD1BAC0-DFE4-46B3-ADB8-F2D4CBBBC2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2" name="TextBox 17">
          <a:extLst>
            <a:ext uri="{FF2B5EF4-FFF2-40B4-BE49-F238E27FC236}">
              <a16:creationId xmlns:a16="http://schemas.microsoft.com/office/drawing/2014/main" id="{7A3C0E97-6826-43D7-8AAF-28A2CF49F4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3" name="TextBox 18">
          <a:extLst>
            <a:ext uri="{FF2B5EF4-FFF2-40B4-BE49-F238E27FC236}">
              <a16:creationId xmlns:a16="http://schemas.microsoft.com/office/drawing/2014/main" id="{FEDF945C-C08E-4647-97CA-6E937280C72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4" name="TextBox 951">
          <a:extLst>
            <a:ext uri="{FF2B5EF4-FFF2-40B4-BE49-F238E27FC236}">
              <a16:creationId xmlns:a16="http://schemas.microsoft.com/office/drawing/2014/main" id="{229AD39C-3A9E-4EB9-A290-91E9CFE3CB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5" name="TextBox 952">
          <a:extLst>
            <a:ext uri="{FF2B5EF4-FFF2-40B4-BE49-F238E27FC236}">
              <a16:creationId xmlns:a16="http://schemas.microsoft.com/office/drawing/2014/main" id="{46652A2A-CCA8-4141-9301-FA6ECE34ED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6" name="TextBox 1">
          <a:extLst>
            <a:ext uri="{FF2B5EF4-FFF2-40B4-BE49-F238E27FC236}">
              <a16:creationId xmlns:a16="http://schemas.microsoft.com/office/drawing/2014/main" id="{7EEB3BB0-BD24-4947-BE1D-22B5DAFA8F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7" name="TextBox 3">
          <a:extLst>
            <a:ext uri="{FF2B5EF4-FFF2-40B4-BE49-F238E27FC236}">
              <a16:creationId xmlns:a16="http://schemas.microsoft.com/office/drawing/2014/main" id="{FFDD5EE3-42B7-41DE-B9D1-62ED7FD2CAE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8" name="TextBox 955">
          <a:extLst>
            <a:ext uri="{FF2B5EF4-FFF2-40B4-BE49-F238E27FC236}">
              <a16:creationId xmlns:a16="http://schemas.microsoft.com/office/drawing/2014/main" id="{B533DB49-4918-41C2-87F9-EEFE17613C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69" name="TextBox 956">
          <a:extLst>
            <a:ext uri="{FF2B5EF4-FFF2-40B4-BE49-F238E27FC236}">
              <a16:creationId xmlns:a16="http://schemas.microsoft.com/office/drawing/2014/main" id="{76CF1A0E-61F4-4F02-9F89-07ED30831F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0" name="TextBox 957">
          <a:extLst>
            <a:ext uri="{FF2B5EF4-FFF2-40B4-BE49-F238E27FC236}">
              <a16:creationId xmlns:a16="http://schemas.microsoft.com/office/drawing/2014/main" id="{E5DB10A8-5F60-4EB8-A2A6-FCE9F7DBB6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1" name="TextBox 958">
          <a:extLst>
            <a:ext uri="{FF2B5EF4-FFF2-40B4-BE49-F238E27FC236}">
              <a16:creationId xmlns:a16="http://schemas.microsoft.com/office/drawing/2014/main" id="{E7F9CF84-A583-4DEC-9B7E-507390D742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2" name="TextBox 959">
          <a:extLst>
            <a:ext uri="{FF2B5EF4-FFF2-40B4-BE49-F238E27FC236}">
              <a16:creationId xmlns:a16="http://schemas.microsoft.com/office/drawing/2014/main" id="{8E08D7FF-E721-4159-89DB-360DB12794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3" name="TextBox 960">
          <a:extLst>
            <a:ext uri="{FF2B5EF4-FFF2-40B4-BE49-F238E27FC236}">
              <a16:creationId xmlns:a16="http://schemas.microsoft.com/office/drawing/2014/main" id="{B43307F8-4CA6-448A-B74A-ED3D21C6535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4" name="TextBox 961">
          <a:extLst>
            <a:ext uri="{FF2B5EF4-FFF2-40B4-BE49-F238E27FC236}">
              <a16:creationId xmlns:a16="http://schemas.microsoft.com/office/drawing/2014/main" id="{1AE36098-0B08-4F23-A377-7CB2FF4E64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5" name="TextBox 962">
          <a:extLst>
            <a:ext uri="{FF2B5EF4-FFF2-40B4-BE49-F238E27FC236}">
              <a16:creationId xmlns:a16="http://schemas.microsoft.com/office/drawing/2014/main" id="{69916CE9-6A79-4D06-9F54-168578459A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6" name="TextBox 963">
          <a:extLst>
            <a:ext uri="{FF2B5EF4-FFF2-40B4-BE49-F238E27FC236}">
              <a16:creationId xmlns:a16="http://schemas.microsoft.com/office/drawing/2014/main" id="{CC9047D2-F0BE-4137-A8E3-D9FE8F4831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7" name="TextBox 964">
          <a:extLst>
            <a:ext uri="{FF2B5EF4-FFF2-40B4-BE49-F238E27FC236}">
              <a16:creationId xmlns:a16="http://schemas.microsoft.com/office/drawing/2014/main" id="{6229E544-074D-4188-89BE-EAA5710482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8" name="TextBox 13">
          <a:extLst>
            <a:ext uri="{FF2B5EF4-FFF2-40B4-BE49-F238E27FC236}">
              <a16:creationId xmlns:a16="http://schemas.microsoft.com/office/drawing/2014/main" id="{B335A456-37E3-4AD9-A133-AE13808FF3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79" name="TextBox 14">
          <a:extLst>
            <a:ext uri="{FF2B5EF4-FFF2-40B4-BE49-F238E27FC236}">
              <a16:creationId xmlns:a16="http://schemas.microsoft.com/office/drawing/2014/main" id="{C88E6E5D-4CA7-49FE-8574-AC8C99D997C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0" name="TextBox 967">
          <a:extLst>
            <a:ext uri="{FF2B5EF4-FFF2-40B4-BE49-F238E27FC236}">
              <a16:creationId xmlns:a16="http://schemas.microsoft.com/office/drawing/2014/main" id="{73966CD3-635F-4971-A950-CC90019CF7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1" name="TextBox 968">
          <a:extLst>
            <a:ext uri="{FF2B5EF4-FFF2-40B4-BE49-F238E27FC236}">
              <a16:creationId xmlns:a16="http://schemas.microsoft.com/office/drawing/2014/main" id="{6458C34C-78B3-4D64-B96E-E150B64E69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2" name="TextBox 969">
          <a:extLst>
            <a:ext uri="{FF2B5EF4-FFF2-40B4-BE49-F238E27FC236}">
              <a16:creationId xmlns:a16="http://schemas.microsoft.com/office/drawing/2014/main" id="{B304862A-1880-4B0B-96DD-43CF2DEE0A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3" name="TextBox 970">
          <a:extLst>
            <a:ext uri="{FF2B5EF4-FFF2-40B4-BE49-F238E27FC236}">
              <a16:creationId xmlns:a16="http://schemas.microsoft.com/office/drawing/2014/main" id="{716D950B-1909-46B7-8B1A-55E83B1A85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4" name="TextBox 15">
          <a:extLst>
            <a:ext uri="{FF2B5EF4-FFF2-40B4-BE49-F238E27FC236}">
              <a16:creationId xmlns:a16="http://schemas.microsoft.com/office/drawing/2014/main" id="{DEC599D7-B8AA-4966-B915-BC692B29C7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5" name="TextBox 16">
          <a:extLst>
            <a:ext uri="{FF2B5EF4-FFF2-40B4-BE49-F238E27FC236}">
              <a16:creationId xmlns:a16="http://schemas.microsoft.com/office/drawing/2014/main" id="{F0171DBE-2A69-4839-AFDE-10E92134B4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6" name="TextBox 17">
          <a:extLst>
            <a:ext uri="{FF2B5EF4-FFF2-40B4-BE49-F238E27FC236}">
              <a16:creationId xmlns:a16="http://schemas.microsoft.com/office/drawing/2014/main" id="{B7B3AA99-AAE2-404B-BDC0-26A3977BD2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7" name="TextBox 18">
          <a:extLst>
            <a:ext uri="{FF2B5EF4-FFF2-40B4-BE49-F238E27FC236}">
              <a16:creationId xmlns:a16="http://schemas.microsoft.com/office/drawing/2014/main" id="{ABB1BBFA-F72B-49D1-8814-E8099A3C18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8" name="TextBox 975">
          <a:extLst>
            <a:ext uri="{FF2B5EF4-FFF2-40B4-BE49-F238E27FC236}">
              <a16:creationId xmlns:a16="http://schemas.microsoft.com/office/drawing/2014/main" id="{C2F749A2-5DA6-4D97-9F2D-2FF3B658F0C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89" name="TextBox 976">
          <a:extLst>
            <a:ext uri="{FF2B5EF4-FFF2-40B4-BE49-F238E27FC236}">
              <a16:creationId xmlns:a16="http://schemas.microsoft.com/office/drawing/2014/main" id="{51999720-4E03-4423-B8CF-8119E41979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0" name="TextBox 1">
          <a:extLst>
            <a:ext uri="{FF2B5EF4-FFF2-40B4-BE49-F238E27FC236}">
              <a16:creationId xmlns:a16="http://schemas.microsoft.com/office/drawing/2014/main" id="{22C3C69D-91AE-4845-BD8E-6134BC289D2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1" name="TextBox 3">
          <a:extLst>
            <a:ext uri="{FF2B5EF4-FFF2-40B4-BE49-F238E27FC236}">
              <a16:creationId xmlns:a16="http://schemas.microsoft.com/office/drawing/2014/main" id="{7C22490B-378B-4217-9877-6F75C269E1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2" name="TextBox 979">
          <a:extLst>
            <a:ext uri="{FF2B5EF4-FFF2-40B4-BE49-F238E27FC236}">
              <a16:creationId xmlns:a16="http://schemas.microsoft.com/office/drawing/2014/main" id="{F1C6CAC6-A99A-481C-9E3B-5F032CDD8D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3" name="TextBox 980">
          <a:extLst>
            <a:ext uri="{FF2B5EF4-FFF2-40B4-BE49-F238E27FC236}">
              <a16:creationId xmlns:a16="http://schemas.microsoft.com/office/drawing/2014/main" id="{70EE2CC9-CE35-416F-AE55-A04C495E65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4" name="TextBox 981">
          <a:extLst>
            <a:ext uri="{FF2B5EF4-FFF2-40B4-BE49-F238E27FC236}">
              <a16:creationId xmlns:a16="http://schemas.microsoft.com/office/drawing/2014/main" id="{9D7D3A99-4CA0-4E93-8D5E-57386C016A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5" name="TextBox 982">
          <a:extLst>
            <a:ext uri="{FF2B5EF4-FFF2-40B4-BE49-F238E27FC236}">
              <a16:creationId xmlns:a16="http://schemas.microsoft.com/office/drawing/2014/main" id="{374C3095-B0B6-4F00-BA2F-2B160ED4C65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6" name="TextBox 983">
          <a:extLst>
            <a:ext uri="{FF2B5EF4-FFF2-40B4-BE49-F238E27FC236}">
              <a16:creationId xmlns:a16="http://schemas.microsoft.com/office/drawing/2014/main" id="{592984CD-E7BE-43D2-9929-D0CF9B3D08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7" name="TextBox 984">
          <a:extLst>
            <a:ext uri="{FF2B5EF4-FFF2-40B4-BE49-F238E27FC236}">
              <a16:creationId xmlns:a16="http://schemas.microsoft.com/office/drawing/2014/main" id="{E5B8C03B-3DAD-485A-B860-2DCA5E0F87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8" name="TextBox 985">
          <a:extLst>
            <a:ext uri="{FF2B5EF4-FFF2-40B4-BE49-F238E27FC236}">
              <a16:creationId xmlns:a16="http://schemas.microsoft.com/office/drawing/2014/main" id="{EFAA0791-58C3-4639-8864-4A7D6DB99D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399" name="TextBox 986">
          <a:extLst>
            <a:ext uri="{FF2B5EF4-FFF2-40B4-BE49-F238E27FC236}">
              <a16:creationId xmlns:a16="http://schemas.microsoft.com/office/drawing/2014/main" id="{57FD254B-1682-4F84-ADCF-44598496A6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0" name="TextBox 987">
          <a:extLst>
            <a:ext uri="{FF2B5EF4-FFF2-40B4-BE49-F238E27FC236}">
              <a16:creationId xmlns:a16="http://schemas.microsoft.com/office/drawing/2014/main" id="{C604A9CB-1535-40E6-92DE-445D42DB1A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1" name="TextBox 988">
          <a:extLst>
            <a:ext uri="{FF2B5EF4-FFF2-40B4-BE49-F238E27FC236}">
              <a16:creationId xmlns:a16="http://schemas.microsoft.com/office/drawing/2014/main" id="{1CA1F1D6-B82B-44CA-BBA2-1402BF0901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2" name="TextBox 13">
          <a:extLst>
            <a:ext uri="{FF2B5EF4-FFF2-40B4-BE49-F238E27FC236}">
              <a16:creationId xmlns:a16="http://schemas.microsoft.com/office/drawing/2014/main" id="{74D20DCD-6672-4039-998C-84711272F0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3" name="TextBox 14">
          <a:extLst>
            <a:ext uri="{FF2B5EF4-FFF2-40B4-BE49-F238E27FC236}">
              <a16:creationId xmlns:a16="http://schemas.microsoft.com/office/drawing/2014/main" id="{A1A5927F-8824-4865-8B2D-845CDFC9CB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4" name="TextBox 991">
          <a:extLst>
            <a:ext uri="{FF2B5EF4-FFF2-40B4-BE49-F238E27FC236}">
              <a16:creationId xmlns:a16="http://schemas.microsoft.com/office/drawing/2014/main" id="{4A42B4FC-E054-43E0-8882-530DDAC97F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5" name="TextBox 992">
          <a:extLst>
            <a:ext uri="{FF2B5EF4-FFF2-40B4-BE49-F238E27FC236}">
              <a16:creationId xmlns:a16="http://schemas.microsoft.com/office/drawing/2014/main" id="{F26C673B-D812-484B-B994-409BA31E05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6" name="TextBox 993">
          <a:extLst>
            <a:ext uri="{FF2B5EF4-FFF2-40B4-BE49-F238E27FC236}">
              <a16:creationId xmlns:a16="http://schemas.microsoft.com/office/drawing/2014/main" id="{71D3C915-B976-4B85-981B-0D116DB7A6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7" name="TextBox 994">
          <a:extLst>
            <a:ext uri="{FF2B5EF4-FFF2-40B4-BE49-F238E27FC236}">
              <a16:creationId xmlns:a16="http://schemas.microsoft.com/office/drawing/2014/main" id="{3AB0C20C-4D66-40AA-A900-E9905F1401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8" name="TextBox 15">
          <a:extLst>
            <a:ext uri="{FF2B5EF4-FFF2-40B4-BE49-F238E27FC236}">
              <a16:creationId xmlns:a16="http://schemas.microsoft.com/office/drawing/2014/main" id="{863274BC-C0AA-4387-A447-3AF0604D0C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09" name="TextBox 16">
          <a:extLst>
            <a:ext uri="{FF2B5EF4-FFF2-40B4-BE49-F238E27FC236}">
              <a16:creationId xmlns:a16="http://schemas.microsoft.com/office/drawing/2014/main" id="{819CA3E0-A78E-43E9-A162-E6363F8C7F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0" name="TextBox 17">
          <a:extLst>
            <a:ext uri="{FF2B5EF4-FFF2-40B4-BE49-F238E27FC236}">
              <a16:creationId xmlns:a16="http://schemas.microsoft.com/office/drawing/2014/main" id="{57F2B569-7D92-46E5-91D5-3EF620D7B3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1" name="TextBox 18">
          <a:extLst>
            <a:ext uri="{FF2B5EF4-FFF2-40B4-BE49-F238E27FC236}">
              <a16:creationId xmlns:a16="http://schemas.microsoft.com/office/drawing/2014/main" id="{CDE6B9AC-2D94-4B52-B352-7A0184EFCF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2" name="TextBox 999">
          <a:extLst>
            <a:ext uri="{FF2B5EF4-FFF2-40B4-BE49-F238E27FC236}">
              <a16:creationId xmlns:a16="http://schemas.microsoft.com/office/drawing/2014/main" id="{914FF121-B2C0-4999-BEF1-971AFCB759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3" name="TextBox 1000">
          <a:extLst>
            <a:ext uri="{FF2B5EF4-FFF2-40B4-BE49-F238E27FC236}">
              <a16:creationId xmlns:a16="http://schemas.microsoft.com/office/drawing/2014/main" id="{F1159269-AB57-4673-9384-61076279FE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4" name="TextBox 1">
          <a:extLst>
            <a:ext uri="{FF2B5EF4-FFF2-40B4-BE49-F238E27FC236}">
              <a16:creationId xmlns:a16="http://schemas.microsoft.com/office/drawing/2014/main" id="{3D3FC3CD-7D85-4DB3-9192-BBF8E2EE42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5" name="TextBox 3">
          <a:extLst>
            <a:ext uri="{FF2B5EF4-FFF2-40B4-BE49-F238E27FC236}">
              <a16:creationId xmlns:a16="http://schemas.microsoft.com/office/drawing/2014/main" id="{A6A80CC7-B3AF-4FEF-B2A9-F839CE43B6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6" name="TextBox 1003">
          <a:extLst>
            <a:ext uri="{FF2B5EF4-FFF2-40B4-BE49-F238E27FC236}">
              <a16:creationId xmlns:a16="http://schemas.microsoft.com/office/drawing/2014/main" id="{928AA6B0-F922-42AD-8830-6E82EB22A3D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7" name="TextBox 1004">
          <a:extLst>
            <a:ext uri="{FF2B5EF4-FFF2-40B4-BE49-F238E27FC236}">
              <a16:creationId xmlns:a16="http://schemas.microsoft.com/office/drawing/2014/main" id="{1B057976-ACC2-4787-87C7-2B72AE27F0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8" name="TextBox 1005">
          <a:extLst>
            <a:ext uri="{FF2B5EF4-FFF2-40B4-BE49-F238E27FC236}">
              <a16:creationId xmlns:a16="http://schemas.microsoft.com/office/drawing/2014/main" id="{0794AB08-7E65-49B1-8114-E1B36112BB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19" name="TextBox 1006">
          <a:extLst>
            <a:ext uri="{FF2B5EF4-FFF2-40B4-BE49-F238E27FC236}">
              <a16:creationId xmlns:a16="http://schemas.microsoft.com/office/drawing/2014/main" id="{033865AC-2992-4B55-9465-5D1F8658F6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0" name="TextBox 1007">
          <a:extLst>
            <a:ext uri="{FF2B5EF4-FFF2-40B4-BE49-F238E27FC236}">
              <a16:creationId xmlns:a16="http://schemas.microsoft.com/office/drawing/2014/main" id="{5992BD87-FAEC-483E-8272-115B6EB266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1" name="TextBox 1008">
          <a:extLst>
            <a:ext uri="{FF2B5EF4-FFF2-40B4-BE49-F238E27FC236}">
              <a16:creationId xmlns:a16="http://schemas.microsoft.com/office/drawing/2014/main" id="{93E5548C-5352-4F36-985C-6421E9A24E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2" name="TextBox 1009">
          <a:extLst>
            <a:ext uri="{FF2B5EF4-FFF2-40B4-BE49-F238E27FC236}">
              <a16:creationId xmlns:a16="http://schemas.microsoft.com/office/drawing/2014/main" id="{65832FE0-0857-4DD3-B6B5-8DE676FC0C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3" name="TextBox 1010">
          <a:extLst>
            <a:ext uri="{FF2B5EF4-FFF2-40B4-BE49-F238E27FC236}">
              <a16:creationId xmlns:a16="http://schemas.microsoft.com/office/drawing/2014/main" id="{7B9FF76D-A99D-4705-A331-8AB4E88610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4" name="TextBox 1011">
          <a:extLst>
            <a:ext uri="{FF2B5EF4-FFF2-40B4-BE49-F238E27FC236}">
              <a16:creationId xmlns:a16="http://schemas.microsoft.com/office/drawing/2014/main" id="{188A147E-C423-49EF-B48A-9252C4DD04E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5" name="TextBox 1012">
          <a:extLst>
            <a:ext uri="{FF2B5EF4-FFF2-40B4-BE49-F238E27FC236}">
              <a16:creationId xmlns:a16="http://schemas.microsoft.com/office/drawing/2014/main" id="{F1D806D5-91BC-431C-8A97-05CFA80442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6" name="TextBox 13">
          <a:extLst>
            <a:ext uri="{FF2B5EF4-FFF2-40B4-BE49-F238E27FC236}">
              <a16:creationId xmlns:a16="http://schemas.microsoft.com/office/drawing/2014/main" id="{FAAC6295-D678-42E9-A8AD-29A622502C7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7" name="TextBox 14">
          <a:extLst>
            <a:ext uri="{FF2B5EF4-FFF2-40B4-BE49-F238E27FC236}">
              <a16:creationId xmlns:a16="http://schemas.microsoft.com/office/drawing/2014/main" id="{9A69BA78-FC7F-46F1-9DCC-65E82C1F61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8" name="TextBox 1015">
          <a:extLst>
            <a:ext uri="{FF2B5EF4-FFF2-40B4-BE49-F238E27FC236}">
              <a16:creationId xmlns:a16="http://schemas.microsoft.com/office/drawing/2014/main" id="{B1E4933F-F5FF-48AB-A971-0C994E2603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29" name="TextBox 1016">
          <a:extLst>
            <a:ext uri="{FF2B5EF4-FFF2-40B4-BE49-F238E27FC236}">
              <a16:creationId xmlns:a16="http://schemas.microsoft.com/office/drawing/2014/main" id="{3C570DC6-ADBF-4783-9EDB-F0C5F7FA26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0" name="TextBox 1017">
          <a:extLst>
            <a:ext uri="{FF2B5EF4-FFF2-40B4-BE49-F238E27FC236}">
              <a16:creationId xmlns:a16="http://schemas.microsoft.com/office/drawing/2014/main" id="{E3CAF0C1-26A0-4F3A-B9CD-CCC2F2ED0D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1" name="TextBox 1018">
          <a:extLst>
            <a:ext uri="{FF2B5EF4-FFF2-40B4-BE49-F238E27FC236}">
              <a16:creationId xmlns:a16="http://schemas.microsoft.com/office/drawing/2014/main" id="{1AD22030-8C82-4BD5-9DB8-F3E8F2EC99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2" name="TextBox 15">
          <a:extLst>
            <a:ext uri="{FF2B5EF4-FFF2-40B4-BE49-F238E27FC236}">
              <a16:creationId xmlns:a16="http://schemas.microsoft.com/office/drawing/2014/main" id="{BAD0D9B7-2029-40E8-ACE9-C38DC5926C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3" name="TextBox 16">
          <a:extLst>
            <a:ext uri="{FF2B5EF4-FFF2-40B4-BE49-F238E27FC236}">
              <a16:creationId xmlns:a16="http://schemas.microsoft.com/office/drawing/2014/main" id="{F4961BA2-04E6-4B8C-8179-B3D547A6B8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4" name="TextBox 17">
          <a:extLst>
            <a:ext uri="{FF2B5EF4-FFF2-40B4-BE49-F238E27FC236}">
              <a16:creationId xmlns:a16="http://schemas.microsoft.com/office/drawing/2014/main" id="{334EE5F0-273A-42B8-995F-1CA4412766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5" name="TextBox 18">
          <a:extLst>
            <a:ext uri="{FF2B5EF4-FFF2-40B4-BE49-F238E27FC236}">
              <a16:creationId xmlns:a16="http://schemas.microsoft.com/office/drawing/2014/main" id="{51A0FB50-0BC5-4DC9-9B7F-6E8BCD2265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6" name="TextBox 1023">
          <a:extLst>
            <a:ext uri="{FF2B5EF4-FFF2-40B4-BE49-F238E27FC236}">
              <a16:creationId xmlns:a16="http://schemas.microsoft.com/office/drawing/2014/main" id="{B8F8340B-D865-49C9-8308-16B1921B73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7" name="TextBox 1024">
          <a:extLst>
            <a:ext uri="{FF2B5EF4-FFF2-40B4-BE49-F238E27FC236}">
              <a16:creationId xmlns:a16="http://schemas.microsoft.com/office/drawing/2014/main" id="{F7498D75-2EB2-4F03-9DC5-843EC1987D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8" name="TextBox 1">
          <a:extLst>
            <a:ext uri="{FF2B5EF4-FFF2-40B4-BE49-F238E27FC236}">
              <a16:creationId xmlns:a16="http://schemas.microsoft.com/office/drawing/2014/main" id="{34C7C029-C02C-41E2-B812-365E524381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39" name="TextBox 3">
          <a:extLst>
            <a:ext uri="{FF2B5EF4-FFF2-40B4-BE49-F238E27FC236}">
              <a16:creationId xmlns:a16="http://schemas.microsoft.com/office/drawing/2014/main" id="{0A78277A-D996-4F32-AD4E-D071114C05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0" name="TextBox 1027">
          <a:extLst>
            <a:ext uri="{FF2B5EF4-FFF2-40B4-BE49-F238E27FC236}">
              <a16:creationId xmlns:a16="http://schemas.microsoft.com/office/drawing/2014/main" id="{AA43DC59-018B-4B71-B74C-43CA0DA4B27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1" name="TextBox 1028">
          <a:extLst>
            <a:ext uri="{FF2B5EF4-FFF2-40B4-BE49-F238E27FC236}">
              <a16:creationId xmlns:a16="http://schemas.microsoft.com/office/drawing/2014/main" id="{BE0A26C4-A1F8-4F20-8A6B-813E46934A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2" name="TextBox 1029">
          <a:extLst>
            <a:ext uri="{FF2B5EF4-FFF2-40B4-BE49-F238E27FC236}">
              <a16:creationId xmlns:a16="http://schemas.microsoft.com/office/drawing/2014/main" id="{832376AC-67DF-4789-9A17-7E6A089C83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3" name="TextBox 1030">
          <a:extLst>
            <a:ext uri="{FF2B5EF4-FFF2-40B4-BE49-F238E27FC236}">
              <a16:creationId xmlns:a16="http://schemas.microsoft.com/office/drawing/2014/main" id="{67D69C1B-9DFA-4973-A2D3-4FC887F57E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4" name="TextBox 1031">
          <a:extLst>
            <a:ext uri="{FF2B5EF4-FFF2-40B4-BE49-F238E27FC236}">
              <a16:creationId xmlns:a16="http://schemas.microsoft.com/office/drawing/2014/main" id="{B250C13D-0E7F-43CF-A636-ECE3EFD2D3E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5" name="TextBox 1032">
          <a:extLst>
            <a:ext uri="{FF2B5EF4-FFF2-40B4-BE49-F238E27FC236}">
              <a16:creationId xmlns:a16="http://schemas.microsoft.com/office/drawing/2014/main" id="{0EDF4CF7-EED8-4485-AE70-01E9A5B4AF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6" name="TextBox 1033">
          <a:extLst>
            <a:ext uri="{FF2B5EF4-FFF2-40B4-BE49-F238E27FC236}">
              <a16:creationId xmlns:a16="http://schemas.microsoft.com/office/drawing/2014/main" id="{299222BA-4D8F-4D16-B0F9-0763845398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7" name="TextBox 1034">
          <a:extLst>
            <a:ext uri="{FF2B5EF4-FFF2-40B4-BE49-F238E27FC236}">
              <a16:creationId xmlns:a16="http://schemas.microsoft.com/office/drawing/2014/main" id="{1DFC929C-86C7-4DC8-8D5D-A983981BDD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8" name="TextBox 1035">
          <a:extLst>
            <a:ext uri="{FF2B5EF4-FFF2-40B4-BE49-F238E27FC236}">
              <a16:creationId xmlns:a16="http://schemas.microsoft.com/office/drawing/2014/main" id="{ACEED346-C248-48A3-80DC-3FD9EDB053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49" name="TextBox 1036">
          <a:extLst>
            <a:ext uri="{FF2B5EF4-FFF2-40B4-BE49-F238E27FC236}">
              <a16:creationId xmlns:a16="http://schemas.microsoft.com/office/drawing/2014/main" id="{2D67876B-6653-4680-B4B7-CD80B19F59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0" name="TextBox 13">
          <a:extLst>
            <a:ext uri="{FF2B5EF4-FFF2-40B4-BE49-F238E27FC236}">
              <a16:creationId xmlns:a16="http://schemas.microsoft.com/office/drawing/2014/main" id="{0E6CEC96-66C3-4B16-AD5B-5F8FF8888A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1" name="TextBox 14">
          <a:extLst>
            <a:ext uri="{FF2B5EF4-FFF2-40B4-BE49-F238E27FC236}">
              <a16:creationId xmlns:a16="http://schemas.microsoft.com/office/drawing/2014/main" id="{77122887-9248-4C26-B91D-C20A753DB6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2" name="TextBox 1039">
          <a:extLst>
            <a:ext uri="{FF2B5EF4-FFF2-40B4-BE49-F238E27FC236}">
              <a16:creationId xmlns:a16="http://schemas.microsoft.com/office/drawing/2014/main" id="{6BE7C2B1-851A-40E7-994C-2A2C141189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3" name="TextBox 1040">
          <a:extLst>
            <a:ext uri="{FF2B5EF4-FFF2-40B4-BE49-F238E27FC236}">
              <a16:creationId xmlns:a16="http://schemas.microsoft.com/office/drawing/2014/main" id="{0A6A0DA3-FB16-4468-AE49-BCBE2F1D3C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4" name="TextBox 1041">
          <a:extLst>
            <a:ext uri="{FF2B5EF4-FFF2-40B4-BE49-F238E27FC236}">
              <a16:creationId xmlns:a16="http://schemas.microsoft.com/office/drawing/2014/main" id="{F96FA088-89DA-4546-B5F0-726D045038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5" name="TextBox 1042">
          <a:extLst>
            <a:ext uri="{FF2B5EF4-FFF2-40B4-BE49-F238E27FC236}">
              <a16:creationId xmlns:a16="http://schemas.microsoft.com/office/drawing/2014/main" id="{9B9A3879-ECA7-41EC-996F-FE5B5D121D7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6" name="TextBox 15">
          <a:extLst>
            <a:ext uri="{FF2B5EF4-FFF2-40B4-BE49-F238E27FC236}">
              <a16:creationId xmlns:a16="http://schemas.microsoft.com/office/drawing/2014/main" id="{4721D1F3-9CA1-4CE1-B149-6612EF9FDCB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7" name="TextBox 16">
          <a:extLst>
            <a:ext uri="{FF2B5EF4-FFF2-40B4-BE49-F238E27FC236}">
              <a16:creationId xmlns:a16="http://schemas.microsoft.com/office/drawing/2014/main" id="{4354D694-8EB7-4F57-80AB-9BAD65E5EC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8" name="TextBox 17">
          <a:extLst>
            <a:ext uri="{FF2B5EF4-FFF2-40B4-BE49-F238E27FC236}">
              <a16:creationId xmlns:a16="http://schemas.microsoft.com/office/drawing/2014/main" id="{889A4B6B-94C5-47CD-BBCE-71BB21392A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59" name="TextBox 18">
          <a:extLst>
            <a:ext uri="{FF2B5EF4-FFF2-40B4-BE49-F238E27FC236}">
              <a16:creationId xmlns:a16="http://schemas.microsoft.com/office/drawing/2014/main" id="{78145F01-BFE6-44B7-8F41-C67BC73BFF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0" name="TextBox 1047">
          <a:extLst>
            <a:ext uri="{FF2B5EF4-FFF2-40B4-BE49-F238E27FC236}">
              <a16:creationId xmlns:a16="http://schemas.microsoft.com/office/drawing/2014/main" id="{F5269165-D8E0-46CB-841D-79BD8B18D9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1" name="TextBox 1048">
          <a:extLst>
            <a:ext uri="{FF2B5EF4-FFF2-40B4-BE49-F238E27FC236}">
              <a16:creationId xmlns:a16="http://schemas.microsoft.com/office/drawing/2014/main" id="{57DB24FA-9CBF-49C8-89E6-E4ADE55A1A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2" name="TextBox 1">
          <a:extLst>
            <a:ext uri="{FF2B5EF4-FFF2-40B4-BE49-F238E27FC236}">
              <a16:creationId xmlns:a16="http://schemas.microsoft.com/office/drawing/2014/main" id="{9C149ED0-39F2-4E0A-9655-54F36E7549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3" name="TextBox 3">
          <a:extLst>
            <a:ext uri="{FF2B5EF4-FFF2-40B4-BE49-F238E27FC236}">
              <a16:creationId xmlns:a16="http://schemas.microsoft.com/office/drawing/2014/main" id="{B83AF31B-7A28-4941-B555-9152D54DB01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4" name="TextBox 1051">
          <a:extLst>
            <a:ext uri="{FF2B5EF4-FFF2-40B4-BE49-F238E27FC236}">
              <a16:creationId xmlns:a16="http://schemas.microsoft.com/office/drawing/2014/main" id="{60D97E99-19F5-4924-8476-2F27BA1FA5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5" name="TextBox 1052">
          <a:extLst>
            <a:ext uri="{FF2B5EF4-FFF2-40B4-BE49-F238E27FC236}">
              <a16:creationId xmlns:a16="http://schemas.microsoft.com/office/drawing/2014/main" id="{F374E059-A667-4D49-9829-CDBED75F61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6" name="TextBox 1053">
          <a:extLst>
            <a:ext uri="{FF2B5EF4-FFF2-40B4-BE49-F238E27FC236}">
              <a16:creationId xmlns:a16="http://schemas.microsoft.com/office/drawing/2014/main" id="{8A0371FD-E0B3-467C-8AF0-EF36FB8F89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7" name="TextBox 1054">
          <a:extLst>
            <a:ext uri="{FF2B5EF4-FFF2-40B4-BE49-F238E27FC236}">
              <a16:creationId xmlns:a16="http://schemas.microsoft.com/office/drawing/2014/main" id="{F791F1F8-4AA8-4E9B-B6D8-94BA84F7066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8" name="TextBox 1055">
          <a:extLst>
            <a:ext uri="{FF2B5EF4-FFF2-40B4-BE49-F238E27FC236}">
              <a16:creationId xmlns:a16="http://schemas.microsoft.com/office/drawing/2014/main" id="{C398E559-C1E4-4154-8B57-42866F5BEE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69" name="TextBox 1056">
          <a:extLst>
            <a:ext uri="{FF2B5EF4-FFF2-40B4-BE49-F238E27FC236}">
              <a16:creationId xmlns:a16="http://schemas.microsoft.com/office/drawing/2014/main" id="{FBBE17E8-BBAC-44D7-9423-683B6F22F3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0" name="TextBox 1057">
          <a:extLst>
            <a:ext uri="{FF2B5EF4-FFF2-40B4-BE49-F238E27FC236}">
              <a16:creationId xmlns:a16="http://schemas.microsoft.com/office/drawing/2014/main" id="{48F34AEE-33FC-4C07-ADE8-EEF8AADF82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1" name="TextBox 1058">
          <a:extLst>
            <a:ext uri="{FF2B5EF4-FFF2-40B4-BE49-F238E27FC236}">
              <a16:creationId xmlns:a16="http://schemas.microsoft.com/office/drawing/2014/main" id="{98B3EE51-3DF8-40B2-9122-8418F2AA3A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2" name="TextBox 1059">
          <a:extLst>
            <a:ext uri="{FF2B5EF4-FFF2-40B4-BE49-F238E27FC236}">
              <a16:creationId xmlns:a16="http://schemas.microsoft.com/office/drawing/2014/main" id="{51AB0091-FBB3-4FDD-B268-BBE009FC91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3" name="TextBox 1060">
          <a:extLst>
            <a:ext uri="{FF2B5EF4-FFF2-40B4-BE49-F238E27FC236}">
              <a16:creationId xmlns:a16="http://schemas.microsoft.com/office/drawing/2014/main" id="{1CA40214-4CB4-4D4D-BDBF-18EA811996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4" name="TextBox 13">
          <a:extLst>
            <a:ext uri="{FF2B5EF4-FFF2-40B4-BE49-F238E27FC236}">
              <a16:creationId xmlns:a16="http://schemas.microsoft.com/office/drawing/2014/main" id="{16F9C723-A105-4611-B76E-AF2D4A7598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5" name="TextBox 14">
          <a:extLst>
            <a:ext uri="{FF2B5EF4-FFF2-40B4-BE49-F238E27FC236}">
              <a16:creationId xmlns:a16="http://schemas.microsoft.com/office/drawing/2014/main" id="{B9DC58F1-5D7D-46CE-ADDC-E61EA4EDB2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6" name="TextBox 1063">
          <a:extLst>
            <a:ext uri="{FF2B5EF4-FFF2-40B4-BE49-F238E27FC236}">
              <a16:creationId xmlns:a16="http://schemas.microsoft.com/office/drawing/2014/main" id="{37585A45-0489-4729-ACB2-6C28AB80C0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7" name="TextBox 1064">
          <a:extLst>
            <a:ext uri="{FF2B5EF4-FFF2-40B4-BE49-F238E27FC236}">
              <a16:creationId xmlns:a16="http://schemas.microsoft.com/office/drawing/2014/main" id="{8325F044-4E59-4AAB-847B-4FD62986D6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8" name="TextBox 1065">
          <a:extLst>
            <a:ext uri="{FF2B5EF4-FFF2-40B4-BE49-F238E27FC236}">
              <a16:creationId xmlns:a16="http://schemas.microsoft.com/office/drawing/2014/main" id="{F4549E33-0C38-4790-85BD-982CCACC54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79" name="TextBox 1066">
          <a:extLst>
            <a:ext uri="{FF2B5EF4-FFF2-40B4-BE49-F238E27FC236}">
              <a16:creationId xmlns:a16="http://schemas.microsoft.com/office/drawing/2014/main" id="{DD28FA96-C569-4A17-BA38-FBAE83B6AD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0" name="TextBox 15">
          <a:extLst>
            <a:ext uri="{FF2B5EF4-FFF2-40B4-BE49-F238E27FC236}">
              <a16:creationId xmlns:a16="http://schemas.microsoft.com/office/drawing/2014/main" id="{ED1119B7-9CC5-45F5-8CAB-7E0D86C274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1" name="TextBox 16">
          <a:extLst>
            <a:ext uri="{FF2B5EF4-FFF2-40B4-BE49-F238E27FC236}">
              <a16:creationId xmlns:a16="http://schemas.microsoft.com/office/drawing/2014/main" id="{BB71D8D8-F37F-43A1-BAA0-A4CB2375FE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2" name="TextBox 17">
          <a:extLst>
            <a:ext uri="{FF2B5EF4-FFF2-40B4-BE49-F238E27FC236}">
              <a16:creationId xmlns:a16="http://schemas.microsoft.com/office/drawing/2014/main" id="{36FBAE4F-E504-4DC3-8188-893221DB620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3" name="TextBox 18">
          <a:extLst>
            <a:ext uri="{FF2B5EF4-FFF2-40B4-BE49-F238E27FC236}">
              <a16:creationId xmlns:a16="http://schemas.microsoft.com/office/drawing/2014/main" id="{6E809168-4CEC-47D6-9117-D4845B73DE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4" name="TextBox 1071">
          <a:extLst>
            <a:ext uri="{FF2B5EF4-FFF2-40B4-BE49-F238E27FC236}">
              <a16:creationId xmlns:a16="http://schemas.microsoft.com/office/drawing/2014/main" id="{A1F03AA4-D44A-42F3-82C1-22088C0186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5" name="TextBox 1072">
          <a:extLst>
            <a:ext uri="{FF2B5EF4-FFF2-40B4-BE49-F238E27FC236}">
              <a16:creationId xmlns:a16="http://schemas.microsoft.com/office/drawing/2014/main" id="{84FCCDC4-3C46-4276-9301-E620B13F10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6" name="TextBox 1">
          <a:extLst>
            <a:ext uri="{FF2B5EF4-FFF2-40B4-BE49-F238E27FC236}">
              <a16:creationId xmlns:a16="http://schemas.microsoft.com/office/drawing/2014/main" id="{90AD9DA2-62F7-4F66-B6A3-8CBC0D0A1E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7" name="TextBox 3">
          <a:extLst>
            <a:ext uri="{FF2B5EF4-FFF2-40B4-BE49-F238E27FC236}">
              <a16:creationId xmlns:a16="http://schemas.microsoft.com/office/drawing/2014/main" id="{2FF7A26D-8751-45D6-83BF-7ABFECD809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8" name="TextBox 1075">
          <a:extLst>
            <a:ext uri="{FF2B5EF4-FFF2-40B4-BE49-F238E27FC236}">
              <a16:creationId xmlns:a16="http://schemas.microsoft.com/office/drawing/2014/main" id="{691CDEF7-F2ED-4B69-8FD9-F43B2DC682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89" name="TextBox 1076">
          <a:extLst>
            <a:ext uri="{FF2B5EF4-FFF2-40B4-BE49-F238E27FC236}">
              <a16:creationId xmlns:a16="http://schemas.microsoft.com/office/drawing/2014/main" id="{200E5ABD-3672-4040-873B-BD692E3958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0" name="TextBox 1077">
          <a:extLst>
            <a:ext uri="{FF2B5EF4-FFF2-40B4-BE49-F238E27FC236}">
              <a16:creationId xmlns:a16="http://schemas.microsoft.com/office/drawing/2014/main" id="{9B63932A-EE0E-44BE-A43E-4A6349D879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1" name="TextBox 1078">
          <a:extLst>
            <a:ext uri="{FF2B5EF4-FFF2-40B4-BE49-F238E27FC236}">
              <a16:creationId xmlns:a16="http://schemas.microsoft.com/office/drawing/2014/main" id="{966BC89C-E72A-4960-8BB9-1D1CDD207F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2" name="TextBox 1079">
          <a:extLst>
            <a:ext uri="{FF2B5EF4-FFF2-40B4-BE49-F238E27FC236}">
              <a16:creationId xmlns:a16="http://schemas.microsoft.com/office/drawing/2014/main" id="{A91F01EE-F90D-441B-A718-B257F9C9455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3" name="TextBox 1080">
          <a:extLst>
            <a:ext uri="{FF2B5EF4-FFF2-40B4-BE49-F238E27FC236}">
              <a16:creationId xmlns:a16="http://schemas.microsoft.com/office/drawing/2014/main" id="{D5892806-8E32-4FA6-8CED-3432406D3D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4" name="TextBox 1081">
          <a:extLst>
            <a:ext uri="{FF2B5EF4-FFF2-40B4-BE49-F238E27FC236}">
              <a16:creationId xmlns:a16="http://schemas.microsoft.com/office/drawing/2014/main" id="{B6C72084-ABE7-4C48-B3EE-D7563A4A46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5" name="TextBox 1082">
          <a:extLst>
            <a:ext uri="{FF2B5EF4-FFF2-40B4-BE49-F238E27FC236}">
              <a16:creationId xmlns:a16="http://schemas.microsoft.com/office/drawing/2014/main" id="{AB6D970D-1E1D-4826-9C4E-6795B56EBF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6" name="TextBox 1083">
          <a:extLst>
            <a:ext uri="{FF2B5EF4-FFF2-40B4-BE49-F238E27FC236}">
              <a16:creationId xmlns:a16="http://schemas.microsoft.com/office/drawing/2014/main" id="{DEA045EC-C0B6-43C7-BA46-B90077D996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7" name="TextBox 1084">
          <a:extLst>
            <a:ext uri="{FF2B5EF4-FFF2-40B4-BE49-F238E27FC236}">
              <a16:creationId xmlns:a16="http://schemas.microsoft.com/office/drawing/2014/main" id="{108F86C4-3199-4BC4-8D05-AD72150A0F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8" name="TextBox 13">
          <a:extLst>
            <a:ext uri="{FF2B5EF4-FFF2-40B4-BE49-F238E27FC236}">
              <a16:creationId xmlns:a16="http://schemas.microsoft.com/office/drawing/2014/main" id="{5D945C92-C53F-41CA-A9D4-9922CB9867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499" name="TextBox 14">
          <a:extLst>
            <a:ext uri="{FF2B5EF4-FFF2-40B4-BE49-F238E27FC236}">
              <a16:creationId xmlns:a16="http://schemas.microsoft.com/office/drawing/2014/main" id="{B76B04DA-0B55-4FE0-BF95-94B182D592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0" name="TextBox 1087">
          <a:extLst>
            <a:ext uri="{FF2B5EF4-FFF2-40B4-BE49-F238E27FC236}">
              <a16:creationId xmlns:a16="http://schemas.microsoft.com/office/drawing/2014/main" id="{CDD1BA33-ECCA-4C89-8182-8E843CF532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1" name="TextBox 1088">
          <a:extLst>
            <a:ext uri="{FF2B5EF4-FFF2-40B4-BE49-F238E27FC236}">
              <a16:creationId xmlns:a16="http://schemas.microsoft.com/office/drawing/2014/main" id="{796C6A86-2C5A-49EC-BCF9-3567204EF4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2" name="TextBox 1089">
          <a:extLst>
            <a:ext uri="{FF2B5EF4-FFF2-40B4-BE49-F238E27FC236}">
              <a16:creationId xmlns:a16="http://schemas.microsoft.com/office/drawing/2014/main" id="{51AF9666-3B47-4C9D-980C-B7728B0DAF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3" name="TextBox 1090">
          <a:extLst>
            <a:ext uri="{FF2B5EF4-FFF2-40B4-BE49-F238E27FC236}">
              <a16:creationId xmlns:a16="http://schemas.microsoft.com/office/drawing/2014/main" id="{6F68AD1A-A699-4A88-8166-A0CD5B2108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4" name="TextBox 15">
          <a:extLst>
            <a:ext uri="{FF2B5EF4-FFF2-40B4-BE49-F238E27FC236}">
              <a16:creationId xmlns:a16="http://schemas.microsoft.com/office/drawing/2014/main" id="{C9B07348-2DDF-4BE0-ACDC-4F13B4B048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5" name="TextBox 16">
          <a:extLst>
            <a:ext uri="{FF2B5EF4-FFF2-40B4-BE49-F238E27FC236}">
              <a16:creationId xmlns:a16="http://schemas.microsoft.com/office/drawing/2014/main" id="{12BF9EAC-4D97-446A-A7AE-3C50F25701C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6" name="TextBox 17">
          <a:extLst>
            <a:ext uri="{FF2B5EF4-FFF2-40B4-BE49-F238E27FC236}">
              <a16:creationId xmlns:a16="http://schemas.microsoft.com/office/drawing/2014/main" id="{52336616-66F3-4FB0-AF7A-DFDEE3BD22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7" name="TextBox 18">
          <a:extLst>
            <a:ext uri="{FF2B5EF4-FFF2-40B4-BE49-F238E27FC236}">
              <a16:creationId xmlns:a16="http://schemas.microsoft.com/office/drawing/2014/main" id="{32214D57-25EB-47A6-8CAB-80060EB225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8" name="TextBox 1095">
          <a:extLst>
            <a:ext uri="{FF2B5EF4-FFF2-40B4-BE49-F238E27FC236}">
              <a16:creationId xmlns:a16="http://schemas.microsoft.com/office/drawing/2014/main" id="{864A639B-30F6-4719-ABBE-2BB0DCEFE5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09" name="TextBox 1096">
          <a:extLst>
            <a:ext uri="{FF2B5EF4-FFF2-40B4-BE49-F238E27FC236}">
              <a16:creationId xmlns:a16="http://schemas.microsoft.com/office/drawing/2014/main" id="{FD9B26ED-1003-4F1E-999C-4703FAB5CA0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0" name="TextBox 1">
          <a:extLst>
            <a:ext uri="{FF2B5EF4-FFF2-40B4-BE49-F238E27FC236}">
              <a16:creationId xmlns:a16="http://schemas.microsoft.com/office/drawing/2014/main" id="{443FF603-7660-4F09-A1D7-E7ABFB182C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1" name="TextBox 3">
          <a:extLst>
            <a:ext uri="{FF2B5EF4-FFF2-40B4-BE49-F238E27FC236}">
              <a16:creationId xmlns:a16="http://schemas.microsoft.com/office/drawing/2014/main" id="{F5E44AA2-5935-46B1-B375-31407D50E9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2" name="TextBox 1099">
          <a:extLst>
            <a:ext uri="{FF2B5EF4-FFF2-40B4-BE49-F238E27FC236}">
              <a16:creationId xmlns:a16="http://schemas.microsoft.com/office/drawing/2014/main" id="{8EE98FC8-1143-4519-8E4A-33F64152B2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3" name="TextBox 1100">
          <a:extLst>
            <a:ext uri="{FF2B5EF4-FFF2-40B4-BE49-F238E27FC236}">
              <a16:creationId xmlns:a16="http://schemas.microsoft.com/office/drawing/2014/main" id="{5915B7C2-B11D-4DC8-AD17-4D6EDFBFAAE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4" name="TextBox 1101">
          <a:extLst>
            <a:ext uri="{FF2B5EF4-FFF2-40B4-BE49-F238E27FC236}">
              <a16:creationId xmlns:a16="http://schemas.microsoft.com/office/drawing/2014/main" id="{9864E28F-8BC9-4BCB-AF08-805619B2E0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5" name="TextBox 1102">
          <a:extLst>
            <a:ext uri="{FF2B5EF4-FFF2-40B4-BE49-F238E27FC236}">
              <a16:creationId xmlns:a16="http://schemas.microsoft.com/office/drawing/2014/main" id="{951A733F-4909-49D5-A09E-E93F8BA6D4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6" name="TextBox 1103">
          <a:extLst>
            <a:ext uri="{FF2B5EF4-FFF2-40B4-BE49-F238E27FC236}">
              <a16:creationId xmlns:a16="http://schemas.microsoft.com/office/drawing/2014/main" id="{6663945C-6171-4A26-983C-C144DB60E3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7" name="TextBox 1104">
          <a:extLst>
            <a:ext uri="{FF2B5EF4-FFF2-40B4-BE49-F238E27FC236}">
              <a16:creationId xmlns:a16="http://schemas.microsoft.com/office/drawing/2014/main" id="{294EAA2B-DB47-4CC5-BEDB-2AFE8758F6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8" name="TextBox 1105">
          <a:extLst>
            <a:ext uri="{FF2B5EF4-FFF2-40B4-BE49-F238E27FC236}">
              <a16:creationId xmlns:a16="http://schemas.microsoft.com/office/drawing/2014/main" id="{346F32CB-503E-44EC-9443-277D980A83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19" name="TextBox 1106">
          <a:extLst>
            <a:ext uri="{FF2B5EF4-FFF2-40B4-BE49-F238E27FC236}">
              <a16:creationId xmlns:a16="http://schemas.microsoft.com/office/drawing/2014/main" id="{3674BC5C-BE2E-463D-A241-9C957A6C9B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0" name="TextBox 1107">
          <a:extLst>
            <a:ext uri="{FF2B5EF4-FFF2-40B4-BE49-F238E27FC236}">
              <a16:creationId xmlns:a16="http://schemas.microsoft.com/office/drawing/2014/main" id="{71DC2670-0025-4C06-BF5B-35A388F3D0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1" name="TextBox 1108">
          <a:extLst>
            <a:ext uri="{FF2B5EF4-FFF2-40B4-BE49-F238E27FC236}">
              <a16:creationId xmlns:a16="http://schemas.microsoft.com/office/drawing/2014/main" id="{82F41FBE-49D5-4F48-AC0E-402BA2B9E3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2" name="TextBox 13">
          <a:extLst>
            <a:ext uri="{FF2B5EF4-FFF2-40B4-BE49-F238E27FC236}">
              <a16:creationId xmlns:a16="http://schemas.microsoft.com/office/drawing/2014/main" id="{6EDB9546-394D-433E-8F78-F4101843B0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3" name="TextBox 14">
          <a:extLst>
            <a:ext uri="{FF2B5EF4-FFF2-40B4-BE49-F238E27FC236}">
              <a16:creationId xmlns:a16="http://schemas.microsoft.com/office/drawing/2014/main" id="{C1EF9E99-63E1-4EF8-B95B-1355DBC3E5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4" name="TextBox 1111">
          <a:extLst>
            <a:ext uri="{FF2B5EF4-FFF2-40B4-BE49-F238E27FC236}">
              <a16:creationId xmlns:a16="http://schemas.microsoft.com/office/drawing/2014/main" id="{1C6FC5B4-F041-4467-9EB1-F5C00CB24E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5" name="TextBox 1112">
          <a:extLst>
            <a:ext uri="{FF2B5EF4-FFF2-40B4-BE49-F238E27FC236}">
              <a16:creationId xmlns:a16="http://schemas.microsoft.com/office/drawing/2014/main" id="{FB1E9B5E-13C6-441B-A909-9980FEA696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6" name="TextBox 1113">
          <a:extLst>
            <a:ext uri="{FF2B5EF4-FFF2-40B4-BE49-F238E27FC236}">
              <a16:creationId xmlns:a16="http://schemas.microsoft.com/office/drawing/2014/main" id="{9AF5F8E6-4A24-4E33-B010-C7C848F2BA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7" name="TextBox 1114">
          <a:extLst>
            <a:ext uri="{FF2B5EF4-FFF2-40B4-BE49-F238E27FC236}">
              <a16:creationId xmlns:a16="http://schemas.microsoft.com/office/drawing/2014/main" id="{A1153F22-865E-43A8-8FD9-46EB2880D0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8" name="TextBox 15">
          <a:extLst>
            <a:ext uri="{FF2B5EF4-FFF2-40B4-BE49-F238E27FC236}">
              <a16:creationId xmlns:a16="http://schemas.microsoft.com/office/drawing/2014/main" id="{6998E841-8C8A-4552-926C-6C11728755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29" name="TextBox 16">
          <a:extLst>
            <a:ext uri="{FF2B5EF4-FFF2-40B4-BE49-F238E27FC236}">
              <a16:creationId xmlns:a16="http://schemas.microsoft.com/office/drawing/2014/main" id="{BBDA8756-B8E5-4343-8788-D7B59A9ED5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0" name="TextBox 17">
          <a:extLst>
            <a:ext uri="{FF2B5EF4-FFF2-40B4-BE49-F238E27FC236}">
              <a16:creationId xmlns:a16="http://schemas.microsoft.com/office/drawing/2014/main" id="{496A6B37-8F25-49E9-9F97-A903D965A8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1" name="TextBox 18">
          <a:extLst>
            <a:ext uri="{FF2B5EF4-FFF2-40B4-BE49-F238E27FC236}">
              <a16:creationId xmlns:a16="http://schemas.microsoft.com/office/drawing/2014/main" id="{41457BC0-99CD-4DDE-9169-AAD66CE3A1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2" name="TextBox 1119">
          <a:extLst>
            <a:ext uri="{FF2B5EF4-FFF2-40B4-BE49-F238E27FC236}">
              <a16:creationId xmlns:a16="http://schemas.microsoft.com/office/drawing/2014/main" id="{54B3AEC6-0CF6-4F1B-BFD1-89DDE6B113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3" name="TextBox 1120">
          <a:extLst>
            <a:ext uri="{FF2B5EF4-FFF2-40B4-BE49-F238E27FC236}">
              <a16:creationId xmlns:a16="http://schemas.microsoft.com/office/drawing/2014/main" id="{83D9E732-141B-4D43-89D5-4B46193345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4" name="TextBox 1">
          <a:extLst>
            <a:ext uri="{FF2B5EF4-FFF2-40B4-BE49-F238E27FC236}">
              <a16:creationId xmlns:a16="http://schemas.microsoft.com/office/drawing/2014/main" id="{70F55E90-132A-4B39-99C9-3F0D148A7B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5" name="TextBox 3">
          <a:extLst>
            <a:ext uri="{FF2B5EF4-FFF2-40B4-BE49-F238E27FC236}">
              <a16:creationId xmlns:a16="http://schemas.microsoft.com/office/drawing/2014/main" id="{B0CDC585-756C-48FC-B2F4-2F8B643490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6" name="TextBox 1123">
          <a:extLst>
            <a:ext uri="{FF2B5EF4-FFF2-40B4-BE49-F238E27FC236}">
              <a16:creationId xmlns:a16="http://schemas.microsoft.com/office/drawing/2014/main" id="{905A6A73-9185-4D4B-B63B-3EA98EBC6DD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7" name="TextBox 1124">
          <a:extLst>
            <a:ext uri="{FF2B5EF4-FFF2-40B4-BE49-F238E27FC236}">
              <a16:creationId xmlns:a16="http://schemas.microsoft.com/office/drawing/2014/main" id="{A76A96B0-64CE-4F9A-B8A8-AADDA46CED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8" name="TextBox 1125">
          <a:extLst>
            <a:ext uri="{FF2B5EF4-FFF2-40B4-BE49-F238E27FC236}">
              <a16:creationId xmlns:a16="http://schemas.microsoft.com/office/drawing/2014/main" id="{9C27E7DB-EF91-4C43-AF54-87FC6C7268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39" name="TextBox 1126">
          <a:extLst>
            <a:ext uri="{FF2B5EF4-FFF2-40B4-BE49-F238E27FC236}">
              <a16:creationId xmlns:a16="http://schemas.microsoft.com/office/drawing/2014/main" id="{A079614A-9391-4872-A81C-14199AD085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0" name="TextBox 1127">
          <a:extLst>
            <a:ext uri="{FF2B5EF4-FFF2-40B4-BE49-F238E27FC236}">
              <a16:creationId xmlns:a16="http://schemas.microsoft.com/office/drawing/2014/main" id="{73107657-7B00-4BC1-8B1D-69A247C143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1" name="TextBox 1128">
          <a:extLst>
            <a:ext uri="{FF2B5EF4-FFF2-40B4-BE49-F238E27FC236}">
              <a16:creationId xmlns:a16="http://schemas.microsoft.com/office/drawing/2014/main" id="{B781F21B-AA46-48AE-94C0-85221C62A9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2" name="TextBox 1129">
          <a:extLst>
            <a:ext uri="{FF2B5EF4-FFF2-40B4-BE49-F238E27FC236}">
              <a16:creationId xmlns:a16="http://schemas.microsoft.com/office/drawing/2014/main" id="{28B5021B-EC43-4F68-9F06-89F4AFC447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3" name="TextBox 1130">
          <a:extLst>
            <a:ext uri="{FF2B5EF4-FFF2-40B4-BE49-F238E27FC236}">
              <a16:creationId xmlns:a16="http://schemas.microsoft.com/office/drawing/2014/main" id="{8110119D-EFED-4E2C-B344-E1113CF380C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4" name="TextBox 1131">
          <a:extLst>
            <a:ext uri="{FF2B5EF4-FFF2-40B4-BE49-F238E27FC236}">
              <a16:creationId xmlns:a16="http://schemas.microsoft.com/office/drawing/2014/main" id="{2AECA3F5-21D6-41D6-82B8-82172A6074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5" name="TextBox 1132">
          <a:extLst>
            <a:ext uri="{FF2B5EF4-FFF2-40B4-BE49-F238E27FC236}">
              <a16:creationId xmlns:a16="http://schemas.microsoft.com/office/drawing/2014/main" id="{60726CCC-F9B5-405A-9B07-3575ABD822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6" name="TextBox 13">
          <a:extLst>
            <a:ext uri="{FF2B5EF4-FFF2-40B4-BE49-F238E27FC236}">
              <a16:creationId xmlns:a16="http://schemas.microsoft.com/office/drawing/2014/main" id="{E5946632-DD90-446E-B998-73077A31DD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7" name="TextBox 14">
          <a:extLst>
            <a:ext uri="{FF2B5EF4-FFF2-40B4-BE49-F238E27FC236}">
              <a16:creationId xmlns:a16="http://schemas.microsoft.com/office/drawing/2014/main" id="{7BBA254A-DAA0-4C65-8B07-35B72853E9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8" name="TextBox 1135">
          <a:extLst>
            <a:ext uri="{FF2B5EF4-FFF2-40B4-BE49-F238E27FC236}">
              <a16:creationId xmlns:a16="http://schemas.microsoft.com/office/drawing/2014/main" id="{069148DF-6B49-4BCC-86BC-B32AAC43A4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49" name="TextBox 1136">
          <a:extLst>
            <a:ext uri="{FF2B5EF4-FFF2-40B4-BE49-F238E27FC236}">
              <a16:creationId xmlns:a16="http://schemas.microsoft.com/office/drawing/2014/main" id="{6326BE24-0FBC-49D9-B88E-4781DACBEC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0" name="TextBox 1137">
          <a:extLst>
            <a:ext uri="{FF2B5EF4-FFF2-40B4-BE49-F238E27FC236}">
              <a16:creationId xmlns:a16="http://schemas.microsoft.com/office/drawing/2014/main" id="{B27C5DC7-C8A6-49BD-96AC-4FD13D8BC78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1" name="TextBox 1138">
          <a:extLst>
            <a:ext uri="{FF2B5EF4-FFF2-40B4-BE49-F238E27FC236}">
              <a16:creationId xmlns:a16="http://schemas.microsoft.com/office/drawing/2014/main" id="{25729100-B2F0-46D9-8E6F-B3EA8ECBDC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2" name="TextBox 15">
          <a:extLst>
            <a:ext uri="{FF2B5EF4-FFF2-40B4-BE49-F238E27FC236}">
              <a16:creationId xmlns:a16="http://schemas.microsoft.com/office/drawing/2014/main" id="{6462E1B4-02B3-4BBB-8461-6C8B3EC066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3" name="TextBox 16">
          <a:extLst>
            <a:ext uri="{FF2B5EF4-FFF2-40B4-BE49-F238E27FC236}">
              <a16:creationId xmlns:a16="http://schemas.microsoft.com/office/drawing/2014/main" id="{B8975EF5-5595-441A-8317-59E7522172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4" name="TextBox 17">
          <a:extLst>
            <a:ext uri="{FF2B5EF4-FFF2-40B4-BE49-F238E27FC236}">
              <a16:creationId xmlns:a16="http://schemas.microsoft.com/office/drawing/2014/main" id="{930F6AC3-4287-41C2-8619-A421AA0BAB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5" name="TextBox 18">
          <a:extLst>
            <a:ext uri="{FF2B5EF4-FFF2-40B4-BE49-F238E27FC236}">
              <a16:creationId xmlns:a16="http://schemas.microsoft.com/office/drawing/2014/main" id="{E04D0FB2-E3D6-42C1-96A5-4F15B4781D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6" name="TextBox 1143">
          <a:extLst>
            <a:ext uri="{FF2B5EF4-FFF2-40B4-BE49-F238E27FC236}">
              <a16:creationId xmlns:a16="http://schemas.microsoft.com/office/drawing/2014/main" id="{2D4777F9-4071-4CAD-9278-904977884F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7" name="TextBox 1144">
          <a:extLst>
            <a:ext uri="{FF2B5EF4-FFF2-40B4-BE49-F238E27FC236}">
              <a16:creationId xmlns:a16="http://schemas.microsoft.com/office/drawing/2014/main" id="{4CCA4B46-D022-482A-82E7-82A6EAD06C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8" name="TextBox 1">
          <a:extLst>
            <a:ext uri="{FF2B5EF4-FFF2-40B4-BE49-F238E27FC236}">
              <a16:creationId xmlns:a16="http://schemas.microsoft.com/office/drawing/2014/main" id="{8546E214-78C6-4A66-8AEF-4562564FF3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59" name="TextBox 3">
          <a:extLst>
            <a:ext uri="{FF2B5EF4-FFF2-40B4-BE49-F238E27FC236}">
              <a16:creationId xmlns:a16="http://schemas.microsoft.com/office/drawing/2014/main" id="{AB4F2B96-4725-4FC8-B2D2-D0951F783C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0" name="TextBox 1147">
          <a:extLst>
            <a:ext uri="{FF2B5EF4-FFF2-40B4-BE49-F238E27FC236}">
              <a16:creationId xmlns:a16="http://schemas.microsoft.com/office/drawing/2014/main" id="{AAA094AB-DADF-4941-B7F4-7CAD7694D52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1" name="TextBox 1148">
          <a:extLst>
            <a:ext uri="{FF2B5EF4-FFF2-40B4-BE49-F238E27FC236}">
              <a16:creationId xmlns:a16="http://schemas.microsoft.com/office/drawing/2014/main" id="{C5A1CE7F-81D3-4060-918C-36CB3331EA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2" name="TextBox 1149">
          <a:extLst>
            <a:ext uri="{FF2B5EF4-FFF2-40B4-BE49-F238E27FC236}">
              <a16:creationId xmlns:a16="http://schemas.microsoft.com/office/drawing/2014/main" id="{1AC8FAB9-F567-4555-9507-02C419CB73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3" name="TextBox 1150">
          <a:extLst>
            <a:ext uri="{FF2B5EF4-FFF2-40B4-BE49-F238E27FC236}">
              <a16:creationId xmlns:a16="http://schemas.microsoft.com/office/drawing/2014/main" id="{C9CC5015-D135-4E9E-8796-A6602B29B1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4" name="TextBox 1151">
          <a:extLst>
            <a:ext uri="{FF2B5EF4-FFF2-40B4-BE49-F238E27FC236}">
              <a16:creationId xmlns:a16="http://schemas.microsoft.com/office/drawing/2014/main" id="{6B5C896A-13D7-4754-8339-2E003ECD1BD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5" name="TextBox 1152">
          <a:extLst>
            <a:ext uri="{FF2B5EF4-FFF2-40B4-BE49-F238E27FC236}">
              <a16:creationId xmlns:a16="http://schemas.microsoft.com/office/drawing/2014/main" id="{10EEB272-5FDA-4D7E-AEB6-F1A6E238A5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6" name="TextBox 1153">
          <a:extLst>
            <a:ext uri="{FF2B5EF4-FFF2-40B4-BE49-F238E27FC236}">
              <a16:creationId xmlns:a16="http://schemas.microsoft.com/office/drawing/2014/main" id="{5F448906-B942-4DB1-99F6-4A50681550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7" name="TextBox 1154">
          <a:extLst>
            <a:ext uri="{FF2B5EF4-FFF2-40B4-BE49-F238E27FC236}">
              <a16:creationId xmlns:a16="http://schemas.microsoft.com/office/drawing/2014/main" id="{EF528C9C-6F9C-4CE6-BC03-F5CAB067CA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8" name="TextBox 1155">
          <a:extLst>
            <a:ext uri="{FF2B5EF4-FFF2-40B4-BE49-F238E27FC236}">
              <a16:creationId xmlns:a16="http://schemas.microsoft.com/office/drawing/2014/main" id="{22C0D290-4461-4D11-AA5C-2F0CA20B3A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69" name="TextBox 1156">
          <a:extLst>
            <a:ext uri="{FF2B5EF4-FFF2-40B4-BE49-F238E27FC236}">
              <a16:creationId xmlns:a16="http://schemas.microsoft.com/office/drawing/2014/main" id="{04695237-944A-4CCE-890C-A86DCE9693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0" name="TextBox 13">
          <a:extLst>
            <a:ext uri="{FF2B5EF4-FFF2-40B4-BE49-F238E27FC236}">
              <a16:creationId xmlns:a16="http://schemas.microsoft.com/office/drawing/2014/main" id="{824AB4BF-2FFB-4C6A-808B-DA91968EFF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1" name="TextBox 14">
          <a:extLst>
            <a:ext uri="{FF2B5EF4-FFF2-40B4-BE49-F238E27FC236}">
              <a16:creationId xmlns:a16="http://schemas.microsoft.com/office/drawing/2014/main" id="{47BA80D0-FB54-4F75-A2C1-4792DD4BA4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2" name="TextBox 1159">
          <a:extLst>
            <a:ext uri="{FF2B5EF4-FFF2-40B4-BE49-F238E27FC236}">
              <a16:creationId xmlns:a16="http://schemas.microsoft.com/office/drawing/2014/main" id="{F14724B6-1373-4B8A-9146-00D960EF3E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3" name="TextBox 1160">
          <a:extLst>
            <a:ext uri="{FF2B5EF4-FFF2-40B4-BE49-F238E27FC236}">
              <a16:creationId xmlns:a16="http://schemas.microsoft.com/office/drawing/2014/main" id="{13990B5A-D3EB-4F99-A603-902027A544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4" name="TextBox 1161">
          <a:extLst>
            <a:ext uri="{FF2B5EF4-FFF2-40B4-BE49-F238E27FC236}">
              <a16:creationId xmlns:a16="http://schemas.microsoft.com/office/drawing/2014/main" id="{F0DFD4D5-5346-4776-9BF0-C285A3BA09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5" name="TextBox 1162">
          <a:extLst>
            <a:ext uri="{FF2B5EF4-FFF2-40B4-BE49-F238E27FC236}">
              <a16:creationId xmlns:a16="http://schemas.microsoft.com/office/drawing/2014/main" id="{73CAFBDC-E1F8-47A7-8B07-4F6D6D3CBF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6" name="TextBox 15">
          <a:extLst>
            <a:ext uri="{FF2B5EF4-FFF2-40B4-BE49-F238E27FC236}">
              <a16:creationId xmlns:a16="http://schemas.microsoft.com/office/drawing/2014/main" id="{94EB8C40-D447-4443-A4E4-B85388E211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7" name="TextBox 16">
          <a:extLst>
            <a:ext uri="{FF2B5EF4-FFF2-40B4-BE49-F238E27FC236}">
              <a16:creationId xmlns:a16="http://schemas.microsoft.com/office/drawing/2014/main" id="{04FA5781-3A87-4FAB-BB61-71EC3E40AF6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8" name="TextBox 17">
          <a:extLst>
            <a:ext uri="{FF2B5EF4-FFF2-40B4-BE49-F238E27FC236}">
              <a16:creationId xmlns:a16="http://schemas.microsoft.com/office/drawing/2014/main" id="{AA5E0049-F319-4103-BC18-1567869DD3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79" name="TextBox 18">
          <a:extLst>
            <a:ext uri="{FF2B5EF4-FFF2-40B4-BE49-F238E27FC236}">
              <a16:creationId xmlns:a16="http://schemas.microsoft.com/office/drawing/2014/main" id="{449C7708-F3FC-4F62-818C-520594A4BAC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0" name="TextBox 1167">
          <a:extLst>
            <a:ext uri="{FF2B5EF4-FFF2-40B4-BE49-F238E27FC236}">
              <a16:creationId xmlns:a16="http://schemas.microsoft.com/office/drawing/2014/main" id="{D70986BE-AFD6-42B1-A90A-BBF99B5AAE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1" name="TextBox 1168">
          <a:extLst>
            <a:ext uri="{FF2B5EF4-FFF2-40B4-BE49-F238E27FC236}">
              <a16:creationId xmlns:a16="http://schemas.microsoft.com/office/drawing/2014/main" id="{79B09219-FBE7-485A-BA40-F53FA98C6C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2" name="TextBox 1">
          <a:extLst>
            <a:ext uri="{FF2B5EF4-FFF2-40B4-BE49-F238E27FC236}">
              <a16:creationId xmlns:a16="http://schemas.microsoft.com/office/drawing/2014/main" id="{2997C8CD-95A6-4C18-A7F3-C88CAF316D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3" name="TextBox 3">
          <a:extLst>
            <a:ext uri="{FF2B5EF4-FFF2-40B4-BE49-F238E27FC236}">
              <a16:creationId xmlns:a16="http://schemas.microsoft.com/office/drawing/2014/main" id="{DB597B29-1A27-4464-92D7-35246E3F16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4" name="TextBox 1171">
          <a:extLst>
            <a:ext uri="{FF2B5EF4-FFF2-40B4-BE49-F238E27FC236}">
              <a16:creationId xmlns:a16="http://schemas.microsoft.com/office/drawing/2014/main" id="{330C3411-D0AF-4BD3-9618-0B54D95DBC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5" name="TextBox 1172">
          <a:extLst>
            <a:ext uri="{FF2B5EF4-FFF2-40B4-BE49-F238E27FC236}">
              <a16:creationId xmlns:a16="http://schemas.microsoft.com/office/drawing/2014/main" id="{9E0E94BA-58D7-43B4-B52A-FF27C54D23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6" name="TextBox 1173">
          <a:extLst>
            <a:ext uri="{FF2B5EF4-FFF2-40B4-BE49-F238E27FC236}">
              <a16:creationId xmlns:a16="http://schemas.microsoft.com/office/drawing/2014/main" id="{39CE83B3-4811-44DC-995B-C7417BD2C7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7" name="TextBox 1174">
          <a:extLst>
            <a:ext uri="{FF2B5EF4-FFF2-40B4-BE49-F238E27FC236}">
              <a16:creationId xmlns:a16="http://schemas.microsoft.com/office/drawing/2014/main" id="{D6C83950-6ED4-4894-A632-BF0D322072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8" name="TextBox 1175">
          <a:extLst>
            <a:ext uri="{FF2B5EF4-FFF2-40B4-BE49-F238E27FC236}">
              <a16:creationId xmlns:a16="http://schemas.microsoft.com/office/drawing/2014/main" id="{6B9437B6-57FA-45BC-9AEE-3B5E6246ED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89" name="TextBox 1176">
          <a:extLst>
            <a:ext uri="{FF2B5EF4-FFF2-40B4-BE49-F238E27FC236}">
              <a16:creationId xmlns:a16="http://schemas.microsoft.com/office/drawing/2014/main" id="{C13C9491-B359-4D95-B737-7326CC21A7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0" name="TextBox 1177">
          <a:extLst>
            <a:ext uri="{FF2B5EF4-FFF2-40B4-BE49-F238E27FC236}">
              <a16:creationId xmlns:a16="http://schemas.microsoft.com/office/drawing/2014/main" id="{2CF38533-88E7-4D1E-B73F-5BF889B357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1" name="TextBox 1178">
          <a:extLst>
            <a:ext uri="{FF2B5EF4-FFF2-40B4-BE49-F238E27FC236}">
              <a16:creationId xmlns:a16="http://schemas.microsoft.com/office/drawing/2014/main" id="{36EBAA05-53B1-4B4D-A1BB-19FA500431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2" name="TextBox 1179">
          <a:extLst>
            <a:ext uri="{FF2B5EF4-FFF2-40B4-BE49-F238E27FC236}">
              <a16:creationId xmlns:a16="http://schemas.microsoft.com/office/drawing/2014/main" id="{868154F1-9AA7-4EE8-B477-EBF60E53D4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3" name="TextBox 1180">
          <a:extLst>
            <a:ext uri="{FF2B5EF4-FFF2-40B4-BE49-F238E27FC236}">
              <a16:creationId xmlns:a16="http://schemas.microsoft.com/office/drawing/2014/main" id="{062D2866-8D8D-49DF-BA7E-E80F66409C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4" name="TextBox 13">
          <a:extLst>
            <a:ext uri="{FF2B5EF4-FFF2-40B4-BE49-F238E27FC236}">
              <a16:creationId xmlns:a16="http://schemas.microsoft.com/office/drawing/2014/main" id="{97D22966-ABF8-427A-8F58-A71AA94F13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5" name="TextBox 14">
          <a:extLst>
            <a:ext uri="{FF2B5EF4-FFF2-40B4-BE49-F238E27FC236}">
              <a16:creationId xmlns:a16="http://schemas.microsoft.com/office/drawing/2014/main" id="{0ECC0772-EE0B-4F1C-B2E7-ED467A11EA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6" name="TextBox 1183">
          <a:extLst>
            <a:ext uri="{FF2B5EF4-FFF2-40B4-BE49-F238E27FC236}">
              <a16:creationId xmlns:a16="http://schemas.microsoft.com/office/drawing/2014/main" id="{8F7C613A-EF1F-4172-B41D-57A5890F45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7" name="TextBox 1184">
          <a:extLst>
            <a:ext uri="{FF2B5EF4-FFF2-40B4-BE49-F238E27FC236}">
              <a16:creationId xmlns:a16="http://schemas.microsoft.com/office/drawing/2014/main" id="{F527681A-26F2-4616-BD65-9D0017AE6C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8" name="TextBox 1185">
          <a:extLst>
            <a:ext uri="{FF2B5EF4-FFF2-40B4-BE49-F238E27FC236}">
              <a16:creationId xmlns:a16="http://schemas.microsoft.com/office/drawing/2014/main" id="{FE8B36AD-A484-4684-9B25-6CF41FB8A7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599" name="TextBox 1186">
          <a:extLst>
            <a:ext uri="{FF2B5EF4-FFF2-40B4-BE49-F238E27FC236}">
              <a16:creationId xmlns:a16="http://schemas.microsoft.com/office/drawing/2014/main" id="{0D125CF7-B7BC-4010-AEEC-D3429B6CB0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0" name="TextBox 15">
          <a:extLst>
            <a:ext uri="{FF2B5EF4-FFF2-40B4-BE49-F238E27FC236}">
              <a16:creationId xmlns:a16="http://schemas.microsoft.com/office/drawing/2014/main" id="{26BA750E-CFC6-4369-A721-6FA83CFBA4D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1" name="TextBox 16">
          <a:extLst>
            <a:ext uri="{FF2B5EF4-FFF2-40B4-BE49-F238E27FC236}">
              <a16:creationId xmlns:a16="http://schemas.microsoft.com/office/drawing/2014/main" id="{A3ED2252-12D2-4E05-8AB7-1595B86444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2" name="TextBox 17">
          <a:extLst>
            <a:ext uri="{FF2B5EF4-FFF2-40B4-BE49-F238E27FC236}">
              <a16:creationId xmlns:a16="http://schemas.microsoft.com/office/drawing/2014/main" id="{09E16FE7-B5A4-4D46-9D84-945AB814E6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3" name="TextBox 18">
          <a:extLst>
            <a:ext uri="{FF2B5EF4-FFF2-40B4-BE49-F238E27FC236}">
              <a16:creationId xmlns:a16="http://schemas.microsoft.com/office/drawing/2014/main" id="{F274C8C1-6453-43A6-96EC-208AE5ED33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4" name="TextBox 1191">
          <a:extLst>
            <a:ext uri="{FF2B5EF4-FFF2-40B4-BE49-F238E27FC236}">
              <a16:creationId xmlns:a16="http://schemas.microsoft.com/office/drawing/2014/main" id="{F7523AA3-D049-40B2-B8B9-90A0BC23DB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5" name="TextBox 1192">
          <a:extLst>
            <a:ext uri="{FF2B5EF4-FFF2-40B4-BE49-F238E27FC236}">
              <a16:creationId xmlns:a16="http://schemas.microsoft.com/office/drawing/2014/main" id="{D24FB332-FF5C-4B85-B3E6-CE7A68668E0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6" name="TextBox 1">
          <a:extLst>
            <a:ext uri="{FF2B5EF4-FFF2-40B4-BE49-F238E27FC236}">
              <a16:creationId xmlns:a16="http://schemas.microsoft.com/office/drawing/2014/main" id="{C6CDD9C1-9A38-4F2E-BAC8-7365416AA9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7" name="TextBox 3">
          <a:extLst>
            <a:ext uri="{FF2B5EF4-FFF2-40B4-BE49-F238E27FC236}">
              <a16:creationId xmlns:a16="http://schemas.microsoft.com/office/drawing/2014/main" id="{13EC6D0F-9BFA-474E-A5C8-949786C40E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8" name="TextBox 1195">
          <a:extLst>
            <a:ext uri="{FF2B5EF4-FFF2-40B4-BE49-F238E27FC236}">
              <a16:creationId xmlns:a16="http://schemas.microsoft.com/office/drawing/2014/main" id="{D81AB5BC-6B3E-4638-8F2D-02951D1156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09" name="TextBox 1196">
          <a:extLst>
            <a:ext uri="{FF2B5EF4-FFF2-40B4-BE49-F238E27FC236}">
              <a16:creationId xmlns:a16="http://schemas.microsoft.com/office/drawing/2014/main" id="{2DAF368D-2F0A-464E-AEBA-6B659F3ECC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0" name="TextBox 1197">
          <a:extLst>
            <a:ext uri="{FF2B5EF4-FFF2-40B4-BE49-F238E27FC236}">
              <a16:creationId xmlns:a16="http://schemas.microsoft.com/office/drawing/2014/main" id="{50C9072E-2B1B-49B3-81F8-3D47FD04AC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1" name="TextBox 1198">
          <a:extLst>
            <a:ext uri="{FF2B5EF4-FFF2-40B4-BE49-F238E27FC236}">
              <a16:creationId xmlns:a16="http://schemas.microsoft.com/office/drawing/2014/main" id="{86EFDDC0-C8F0-4C02-B8CE-E0EBD31B5F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2" name="TextBox 1199">
          <a:extLst>
            <a:ext uri="{FF2B5EF4-FFF2-40B4-BE49-F238E27FC236}">
              <a16:creationId xmlns:a16="http://schemas.microsoft.com/office/drawing/2014/main" id="{3A93FC99-517E-4FF7-8603-CA1FF87360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3" name="TextBox 1200">
          <a:extLst>
            <a:ext uri="{FF2B5EF4-FFF2-40B4-BE49-F238E27FC236}">
              <a16:creationId xmlns:a16="http://schemas.microsoft.com/office/drawing/2014/main" id="{F43EF21F-A724-4839-A988-E61004411E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4" name="TextBox 1201">
          <a:extLst>
            <a:ext uri="{FF2B5EF4-FFF2-40B4-BE49-F238E27FC236}">
              <a16:creationId xmlns:a16="http://schemas.microsoft.com/office/drawing/2014/main" id="{ABB903E4-EECB-419E-A595-991696D06D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5" name="TextBox 1202">
          <a:extLst>
            <a:ext uri="{FF2B5EF4-FFF2-40B4-BE49-F238E27FC236}">
              <a16:creationId xmlns:a16="http://schemas.microsoft.com/office/drawing/2014/main" id="{5D6B1F04-6B52-496A-80E3-20D5F3BBBF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6" name="TextBox 1203">
          <a:extLst>
            <a:ext uri="{FF2B5EF4-FFF2-40B4-BE49-F238E27FC236}">
              <a16:creationId xmlns:a16="http://schemas.microsoft.com/office/drawing/2014/main" id="{17F641CC-171E-46E6-A91F-AFD6DE6A6A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7" name="TextBox 1204">
          <a:extLst>
            <a:ext uri="{FF2B5EF4-FFF2-40B4-BE49-F238E27FC236}">
              <a16:creationId xmlns:a16="http://schemas.microsoft.com/office/drawing/2014/main" id="{4E48516B-C2CC-4922-A4AC-BE3CC0C5A7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8" name="TextBox 13">
          <a:extLst>
            <a:ext uri="{FF2B5EF4-FFF2-40B4-BE49-F238E27FC236}">
              <a16:creationId xmlns:a16="http://schemas.microsoft.com/office/drawing/2014/main" id="{2DC4B1C7-9659-4A85-B5FF-89BE3C18D1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19" name="TextBox 14">
          <a:extLst>
            <a:ext uri="{FF2B5EF4-FFF2-40B4-BE49-F238E27FC236}">
              <a16:creationId xmlns:a16="http://schemas.microsoft.com/office/drawing/2014/main" id="{7C4FFBB2-0DFF-4E0A-BE01-32AF8A9376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0" name="TextBox 1207">
          <a:extLst>
            <a:ext uri="{FF2B5EF4-FFF2-40B4-BE49-F238E27FC236}">
              <a16:creationId xmlns:a16="http://schemas.microsoft.com/office/drawing/2014/main" id="{1DCF38B2-9A0D-4C19-AEA3-6C537C1CC83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1" name="TextBox 1208">
          <a:extLst>
            <a:ext uri="{FF2B5EF4-FFF2-40B4-BE49-F238E27FC236}">
              <a16:creationId xmlns:a16="http://schemas.microsoft.com/office/drawing/2014/main" id="{A40BB4F1-E0B5-4640-9B90-4F19821332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2" name="TextBox 1209">
          <a:extLst>
            <a:ext uri="{FF2B5EF4-FFF2-40B4-BE49-F238E27FC236}">
              <a16:creationId xmlns:a16="http://schemas.microsoft.com/office/drawing/2014/main" id="{010C5C1E-ED46-451B-A7CF-17FA3044DC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3" name="TextBox 1210">
          <a:extLst>
            <a:ext uri="{FF2B5EF4-FFF2-40B4-BE49-F238E27FC236}">
              <a16:creationId xmlns:a16="http://schemas.microsoft.com/office/drawing/2014/main" id="{C152319F-34F7-44F7-810F-9F16DF90EA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4" name="TextBox 15">
          <a:extLst>
            <a:ext uri="{FF2B5EF4-FFF2-40B4-BE49-F238E27FC236}">
              <a16:creationId xmlns:a16="http://schemas.microsoft.com/office/drawing/2014/main" id="{8A7EBBC1-01F1-4E46-A167-2FDC6795D6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5" name="TextBox 16">
          <a:extLst>
            <a:ext uri="{FF2B5EF4-FFF2-40B4-BE49-F238E27FC236}">
              <a16:creationId xmlns:a16="http://schemas.microsoft.com/office/drawing/2014/main" id="{3B11FBE1-D8C4-492A-90FC-2054664A16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6" name="TextBox 17">
          <a:extLst>
            <a:ext uri="{FF2B5EF4-FFF2-40B4-BE49-F238E27FC236}">
              <a16:creationId xmlns:a16="http://schemas.microsoft.com/office/drawing/2014/main" id="{2DCB2343-DFE4-4220-B5F3-FAF38379310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7" name="TextBox 18">
          <a:extLst>
            <a:ext uri="{FF2B5EF4-FFF2-40B4-BE49-F238E27FC236}">
              <a16:creationId xmlns:a16="http://schemas.microsoft.com/office/drawing/2014/main" id="{C5AE03FB-1722-4FC6-9342-2AFB66650D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8" name="TextBox 1215">
          <a:extLst>
            <a:ext uri="{FF2B5EF4-FFF2-40B4-BE49-F238E27FC236}">
              <a16:creationId xmlns:a16="http://schemas.microsoft.com/office/drawing/2014/main" id="{A94DE3B2-4158-424E-9591-67B90C1E7C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29" name="TextBox 1216">
          <a:extLst>
            <a:ext uri="{FF2B5EF4-FFF2-40B4-BE49-F238E27FC236}">
              <a16:creationId xmlns:a16="http://schemas.microsoft.com/office/drawing/2014/main" id="{E5835E6A-4F41-4620-8446-CEB893CF30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0" name="TextBox 1">
          <a:extLst>
            <a:ext uri="{FF2B5EF4-FFF2-40B4-BE49-F238E27FC236}">
              <a16:creationId xmlns:a16="http://schemas.microsoft.com/office/drawing/2014/main" id="{5759C1B3-C749-4E6E-BFEF-9CB3A8205F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1" name="TextBox 3">
          <a:extLst>
            <a:ext uri="{FF2B5EF4-FFF2-40B4-BE49-F238E27FC236}">
              <a16:creationId xmlns:a16="http://schemas.microsoft.com/office/drawing/2014/main" id="{9D0F9146-040A-4FE7-AEE4-9B1573D8A1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2" name="TextBox 1219">
          <a:extLst>
            <a:ext uri="{FF2B5EF4-FFF2-40B4-BE49-F238E27FC236}">
              <a16:creationId xmlns:a16="http://schemas.microsoft.com/office/drawing/2014/main" id="{ADA93CF0-2A48-4487-8477-2B763B9175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3" name="TextBox 1220">
          <a:extLst>
            <a:ext uri="{FF2B5EF4-FFF2-40B4-BE49-F238E27FC236}">
              <a16:creationId xmlns:a16="http://schemas.microsoft.com/office/drawing/2014/main" id="{BA231800-0AC2-4882-A3D1-BF98BB9CC2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4" name="TextBox 1221">
          <a:extLst>
            <a:ext uri="{FF2B5EF4-FFF2-40B4-BE49-F238E27FC236}">
              <a16:creationId xmlns:a16="http://schemas.microsoft.com/office/drawing/2014/main" id="{502BFF36-A7E9-4936-807B-BAA3B3659D3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5" name="TextBox 1222">
          <a:extLst>
            <a:ext uri="{FF2B5EF4-FFF2-40B4-BE49-F238E27FC236}">
              <a16:creationId xmlns:a16="http://schemas.microsoft.com/office/drawing/2014/main" id="{DB34AFEA-0DA7-4829-A1A4-4F669CDBE9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6" name="TextBox 1223">
          <a:extLst>
            <a:ext uri="{FF2B5EF4-FFF2-40B4-BE49-F238E27FC236}">
              <a16:creationId xmlns:a16="http://schemas.microsoft.com/office/drawing/2014/main" id="{F9768960-A71D-4FBA-8F0F-14A5144F03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7" name="TextBox 1224">
          <a:extLst>
            <a:ext uri="{FF2B5EF4-FFF2-40B4-BE49-F238E27FC236}">
              <a16:creationId xmlns:a16="http://schemas.microsoft.com/office/drawing/2014/main" id="{41802CD2-9E2D-4ABF-93E9-74A67B41B6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8" name="TextBox 1225">
          <a:extLst>
            <a:ext uri="{FF2B5EF4-FFF2-40B4-BE49-F238E27FC236}">
              <a16:creationId xmlns:a16="http://schemas.microsoft.com/office/drawing/2014/main" id="{9C13E4FD-D4BA-4FE1-A721-266661C03E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39" name="TextBox 1226">
          <a:extLst>
            <a:ext uri="{FF2B5EF4-FFF2-40B4-BE49-F238E27FC236}">
              <a16:creationId xmlns:a16="http://schemas.microsoft.com/office/drawing/2014/main" id="{F5584B4E-44DE-4EBF-AD88-B31529B48D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0" name="TextBox 1227">
          <a:extLst>
            <a:ext uri="{FF2B5EF4-FFF2-40B4-BE49-F238E27FC236}">
              <a16:creationId xmlns:a16="http://schemas.microsoft.com/office/drawing/2014/main" id="{D603B59B-4BF6-4DC3-A8DD-279B7D2772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1" name="TextBox 1228">
          <a:extLst>
            <a:ext uri="{FF2B5EF4-FFF2-40B4-BE49-F238E27FC236}">
              <a16:creationId xmlns:a16="http://schemas.microsoft.com/office/drawing/2014/main" id="{0BF3273B-21B2-4820-80A0-050C9CBE60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2" name="TextBox 13">
          <a:extLst>
            <a:ext uri="{FF2B5EF4-FFF2-40B4-BE49-F238E27FC236}">
              <a16:creationId xmlns:a16="http://schemas.microsoft.com/office/drawing/2014/main" id="{B610435C-6397-4C2C-B58C-50EFD5BA18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3" name="TextBox 14">
          <a:extLst>
            <a:ext uri="{FF2B5EF4-FFF2-40B4-BE49-F238E27FC236}">
              <a16:creationId xmlns:a16="http://schemas.microsoft.com/office/drawing/2014/main" id="{6320B4C8-6C96-45AC-98EE-05E5B30E3E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4" name="TextBox 1231">
          <a:extLst>
            <a:ext uri="{FF2B5EF4-FFF2-40B4-BE49-F238E27FC236}">
              <a16:creationId xmlns:a16="http://schemas.microsoft.com/office/drawing/2014/main" id="{0CAC58FC-0883-4D2F-8E94-74E446A546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5" name="TextBox 1232">
          <a:extLst>
            <a:ext uri="{FF2B5EF4-FFF2-40B4-BE49-F238E27FC236}">
              <a16:creationId xmlns:a16="http://schemas.microsoft.com/office/drawing/2014/main" id="{81019A82-4759-4111-8367-E72A63365F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6" name="TextBox 1233">
          <a:extLst>
            <a:ext uri="{FF2B5EF4-FFF2-40B4-BE49-F238E27FC236}">
              <a16:creationId xmlns:a16="http://schemas.microsoft.com/office/drawing/2014/main" id="{6D4E64EC-BC10-4080-BB08-53D7971534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7" name="TextBox 1234">
          <a:extLst>
            <a:ext uri="{FF2B5EF4-FFF2-40B4-BE49-F238E27FC236}">
              <a16:creationId xmlns:a16="http://schemas.microsoft.com/office/drawing/2014/main" id="{B094D1B5-4DCE-4874-898F-588B24BE21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8" name="TextBox 15">
          <a:extLst>
            <a:ext uri="{FF2B5EF4-FFF2-40B4-BE49-F238E27FC236}">
              <a16:creationId xmlns:a16="http://schemas.microsoft.com/office/drawing/2014/main" id="{02B7765C-CC5E-45A1-BDDD-45FCBBCFD4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49" name="TextBox 16">
          <a:extLst>
            <a:ext uri="{FF2B5EF4-FFF2-40B4-BE49-F238E27FC236}">
              <a16:creationId xmlns:a16="http://schemas.microsoft.com/office/drawing/2014/main" id="{E009F8C3-F5D2-418C-B12C-949A37ECA2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0" name="TextBox 17">
          <a:extLst>
            <a:ext uri="{FF2B5EF4-FFF2-40B4-BE49-F238E27FC236}">
              <a16:creationId xmlns:a16="http://schemas.microsoft.com/office/drawing/2014/main" id="{09316A68-F63F-4BE6-AEA2-E5BC810264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1" name="TextBox 18">
          <a:extLst>
            <a:ext uri="{FF2B5EF4-FFF2-40B4-BE49-F238E27FC236}">
              <a16:creationId xmlns:a16="http://schemas.microsoft.com/office/drawing/2014/main" id="{0FF962C0-82F7-4869-82FB-7B357FFC7C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2" name="TextBox 1239">
          <a:extLst>
            <a:ext uri="{FF2B5EF4-FFF2-40B4-BE49-F238E27FC236}">
              <a16:creationId xmlns:a16="http://schemas.microsoft.com/office/drawing/2014/main" id="{85128252-A90C-41F2-94F5-D696432AC1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3" name="TextBox 1240">
          <a:extLst>
            <a:ext uri="{FF2B5EF4-FFF2-40B4-BE49-F238E27FC236}">
              <a16:creationId xmlns:a16="http://schemas.microsoft.com/office/drawing/2014/main" id="{AD24F428-386D-40FF-9BA7-7C8452B356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4" name="TextBox 1">
          <a:extLst>
            <a:ext uri="{FF2B5EF4-FFF2-40B4-BE49-F238E27FC236}">
              <a16:creationId xmlns:a16="http://schemas.microsoft.com/office/drawing/2014/main" id="{92A09A75-31A8-4E11-9B1F-8CDC845818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5" name="TextBox 3">
          <a:extLst>
            <a:ext uri="{FF2B5EF4-FFF2-40B4-BE49-F238E27FC236}">
              <a16:creationId xmlns:a16="http://schemas.microsoft.com/office/drawing/2014/main" id="{A0C35A90-FE91-4A0B-86DC-7811D99DE3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6" name="TextBox 1243">
          <a:extLst>
            <a:ext uri="{FF2B5EF4-FFF2-40B4-BE49-F238E27FC236}">
              <a16:creationId xmlns:a16="http://schemas.microsoft.com/office/drawing/2014/main" id="{EE3114F1-A385-47B2-B7FA-D4C177D87B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7" name="TextBox 1244">
          <a:extLst>
            <a:ext uri="{FF2B5EF4-FFF2-40B4-BE49-F238E27FC236}">
              <a16:creationId xmlns:a16="http://schemas.microsoft.com/office/drawing/2014/main" id="{BAFB0D37-2B0C-47E4-A867-BDA46F7CAC3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8" name="TextBox 1245">
          <a:extLst>
            <a:ext uri="{FF2B5EF4-FFF2-40B4-BE49-F238E27FC236}">
              <a16:creationId xmlns:a16="http://schemas.microsoft.com/office/drawing/2014/main" id="{84B967AF-99AD-4529-A70D-A29B0074C1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59" name="TextBox 1246">
          <a:extLst>
            <a:ext uri="{FF2B5EF4-FFF2-40B4-BE49-F238E27FC236}">
              <a16:creationId xmlns:a16="http://schemas.microsoft.com/office/drawing/2014/main" id="{8FAA82DF-1594-4580-9352-1C0C74C6AA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0" name="TextBox 1247">
          <a:extLst>
            <a:ext uri="{FF2B5EF4-FFF2-40B4-BE49-F238E27FC236}">
              <a16:creationId xmlns:a16="http://schemas.microsoft.com/office/drawing/2014/main" id="{B163F2E5-A4B5-4147-A704-C71245A47F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1" name="TextBox 1248">
          <a:extLst>
            <a:ext uri="{FF2B5EF4-FFF2-40B4-BE49-F238E27FC236}">
              <a16:creationId xmlns:a16="http://schemas.microsoft.com/office/drawing/2014/main" id="{0A96AE16-C328-4A91-BCBF-EE38AFE8D3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2" name="TextBox 1249">
          <a:extLst>
            <a:ext uri="{FF2B5EF4-FFF2-40B4-BE49-F238E27FC236}">
              <a16:creationId xmlns:a16="http://schemas.microsoft.com/office/drawing/2014/main" id="{0DBE5CF8-3756-472A-8EEC-D2B3ED6629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3" name="TextBox 1250">
          <a:extLst>
            <a:ext uri="{FF2B5EF4-FFF2-40B4-BE49-F238E27FC236}">
              <a16:creationId xmlns:a16="http://schemas.microsoft.com/office/drawing/2014/main" id="{41D9EDA5-5D75-42CE-A02F-AA30FDE202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4" name="TextBox 1251">
          <a:extLst>
            <a:ext uri="{FF2B5EF4-FFF2-40B4-BE49-F238E27FC236}">
              <a16:creationId xmlns:a16="http://schemas.microsoft.com/office/drawing/2014/main" id="{9AE8123C-1950-4136-9A8B-BE5EF1CCDB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5" name="TextBox 1252">
          <a:extLst>
            <a:ext uri="{FF2B5EF4-FFF2-40B4-BE49-F238E27FC236}">
              <a16:creationId xmlns:a16="http://schemas.microsoft.com/office/drawing/2014/main" id="{68588C52-1FFE-4E91-9F5E-0FDDD49D84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6" name="TextBox 13">
          <a:extLst>
            <a:ext uri="{FF2B5EF4-FFF2-40B4-BE49-F238E27FC236}">
              <a16:creationId xmlns:a16="http://schemas.microsoft.com/office/drawing/2014/main" id="{94B1EFB1-DB5D-47E8-B2D6-A5D8851164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7" name="TextBox 14">
          <a:extLst>
            <a:ext uri="{FF2B5EF4-FFF2-40B4-BE49-F238E27FC236}">
              <a16:creationId xmlns:a16="http://schemas.microsoft.com/office/drawing/2014/main" id="{8740AD12-125D-4909-A637-5499A58099D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8" name="TextBox 1255">
          <a:extLst>
            <a:ext uri="{FF2B5EF4-FFF2-40B4-BE49-F238E27FC236}">
              <a16:creationId xmlns:a16="http://schemas.microsoft.com/office/drawing/2014/main" id="{D7C70019-B9C0-4EFF-B196-18DBFC4083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69" name="TextBox 1256">
          <a:extLst>
            <a:ext uri="{FF2B5EF4-FFF2-40B4-BE49-F238E27FC236}">
              <a16:creationId xmlns:a16="http://schemas.microsoft.com/office/drawing/2014/main" id="{798ADA10-CC72-4B6A-A689-2D25D462EC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0" name="TextBox 1257">
          <a:extLst>
            <a:ext uri="{FF2B5EF4-FFF2-40B4-BE49-F238E27FC236}">
              <a16:creationId xmlns:a16="http://schemas.microsoft.com/office/drawing/2014/main" id="{6CC61455-8644-4F02-B404-D8BEF4F08E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1" name="TextBox 1258">
          <a:extLst>
            <a:ext uri="{FF2B5EF4-FFF2-40B4-BE49-F238E27FC236}">
              <a16:creationId xmlns:a16="http://schemas.microsoft.com/office/drawing/2014/main" id="{C9304A58-D5DC-427A-B87C-9FBA056F11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2" name="TextBox 15">
          <a:extLst>
            <a:ext uri="{FF2B5EF4-FFF2-40B4-BE49-F238E27FC236}">
              <a16:creationId xmlns:a16="http://schemas.microsoft.com/office/drawing/2014/main" id="{E80C99AD-E169-402E-9EA1-05062D10BE7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3" name="TextBox 16">
          <a:extLst>
            <a:ext uri="{FF2B5EF4-FFF2-40B4-BE49-F238E27FC236}">
              <a16:creationId xmlns:a16="http://schemas.microsoft.com/office/drawing/2014/main" id="{EAC4DD33-DF19-4BA7-B909-9894E27EE9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4" name="TextBox 17">
          <a:extLst>
            <a:ext uri="{FF2B5EF4-FFF2-40B4-BE49-F238E27FC236}">
              <a16:creationId xmlns:a16="http://schemas.microsoft.com/office/drawing/2014/main" id="{6204F28B-E298-492A-B981-8B37CD0E4B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5" name="TextBox 18">
          <a:extLst>
            <a:ext uri="{FF2B5EF4-FFF2-40B4-BE49-F238E27FC236}">
              <a16:creationId xmlns:a16="http://schemas.microsoft.com/office/drawing/2014/main" id="{AAF2ADCC-782B-4473-86D5-274FB8EFFC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6" name="TextBox 1263">
          <a:extLst>
            <a:ext uri="{FF2B5EF4-FFF2-40B4-BE49-F238E27FC236}">
              <a16:creationId xmlns:a16="http://schemas.microsoft.com/office/drawing/2014/main" id="{31A532FA-9263-4F11-8DCA-1C95AEC6F7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7" name="TextBox 1264">
          <a:extLst>
            <a:ext uri="{FF2B5EF4-FFF2-40B4-BE49-F238E27FC236}">
              <a16:creationId xmlns:a16="http://schemas.microsoft.com/office/drawing/2014/main" id="{CB6363C2-6961-457A-9451-E7B11D7407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8" name="TextBox 1">
          <a:extLst>
            <a:ext uri="{FF2B5EF4-FFF2-40B4-BE49-F238E27FC236}">
              <a16:creationId xmlns:a16="http://schemas.microsoft.com/office/drawing/2014/main" id="{ACFB9238-56AA-407E-AB76-BCB8CE7922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79" name="TextBox 3">
          <a:extLst>
            <a:ext uri="{FF2B5EF4-FFF2-40B4-BE49-F238E27FC236}">
              <a16:creationId xmlns:a16="http://schemas.microsoft.com/office/drawing/2014/main" id="{C0D60C6F-4013-4B8A-8862-61C6BB976B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0" name="TextBox 1267">
          <a:extLst>
            <a:ext uri="{FF2B5EF4-FFF2-40B4-BE49-F238E27FC236}">
              <a16:creationId xmlns:a16="http://schemas.microsoft.com/office/drawing/2014/main" id="{7E12BF88-AAA2-4E3E-9379-49CE88B2AF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1" name="TextBox 1268">
          <a:extLst>
            <a:ext uri="{FF2B5EF4-FFF2-40B4-BE49-F238E27FC236}">
              <a16:creationId xmlns:a16="http://schemas.microsoft.com/office/drawing/2014/main" id="{92409E91-B83A-4C0A-A6FD-663F89C295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2" name="TextBox 1269">
          <a:extLst>
            <a:ext uri="{FF2B5EF4-FFF2-40B4-BE49-F238E27FC236}">
              <a16:creationId xmlns:a16="http://schemas.microsoft.com/office/drawing/2014/main" id="{0739F050-2CD4-4858-89AD-6BF12C8584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3" name="TextBox 1270">
          <a:extLst>
            <a:ext uri="{FF2B5EF4-FFF2-40B4-BE49-F238E27FC236}">
              <a16:creationId xmlns:a16="http://schemas.microsoft.com/office/drawing/2014/main" id="{8436AC8F-5A42-47E5-8BB8-1456AC529F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4" name="TextBox 1271">
          <a:extLst>
            <a:ext uri="{FF2B5EF4-FFF2-40B4-BE49-F238E27FC236}">
              <a16:creationId xmlns:a16="http://schemas.microsoft.com/office/drawing/2014/main" id="{82057447-ADE4-4920-9BA2-F483AFB687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5" name="TextBox 1272">
          <a:extLst>
            <a:ext uri="{FF2B5EF4-FFF2-40B4-BE49-F238E27FC236}">
              <a16:creationId xmlns:a16="http://schemas.microsoft.com/office/drawing/2014/main" id="{E366520F-C8AF-4650-A441-2DE3EF80A6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6" name="TextBox 1273">
          <a:extLst>
            <a:ext uri="{FF2B5EF4-FFF2-40B4-BE49-F238E27FC236}">
              <a16:creationId xmlns:a16="http://schemas.microsoft.com/office/drawing/2014/main" id="{D7FD3EAC-36F2-42F7-ABA0-1B7CD150D4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7" name="TextBox 1274">
          <a:extLst>
            <a:ext uri="{FF2B5EF4-FFF2-40B4-BE49-F238E27FC236}">
              <a16:creationId xmlns:a16="http://schemas.microsoft.com/office/drawing/2014/main" id="{871F2D3C-2938-4921-A6D8-291DEC9455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8" name="TextBox 1275">
          <a:extLst>
            <a:ext uri="{FF2B5EF4-FFF2-40B4-BE49-F238E27FC236}">
              <a16:creationId xmlns:a16="http://schemas.microsoft.com/office/drawing/2014/main" id="{509A6045-9E62-4A37-87B7-7049723B4B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89" name="TextBox 1276">
          <a:extLst>
            <a:ext uri="{FF2B5EF4-FFF2-40B4-BE49-F238E27FC236}">
              <a16:creationId xmlns:a16="http://schemas.microsoft.com/office/drawing/2014/main" id="{FBB10A9F-FD41-4FA9-A208-335421D5B8D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0" name="TextBox 13">
          <a:extLst>
            <a:ext uri="{FF2B5EF4-FFF2-40B4-BE49-F238E27FC236}">
              <a16:creationId xmlns:a16="http://schemas.microsoft.com/office/drawing/2014/main" id="{C1DDECD6-F26F-4017-B64F-6AC58F4AA8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1" name="TextBox 14">
          <a:extLst>
            <a:ext uri="{FF2B5EF4-FFF2-40B4-BE49-F238E27FC236}">
              <a16:creationId xmlns:a16="http://schemas.microsoft.com/office/drawing/2014/main" id="{CD7D7F95-07B4-4355-9FEC-B8B7466643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2" name="TextBox 1279">
          <a:extLst>
            <a:ext uri="{FF2B5EF4-FFF2-40B4-BE49-F238E27FC236}">
              <a16:creationId xmlns:a16="http://schemas.microsoft.com/office/drawing/2014/main" id="{EE21DE90-73A9-4FDF-8A56-DE4DA7267C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3" name="TextBox 1280">
          <a:extLst>
            <a:ext uri="{FF2B5EF4-FFF2-40B4-BE49-F238E27FC236}">
              <a16:creationId xmlns:a16="http://schemas.microsoft.com/office/drawing/2014/main" id="{2CF5C588-2A59-423B-9617-9D644F13E70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4" name="TextBox 1281">
          <a:extLst>
            <a:ext uri="{FF2B5EF4-FFF2-40B4-BE49-F238E27FC236}">
              <a16:creationId xmlns:a16="http://schemas.microsoft.com/office/drawing/2014/main" id="{56B8D686-1238-4B99-8FEC-9202F0A8139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5" name="TextBox 1282">
          <a:extLst>
            <a:ext uri="{FF2B5EF4-FFF2-40B4-BE49-F238E27FC236}">
              <a16:creationId xmlns:a16="http://schemas.microsoft.com/office/drawing/2014/main" id="{F572EA65-AAAF-4D84-9671-9C65A15AF5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6" name="TextBox 1283">
          <a:extLst>
            <a:ext uri="{FF2B5EF4-FFF2-40B4-BE49-F238E27FC236}">
              <a16:creationId xmlns:a16="http://schemas.microsoft.com/office/drawing/2014/main" id="{8BF85C17-E4B1-4392-8962-5C670E0F47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7" name="TextBox 1284">
          <a:extLst>
            <a:ext uri="{FF2B5EF4-FFF2-40B4-BE49-F238E27FC236}">
              <a16:creationId xmlns:a16="http://schemas.microsoft.com/office/drawing/2014/main" id="{5683B3A4-17F1-47DF-80FE-A784400370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8" name="TextBox 1285">
          <a:extLst>
            <a:ext uri="{FF2B5EF4-FFF2-40B4-BE49-F238E27FC236}">
              <a16:creationId xmlns:a16="http://schemas.microsoft.com/office/drawing/2014/main" id="{DE6FC3EF-D6D9-4ACC-9397-F4AB7E268B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699" name="TextBox 1286">
          <a:extLst>
            <a:ext uri="{FF2B5EF4-FFF2-40B4-BE49-F238E27FC236}">
              <a16:creationId xmlns:a16="http://schemas.microsoft.com/office/drawing/2014/main" id="{0AE64A70-9653-4F38-BA34-8F8B596556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0" name="TextBox 1287">
          <a:extLst>
            <a:ext uri="{FF2B5EF4-FFF2-40B4-BE49-F238E27FC236}">
              <a16:creationId xmlns:a16="http://schemas.microsoft.com/office/drawing/2014/main" id="{524452AD-6E20-4149-B4BB-D41D5C5A9A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1" name="TextBox 1288">
          <a:extLst>
            <a:ext uri="{FF2B5EF4-FFF2-40B4-BE49-F238E27FC236}">
              <a16:creationId xmlns:a16="http://schemas.microsoft.com/office/drawing/2014/main" id="{E436639C-BCF9-4C5C-91B5-1BB723E927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2" name="TextBox 2">
          <a:extLst>
            <a:ext uri="{FF2B5EF4-FFF2-40B4-BE49-F238E27FC236}">
              <a16:creationId xmlns:a16="http://schemas.microsoft.com/office/drawing/2014/main" id="{A1C8290A-A262-4BFD-854B-5C82CF29CF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3" name="TextBox 1290">
          <a:extLst>
            <a:ext uri="{FF2B5EF4-FFF2-40B4-BE49-F238E27FC236}">
              <a16:creationId xmlns:a16="http://schemas.microsoft.com/office/drawing/2014/main" id="{ABC114B1-1F88-4118-955D-9306D298B3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4" name="TextBox 1291">
          <a:extLst>
            <a:ext uri="{FF2B5EF4-FFF2-40B4-BE49-F238E27FC236}">
              <a16:creationId xmlns:a16="http://schemas.microsoft.com/office/drawing/2014/main" id="{2E2E92B4-E4FF-4B7A-AE57-1153C1F450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5" name="TextBox 1292">
          <a:extLst>
            <a:ext uri="{FF2B5EF4-FFF2-40B4-BE49-F238E27FC236}">
              <a16:creationId xmlns:a16="http://schemas.microsoft.com/office/drawing/2014/main" id="{0A69C260-5CDB-44B0-837E-C35C12B4C0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6" name="TextBox 1293">
          <a:extLst>
            <a:ext uri="{FF2B5EF4-FFF2-40B4-BE49-F238E27FC236}">
              <a16:creationId xmlns:a16="http://schemas.microsoft.com/office/drawing/2014/main" id="{89357CDA-C545-49C5-AC77-66482D98EB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7" name="TextBox 1294">
          <a:extLst>
            <a:ext uri="{FF2B5EF4-FFF2-40B4-BE49-F238E27FC236}">
              <a16:creationId xmlns:a16="http://schemas.microsoft.com/office/drawing/2014/main" id="{25C87DFF-795A-4FE9-9010-B910F51E2A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8" name="TextBox 2">
          <a:extLst>
            <a:ext uri="{FF2B5EF4-FFF2-40B4-BE49-F238E27FC236}">
              <a16:creationId xmlns:a16="http://schemas.microsoft.com/office/drawing/2014/main" id="{3FF248E9-A897-4ECE-9AFC-044CEA03B0F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09" name="TextBox 4">
          <a:extLst>
            <a:ext uri="{FF2B5EF4-FFF2-40B4-BE49-F238E27FC236}">
              <a16:creationId xmlns:a16="http://schemas.microsoft.com/office/drawing/2014/main" id="{AF5EC135-0887-4ED9-B047-D51BD16EB0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0" name="TextBox 5">
          <a:extLst>
            <a:ext uri="{FF2B5EF4-FFF2-40B4-BE49-F238E27FC236}">
              <a16:creationId xmlns:a16="http://schemas.microsoft.com/office/drawing/2014/main" id="{1408795F-0FF7-47E0-8CE5-3965E329FD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1" name="TextBox 6">
          <a:extLst>
            <a:ext uri="{FF2B5EF4-FFF2-40B4-BE49-F238E27FC236}">
              <a16:creationId xmlns:a16="http://schemas.microsoft.com/office/drawing/2014/main" id="{3164E3FB-60A6-453E-B28B-92F7D51384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2" name="TextBox 7">
          <a:extLst>
            <a:ext uri="{FF2B5EF4-FFF2-40B4-BE49-F238E27FC236}">
              <a16:creationId xmlns:a16="http://schemas.microsoft.com/office/drawing/2014/main" id="{5549262E-AF65-407B-AD8F-CD3FB17C64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3" name="TextBox 8">
          <a:extLst>
            <a:ext uri="{FF2B5EF4-FFF2-40B4-BE49-F238E27FC236}">
              <a16:creationId xmlns:a16="http://schemas.microsoft.com/office/drawing/2014/main" id="{DCA5F83D-B0FD-4B59-B2A8-10A42FA34C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4" name="TextBox 2">
          <a:extLst>
            <a:ext uri="{FF2B5EF4-FFF2-40B4-BE49-F238E27FC236}">
              <a16:creationId xmlns:a16="http://schemas.microsoft.com/office/drawing/2014/main" id="{4BCA4BCD-77CC-41B6-AA1A-8E21B962DA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5" name="TextBox 4">
          <a:extLst>
            <a:ext uri="{FF2B5EF4-FFF2-40B4-BE49-F238E27FC236}">
              <a16:creationId xmlns:a16="http://schemas.microsoft.com/office/drawing/2014/main" id="{B0F69EDC-5F76-4000-A92C-159DF04580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6" name="TextBox 5">
          <a:extLst>
            <a:ext uri="{FF2B5EF4-FFF2-40B4-BE49-F238E27FC236}">
              <a16:creationId xmlns:a16="http://schemas.microsoft.com/office/drawing/2014/main" id="{0C25EFFC-F179-4D4C-89AD-9934FD5B55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7" name="TextBox 6">
          <a:extLst>
            <a:ext uri="{FF2B5EF4-FFF2-40B4-BE49-F238E27FC236}">
              <a16:creationId xmlns:a16="http://schemas.microsoft.com/office/drawing/2014/main" id="{FC5CA202-DADA-42AD-916F-C5607E7958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8" name="TextBox 7">
          <a:extLst>
            <a:ext uri="{FF2B5EF4-FFF2-40B4-BE49-F238E27FC236}">
              <a16:creationId xmlns:a16="http://schemas.microsoft.com/office/drawing/2014/main" id="{BBC81DFE-1A04-4AD8-B83B-71EA50FD69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19" name="TextBox 8">
          <a:extLst>
            <a:ext uri="{FF2B5EF4-FFF2-40B4-BE49-F238E27FC236}">
              <a16:creationId xmlns:a16="http://schemas.microsoft.com/office/drawing/2014/main" id="{0FF3F9E3-5EA0-4667-9B9E-C1627FEA4E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0" name="TextBox 2">
          <a:extLst>
            <a:ext uri="{FF2B5EF4-FFF2-40B4-BE49-F238E27FC236}">
              <a16:creationId xmlns:a16="http://schemas.microsoft.com/office/drawing/2014/main" id="{6238F5A7-820A-4AF7-A9E1-31918A360F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1" name="TextBox 4">
          <a:extLst>
            <a:ext uri="{FF2B5EF4-FFF2-40B4-BE49-F238E27FC236}">
              <a16:creationId xmlns:a16="http://schemas.microsoft.com/office/drawing/2014/main" id="{9F7822D2-AA70-481E-A2F4-A773737EB4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2" name="TextBox 5">
          <a:extLst>
            <a:ext uri="{FF2B5EF4-FFF2-40B4-BE49-F238E27FC236}">
              <a16:creationId xmlns:a16="http://schemas.microsoft.com/office/drawing/2014/main" id="{AF93BA39-9E02-4201-9CC9-17659E86ED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3" name="TextBox 6">
          <a:extLst>
            <a:ext uri="{FF2B5EF4-FFF2-40B4-BE49-F238E27FC236}">
              <a16:creationId xmlns:a16="http://schemas.microsoft.com/office/drawing/2014/main" id="{7B3E4D20-623E-44F2-962B-E6319B27F1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4" name="TextBox 7">
          <a:extLst>
            <a:ext uri="{FF2B5EF4-FFF2-40B4-BE49-F238E27FC236}">
              <a16:creationId xmlns:a16="http://schemas.microsoft.com/office/drawing/2014/main" id="{D70977C4-9FC2-4F72-826D-359074A10E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5" name="TextBox 8">
          <a:extLst>
            <a:ext uri="{FF2B5EF4-FFF2-40B4-BE49-F238E27FC236}">
              <a16:creationId xmlns:a16="http://schemas.microsoft.com/office/drawing/2014/main" id="{AF7DCB84-28C5-4106-9AB9-0A70A82C6F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6" name="TextBox 1313">
          <a:extLst>
            <a:ext uri="{FF2B5EF4-FFF2-40B4-BE49-F238E27FC236}">
              <a16:creationId xmlns:a16="http://schemas.microsoft.com/office/drawing/2014/main" id="{5F4BA7AD-D57E-4800-B633-1FAD608779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7" name="TextBox 1314">
          <a:extLst>
            <a:ext uri="{FF2B5EF4-FFF2-40B4-BE49-F238E27FC236}">
              <a16:creationId xmlns:a16="http://schemas.microsoft.com/office/drawing/2014/main" id="{1E4A98C0-37EB-401C-BBD0-366B673737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8" name="TextBox 2">
          <a:extLst>
            <a:ext uri="{FF2B5EF4-FFF2-40B4-BE49-F238E27FC236}">
              <a16:creationId xmlns:a16="http://schemas.microsoft.com/office/drawing/2014/main" id="{135B5E66-A1CD-44C9-BDB4-4683852B12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29" name="TextBox 4">
          <a:extLst>
            <a:ext uri="{FF2B5EF4-FFF2-40B4-BE49-F238E27FC236}">
              <a16:creationId xmlns:a16="http://schemas.microsoft.com/office/drawing/2014/main" id="{73ABE2A7-58C9-4B65-9CE6-57914F88C1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0" name="TextBox 5">
          <a:extLst>
            <a:ext uri="{FF2B5EF4-FFF2-40B4-BE49-F238E27FC236}">
              <a16:creationId xmlns:a16="http://schemas.microsoft.com/office/drawing/2014/main" id="{F14AB45F-7179-4C22-864D-3C32ACE446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1" name="TextBox 6">
          <a:extLst>
            <a:ext uri="{FF2B5EF4-FFF2-40B4-BE49-F238E27FC236}">
              <a16:creationId xmlns:a16="http://schemas.microsoft.com/office/drawing/2014/main" id="{62A02F15-DD16-4993-B067-AD2478B07F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2" name="TextBox 7">
          <a:extLst>
            <a:ext uri="{FF2B5EF4-FFF2-40B4-BE49-F238E27FC236}">
              <a16:creationId xmlns:a16="http://schemas.microsoft.com/office/drawing/2014/main" id="{479F8A9F-0A8E-4CEB-826A-AD77D04856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3" name="TextBox 8">
          <a:extLst>
            <a:ext uri="{FF2B5EF4-FFF2-40B4-BE49-F238E27FC236}">
              <a16:creationId xmlns:a16="http://schemas.microsoft.com/office/drawing/2014/main" id="{8BEE927C-4A83-4AAB-981F-C6DB21FB61D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4" name="TextBox 2">
          <a:extLst>
            <a:ext uri="{FF2B5EF4-FFF2-40B4-BE49-F238E27FC236}">
              <a16:creationId xmlns:a16="http://schemas.microsoft.com/office/drawing/2014/main" id="{7A1E4E33-53B5-43B5-B23E-73D79F9D8C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5" name="TextBox 4">
          <a:extLst>
            <a:ext uri="{FF2B5EF4-FFF2-40B4-BE49-F238E27FC236}">
              <a16:creationId xmlns:a16="http://schemas.microsoft.com/office/drawing/2014/main" id="{6BB5A220-2608-4180-908D-6BBAF69078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6" name="TextBox 5">
          <a:extLst>
            <a:ext uri="{FF2B5EF4-FFF2-40B4-BE49-F238E27FC236}">
              <a16:creationId xmlns:a16="http://schemas.microsoft.com/office/drawing/2014/main" id="{8D160453-0FFC-4ACE-B317-D20F53C397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7" name="TextBox 6">
          <a:extLst>
            <a:ext uri="{FF2B5EF4-FFF2-40B4-BE49-F238E27FC236}">
              <a16:creationId xmlns:a16="http://schemas.microsoft.com/office/drawing/2014/main" id="{B66AE075-FC03-44B9-82E9-EDC42313A0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8" name="TextBox 7">
          <a:extLst>
            <a:ext uri="{FF2B5EF4-FFF2-40B4-BE49-F238E27FC236}">
              <a16:creationId xmlns:a16="http://schemas.microsoft.com/office/drawing/2014/main" id="{B0BB2718-2DF3-4F9B-80B9-914B364C3CF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39" name="TextBox 8">
          <a:extLst>
            <a:ext uri="{FF2B5EF4-FFF2-40B4-BE49-F238E27FC236}">
              <a16:creationId xmlns:a16="http://schemas.microsoft.com/office/drawing/2014/main" id="{5C5149C8-C6C9-4271-A622-4DF4EFCC9B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0" name="TextBox 2">
          <a:extLst>
            <a:ext uri="{FF2B5EF4-FFF2-40B4-BE49-F238E27FC236}">
              <a16:creationId xmlns:a16="http://schemas.microsoft.com/office/drawing/2014/main" id="{4D4A4427-159C-48C3-8E06-E1E86E1FC9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1" name="TextBox 4">
          <a:extLst>
            <a:ext uri="{FF2B5EF4-FFF2-40B4-BE49-F238E27FC236}">
              <a16:creationId xmlns:a16="http://schemas.microsoft.com/office/drawing/2014/main" id="{3CAC72FD-03B2-4141-8AB9-7028EF1BF4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2" name="TextBox 5">
          <a:extLst>
            <a:ext uri="{FF2B5EF4-FFF2-40B4-BE49-F238E27FC236}">
              <a16:creationId xmlns:a16="http://schemas.microsoft.com/office/drawing/2014/main" id="{E8029584-3DA6-4A79-ABB1-42D591D9CE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3" name="TextBox 6">
          <a:extLst>
            <a:ext uri="{FF2B5EF4-FFF2-40B4-BE49-F238E27FC236}">
              <a16:creationId xmlns:a16="http://schemas.microsoft.com/office/drawing/2014/main" id="{375DBF57-B4CC-4630-8A6C-26DFB683B3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4" name="TextBox 7">
          <a:extLst>
            <a:ext uri="{FF2B5EF4-FFF2-40B4-BE49-F238E27FC236}">
              <a16:creationId xmlns:a16="http://schemas.microsoft.com/office/drawing/2014/main" id="{7466C81E-985B-4D97-A20F-B9982113A4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5" name="TextBox 8">
          <a:extLst>
            <a:ext uri="{FF2B5EF4-FFF2-40B4-BE49-F238E27FC236}">
              <a16:creationId xmlns:a16="http://schemas.microsoft.com/office/drawing/2014/main" id="{6359079F-BCC4-4433-9CA7-BF82318C433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6" name="TextBox 2">
          <a:extLst>
            <a:ext uri="{FF2B5EF4-FFF2-40B4-BE49-F238E27FC236}">
              <a16:creationId xmlns:a16="http://schemas.microsoft.com/office/drawing/2014/main" id="{11CD069D-FA09-4AA7-9079-07360D3C6FC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7" name="TextBox 4">
          <a:extLst>
            <a:ext uri="{FF2B5EF4-FFF2-40B4-BE49-F238E27FC236}">
              <a16:creationId xmlns:a16="http://schemas.microsoft.com/office/drawing/2014/main" id="{8F2B3971-2806-4D6D-B396-4A8EAA46CA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8" name="TextBox 5">
          <a:extLst>
            <a:ext uri="{FF2B5EF4-FFF2-40B4-BE49-F238E27FC236}">
              <a16:creationId xmlns:a16="http://schemas.microsoft.com/office/drawing/2014/main" id="{72771461-2636-45F7-B628-2B565597B5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49" name="TextBox 6">
          <a:extLst>
            <a:ext uri="{FF2B5EF4-FFF2-40B4-BE49-F238E27FC236}">
              <a16:creationId xmlns:a16="http://schemas.microsoft.com/office/drawing/2014/main" id="{D8404313-D3C9-416F-8939-C333552831F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0" name="TextBox 7">
          <a:extLst>
            <a:ext uri="{FF2B5EF4-FFF2-40B4-BE49-F238E27FC236}">
              <a16:creationId xmlns:a16="http://schemas.microsoft.com/office/drawing/2014/main" id="{149A5B47-884A-4C6B-B98E-75C25B4BDA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1" name="TextBox 8">
          <a:extLst>
            <a:ext uri="{FF2B5EF4-FFF2-40B4-BE49-F238E27FC236}">
              <a16:creationId xmlns:a16="http://schemas.microsoft.com/office/drawing/2014/main" id="{A6E09071-16C7-43ED-A6CC-3377EE8F915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2" name="TextBox 2">
          <a:extLst>
            <a:ext uri="{FF2B5EF4-FFF2-40B4-BE49-F238E27FC236}">
              <a16:creationId xmlns:a16="http://schemas.microsoft.com/office/drawing/2014/main" id="{C8FC6E96-381A-4D98-BF04-B223E1A03B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3" name="TextBox 4">
          <a:extLst>
            <a:ext uri="{FF2B5EF4-FFF2-40B4-BE49-F238E27FC236}">
              <a16:creationId xmlns:a16="http://schemas.microsoft.com/office/drawing/2014/main" id="{7A140E8A-2374-49A5-92BE-4A28007D53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4" name="TextBox 5">
          <a:extLst>
            <a:ext uri="{FF2B5EF4-FFF2-40B4-BE49-F238E27FC236}">
              <a16:creationId xmlns:a16="http://schemas.microsoft.com/office/drawing/2014/main" id="{FC955490-FB14-489C-ADEA-3AB780F515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5" name="TextBox 6">
          <a:extLst>
            <a:ext uri="{FF2B5EF4-FFF2-40B4-BE49-F238E27FC236}">
              <a16:creationId xmlns:a16="http://schemas.microsoft.com/office/drawing/2014/main" id="{E80C6B9C-7CF0-4C2C-A64D-B9C8361773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6" name="TextBox 7">
          <a:extLst>
            <a:ext uri="{FF2B5EF4-FFF2-40B4-BE49-F238E27FC236}">
              <a16:creationId xmlns:a16="http://schemas.microsoft.com/office/drawing/2014/main" id="{BBC70E7B-1175-4C6C-A459-A6E2FEAA8F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7" name="TextBox 8">
          <a:extLst>
            <a:ext uri="{FF2B5EF4-FFF2-40B4-BE49-F238E27FC236}">
              <a16:creationId xmlns:a16="http://schemas.microsoft.com/office/drawing/2014/main" id="{5673B14A-1533-4C82-8E75-0B7193C1D8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8" name="TextBox 2">
          <a:extLst>
            <a:ext uri="{FF2B5EF4-FFF2-40B4-BE49-F238E27FC236}">
              <a16:creationId xmlns:a16="http://schemas.microsoft.com/office/drawing/2014/main" id="{594340DD-A842-4F44-BAE1-E8E61912C7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59" name="TextBox 4">
          <a:extLst>
            <a:ext uri="{FF2B5EF4-FFF2-40B4-BE49-F238E27FC236}">
              <a16:creationId xmlns:a16="http://schemas.microsoft.com/office/drawing/2014/main" id="{EEB7E10A-90E4-482D-9D25-CB5C290815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0" name="TextBox 5">
          <a:extLst>
            <a:ext uri="{FF2B5EF4-FFF2-40B4-BE49-F238E27FC236}">
              <a16:creationId xmlns:a16="http://schemas.microsoft.com/office/drawing/2014/main" id="{9BF04803-C2A1-47E9-850B-640AA79D99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1" name="TextBox 6">
          <a:extLst>
            <a:ext uri="{FF2B5EF4-FFF2-40B4-BE49-F238E27FC236}">
              <a16:creationId xmlns:a16="http://schemas.microsoft.com/office/drawing/2014/main" id="{FA282BE9-0CD7-4E7C-A14B-67B8D08EB25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2" name="TextBox 7">
          <a:extLst>
            <a:ext uri="{FF2B5EF4-FFF2-40B4-BE49-F238E27FC236}">
              <a16:creationId xmlns:a16="http://schemas.microsoft.com/office/drawing/2014/main" id="{635F21BC-8628-4BA4-8092-681D40BD71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3" name="TextBox 8">
          <a:extLst>
            <a:ext uri="{FF2B5EF4-FFF2-40B4-BE49-F238E27FC236}">
              <a16:creationId xmlns:a16="http://schemas.microsoft.com/office/drawing/2014/main" id="{67A07A1F-5A30-40BF-8032-6EDA127130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4" name="TextBox 2">
          <a:extLst>
            <a:ext uri="{FF2B5EF4-FFF2-40B4-BE49-F238E27FC236}">
              <a16:creationId xmlns:a16="http://schemas.microsoft.com/office/drawing/2014/main" id="{F2403252-9CD4-4441-91BA-60C99B8E6E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5" name="TextBox 4">
          <a:extLst>
            <a:ext uri="{FF2B5EF4-FFF2-40B4-BE49-F238E27FC236}">
              <a16:creationId xmlns:a16="http://schemas.microsoft.com/office/drawing/2014/main" id="{96589BFD-9D81-428C-977C-1D3746BF0D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6" name="TextBox 5">
          <a:extLst>
            <a:ext uri="{FF2B5EF4-FFF2-40B4-BE49-F238E27FC236}">
              <a16:creationId xmlns:a16="http://schemas.microsoft.com/office/drawing/2014/main" id="{DCE970B1-CC80-43AE-956B-392F81274FF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7" name="TextBox 6">
          <a:extLst>
            <a:ext uri="{FF2B5EF4-FFF2-40B4-BE49-F238E27FC236}">
              <a16:creationId xmlns:a16="http://schemas.microsoft.com/office/drawing/2014/main" id="{D38FF1E7-B0C6-456D-9D90-C93A7D4AFB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8" name="TextBox 7">
          <a:extLst>
            <a:ext uri="{FF2B5EF4-FFF2-40B4-BE49-F238E27FC236}">
              <a16:creationId xmlns:a16="http://schemas.microsoft.com/office/drawing/2014/main" id="{B47BFCC2-4BD1-4FE3-8BD2-3C7421C981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69" name="TextBox 8">
          <a:extLst>
            <a:ext uri="{FF2B5EF4-FFF2-40B4-BE49-F238E27FC236}">
              <a16:creationId xmlns:a16="http://schemas.microsoft.com/office/drawing/2014/main" id="{1DF5FA32-FA14-4AC0-B1E5-0E3C616972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0" name="TextBox 2">
          <a:extLst>
            <a:ext uri="{FF2B5EF4-FFF2-40B4-BE49-F238E27FC236}">
              <a16:creationId xmlns:a16="http://schemas.microsoft.com/office/drawing/2014/main" id="{1CA51565-EAA7-4BBE-AC9A-16B4481646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1" name="TextBox 4">
          <a:extLst>
            <a:ext uri="{FF2B5EF4-FFF2-40B4-BE49-F238E27FC236}">
              <a16:creationId xmlns:a16="http://schemas.microsoft.com/office/drawing/2014/main" id="{209AA6AA-5B4E-4C21-A53E-DE06EA64029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2" name="TextBox 5">
          <a:extLst>
            <a:ext uri="{FF2B5EF4-FFF2-40B4-BE49-F238E27FC236}">
              <a16:creationId xmlns:a16="http://schemas.microsoft.com/office/drawing/2014/main" id="{264DE615-A939-4EB1-AEAC-C6A30C5409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3" name="TextBox 6">
          <a:extLst>
            <a:ext uri="{FF2B5EF4-FFF2-40B4-BE49-F238E27FC236}">
              <a16:creationId xmlns:a16="http://schemas.microsoft.com/office/drawing/2014/main" id="{BEE65452-97AB-46A6-AC3C-6910A3AF33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4" name="TextBox 7">
          <a:extLst>
            <a:ext uri="{FF2B5EF4-FFF2-40B4-BE49-F238E27FC236}">
              <a16:creationId xmlns:a16="http://schemas.microsoft.com/office/drawing/2014/main" id="{6EC4D269-2774-4135-B742-4674DDFA24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5" name="TextBox 8">
          <a:extLst>
            <a:ext uri="{FF2B5EF4-FFF2-40B4-BE49-F238E27FC236}">
              <a16:creationId xmlns:a16="http://schemas.microsoft.com/office/drawing/2014/main" id="{77D4ACA3-BC64-4FF2-BB2B-90125EC159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6" name="TextBox 2">
          <a:extLst>
            <a:ext uri="{FF2B5EF4-FFF2-40B4-BE49-F238E27FC236}">
              <a16:creationId xmlns:a16="http://schemas.microsoft.com/office/drawing/2014/main" id="{6113C3D0-967E-40CB-8DF4-06D6BAAFB5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7" name="TextBox 4">
          <a:extLst>
            <a:ext uri="{FF2B5EF4-FFF2-40B4-BE49-F238E27FC236}">
              <a16:creationId xmlns:a16="http://schemas.microsoft.com/office/drawing/2014/main" id="{2F55C654-8C1B-4C04-BD71-4E01AA4D26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8" name="TextBox 5">
          <a:extLst>
            <a:ext uri="{FF2B5EF4-FFF2-40B4-BE49-F238E27FC236}">
              <a16:creationId xmlns:a16="http://schemas.microsoft.com/office/drawing/2014/main" id="{E68601F3-3910-47EB-A3C0-BDF8A9B2CBB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79" name="TextBox 6">
          <a:extLst>
            <a:ext uri="{FF2B5EF4-FFF2-40B4-BE49-F238E27FC236}">
              <a16:creationId xmlns:a16="http://schemas.microsoft.com/office/drawing/2014/main" id="{FF4E5A1D-9A26-4F0F-98C4-70FA8CC9C7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0" name="TextBox 7">
          <a:extLst>
            <a:ext uri="{FF2B5EF4-FFF2-40B4-BE49-F238E27FC236}">
              <a16:creationId xmlns:a16="http://schemas.microsoft.com/office/drawing/2014/main" id="{6F5A179A-7D0B-492C-881F-6CF8501784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1" name="TextBox 8">
          <a:extLst>
            <a:ext uri="{FF2B5EF4-FFF2-40B4-BE49-F238E27FC236}">
              <a16:creationId xmlns:a16="http://schemas.microsoft.com/office/drawing/2014/main" id="{C33F9CC3-C686-4883-9005-FB352540E5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2" name="TextBox 2">
          <a:extLst>
            <a:ext uri="{FF2B5EF4-FFF2-40B4-BE49-F238E27FC236}">
              <a16:creationId xmlns:a16="http://schemas.microsoft.com/office/drawing/2014/main" id="{5E09FC9A-7EAC-4A07-BDF2-303B36A061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3" name="TextBox 4">
          <a:extLst>
            <a:ext uri="{FF2B5EF4-FFF2-40B4-BE49-F238E27FC236}">
              <a16:creationId xmlns:a16="http://schemas.microsoft.com/office/drawing/2014/main" id="{8C3DD0E9-3292-409B-892C-DC7A971D64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4" name="TextBox 5">
          <a:extLst>
            <a:ext uri="{FF2B5EF4-FFF2-40B4-BE49-F238E27FC236}">
              <a16:creationId xmlns:a16="http://schemas.microsoft.com/office/drawing/2014/main" id="{365DA8FD-D669-46C6-AD85-16CA783CBC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5" name="TextBox 6">
          <a:extLst>
            <a:ext uri="{FF2B5EF4-FFF2-40B4-BE49-F238E27FC236}">
              <a16:creationId xmlns:a16="http://schemas.microsoft.com/office/drawing/2014/main" id="{1E44084F-717C-4BDF-BE51-2E4201FED8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6" name="TextBox 7">
          <a:extLst>
            <a:ext uri="{FF2B5EF4-FFF2-40B4-BE49-F238E27FC236}">
              <a16:creationId xmlns:a16="http://schemas.microsoft.com/office/drawing/2014/main" id="{A8F5C3F8-4897-450B-9FA2-5283EAECD8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7" name="TextBox 8">
          <a:extLst>
            <a:ext uri="{FF2B5EF4-FFF2-40B4-BE49-F238E27FC236}">
              <a16:creationId xmlns:a16="http://schemas.microsoft.com/office/drawing/2014/main" id="{64FC13F8-0CDE-4AAB-B150-BAB8795FE83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8" name="TextBox 2">
          <a:extLst>
            <a:ext uri="{FF2B5EF4-FFF2-40B4-BE49-F238E27FC236}">
              <a16:creationId xmlns:a16="http://schemas.microsoft.com/office/drawing/2014/main" id="{344FAEBB-7CBB-4490-9D17-E3460AC66B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89" name="TextBox 4">
          <a:extLst>
            <a:ext uri="{FF2B5EF4-FFF2-40B4-BE49-F238E27FC236}">
              <a16:creationId xmlns:a16="http://schemas.microsoft.com/office/drawing/2014/main" id="{B337E0F1-3E61-42E6-8A8B-30C1D0EB64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0" name="TextBox 5">
          <a:extLst>
            <a:ext uri="{FF2B5EF4-FFF2-40B4-BE49-F238E27FC236}">
              <a16:creationId xmlns:a16="http://schemas.microsoft.com/office/drawing/2014/main" id="{27433313-AF91-41AA-974C-A1D778A9B9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1" name="TextBox 6">
          <a:extLst>
            <a:ext uri="{FF2B5EF4-FFF2-40B4-BE49-F238E27FC236}">
              <a16:creationId xmlns:a16="http://schemas.microsoft.com/office/drawing/2014/main" id="{6E692134-0378-4E86-8981-6DFC2ABC3C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2" name="TextBox 7">
          <a:extLst>
            <a:ext uri="{FF2B5EF4-FFF2-40B4-BE49-F238E27FC236}">
              <a16:creationId xmlns:a16="http://schemas.microsoft.com/office/drawing/2014/main" id="{25F1B4C2-B2C6-4036-A85D-561FA73B17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3" name="TextBox 8">
          <a:extLst>
            <a:ext uri="{FF2B5EF4-FFF2-40B4-BE49-F238E27FC236}">
              <a16:creationId xmlns:a16="http://schemas.microsoft.com/office/drawing/2014/main" id="{937284A6-A4E3-4EF4-A50A-FAC902C647B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4" name="TextBox 2">
          <a:extLst>
            <a:ext uri="{FF2B5EF4-FFF2-40B4-BE49-F238E27FC236}">
              <a16:creationId xmlns:a16="http://schemas.microsoft.com/office/drawing/2014/main" id="{C4392D17-E15F-4A48-8BBB-45FFCF5E01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5" name="TextBox 4">
          <a:extLst>
            <a:ext uri="{FF2B5EF4-FFF2-40B4-BE49-F238E27FC236}">
              <a16:creationId xmlns:a16="http://schemas.microsoft.com/office/drawing/2014/main" id="{5E4A7C6C-D6E5-45CC-9776-C460AEEFF6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6" name="TextBox 5">
          <a:extLst>
            <a:ext uri="{FF2B5EF4-FFF2-40B4-BE49-F238E27FC236}">
              <a16:creationId xmlns:a16="http://schemas.microsoft.com/office/drawing/2014/main" id="{826666A9-7D2C-4AC6-BAC2-09318B9213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7" name="TextBox 6">
          <a:extLst>
            <a:ext uri="{FF2B5EF4-FFF2-40B4-BE49-F238E27FC236}">
              <a16:creationId xmlns:a16="http://schemas.microsoft.com/office/drawing/2014/main" id="{862178E8-D896-4CDC-90A6-16811FAD13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8" name="TextBox 7">
          <a:extLst>
            <a:ext uri="{FF2B5EF4-FFF2-40B4-BE49-F238E27FC236}">
              <a16:creationId xmlns:a16="http://schemas.microsoft.com/office/drawing/2014/main" id="{529FBF41-336F-47BD-8BC1-42D5CD4581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799" name="TextBox 8">
          <a:extLst>
            <a:ext uri="{FF2B5EF4-FFF2-40B4-BE49-F238E27FC236}">
              <a16:creationId xmlns:a16="http://schemas.microsoft.com/office/drawing/2014/main" id="{FA1C41E0-D7E7-48C8-A396-E78F1A7B25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0" name="TextBox 2">
          <a:extLst>
            <a:ext uri="{FF2B5EF4-FFF2-40B4-BE49-F238E27FC236}">
              <a16:creationId xmlns:a16="http://schemas.microsoft.com/office/drawing/2014/main" id="{5943FBC1-9FDA-43C0-8416-53079E5376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1" name="TextBox 4">
          <a:extLst>
            <a:ext uri="{FF2B5EF4-FFF2-40B4-BE49-F238E27FC236}">
              <a16:creationId xmlns:a16="http://schemas.microsoft.com/office/drawing/2014/main" id="{E9CC1948-B201-441D-8693-9BF39B4341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2" name="TextBox 5">
          <a:extLst>
            <a:ext uri="{FF2B5EF4-FFF2-40B4-BE49-F238E27FC236}">
              <a16:creationId xmlns:a16="http://schemas.microsoft.com/office/drawing/2014/main" id="{C2CF01AB-6200-4BDD-A825-FD08F942EA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3" name="TextBox 6">
          <a:extLst>
            <a:ext uri="{FF2B5EF4-FFF2-40B4-BE49-F238E27FC236}">
              <a16:creationId xmlns:a16="http://schemas.microsoft.com/office/drawing/2014/main" id="{BAA4B3E2-E35F-432F-9AF6-F5C6DBF12F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4" name="TextBox 7">
          <a:extLst>
            <a:ext uri="{FF2B5EF4-FFF2-40B4-BE49-F238E27FC236}">
              <a16:creationId xmlns:a16="http://schemas.microsoft.com/office/drawing/2014/main" id="{2A94C9C9-50DF-4CDE-BD48-301E482F78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5" name="TextBox 8">
          <a:extLst>
            <a:ext uri="{FF2B5EF4-FFF2-40B4-BE49-F238E27FC236}">
              <a16:creationId xmlns:a16="http://schemas.microsoft.com/office/drawing/2014/main" id="{D57E26ED-6FFC-49BB-A5C0-551F9DAF5B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6" name="TextBox 2">
          <a:extLst>
            <a:ext uri="{FF2B5EF4-FFF2-40B4-BE49-F238E27FC236}">
              <a16:creationId xmlns:a16="http://schemas.microsoft.com/office/drawing/2014/main" id="{2499927F-F5E6-4DF6-B357-69A158DBF2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7" name="TextBox 4">
          <a:extLst>
            <a:ext uri="{FF2B5EF4-FFF2-40B4-BE49-F238E27FC236}">
              <a16:creationId xmlns:a16="http://schemas.microsoft.com/office/drawing/2014/main" id="{251AACAF-9FD7-4C98-BFCF-D8E9301661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8" name="TextBox 5">
          <a:extLst>
            <a:ext uri="{FF2B5EF4-FFF2-40B4-BE49-F238E27FC236}">
              <a16:creationId xmlns:a16="http://schemas.microsoft.com/office/drawing/2014/main" id="{3FDEEC3F-0D84-4FB3-9B1A-38124802BC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09" name="TextBox 6">
          <a:extLst>
            <a:ext uri="{FF2B5EF4-FFF2-40B4-BE49-F238E27FC236}">
              <a16:creationId xmlns:a16="http://schemas.microsoft.com/office/drawing/2014/main" id="{411A92D9-9C83-48CB-B072-3AA3DDEF0C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0" name="TextBox 7">
          <a:extLst>
            <a:ext uri="{FF2B5EF4-FFF2-40B4-BE49-F238E27FC236}">
              <a16:creationId xmlns:a16="http://schemas.microsoft.com/office/drawing/2014/main" id="{19FB7BCB-5D4A-4A33-B48D-A2865A777A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1" name="TextBox 8">
          <a:extLst>
            <a:ext uri="{FF2B5EF4-FFF2-40B4-BE49-F238E27FC236}">
              <a16:creationId xmlns:a16="http://schemas.microsoft.com/office/drawing/2014/main" id="{17809F80-250C-4A42-ABB2-367E7B1561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2" name="TextBox 2">
          <a:extLst>
            <a:ext uri="{FF2B5EF4-FFF2-40B4-BE49-F238E27FC236}">
              <a16:creationId xmlns:a16="http://schemas.microsoft.com/office/drawing/2014/main" id="{33C7FBA4-5E2E-44E5-B8FC-DD72AC3562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3" name="TextBox 4">
          <a:extLst>
            <a:ext uri="{FF2B5EF4-FFF2-40B4-BE49-F238E27FC236}">
              <a16:creationId xmlns:a16="http://schemas.microsoft.com/office/drawing/2014/main" id="{2D262DC5-4A79-40DF-AE72-E948E2FC53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4" name="TextBox 5">
          <a:extLst>
            <a:ext uri="{FF2B5EF4-FFF2-40B4-BE49-F238E27FC236}">
              <a16:creationId xmlns:a16="http://schemas.microsoft.com/office/drawing/2014/main" id="{4E53567E-89B5-4EBD-A841-116B9A65F2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5" name="TextBox 6">
          <a:extLst>
            <a:ext uri="{FF2B5EF4-FFF2-40B4-BE49-F238E27FC236}">
              <a16:creationId xmlns:a16="http://schemas.microsoft.com/office/drawing/2014/main" id="{5EAB96D7-BF9A-46EA-8713-E0CD6A277A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6" name="TextBox 7">
          <a:extLst>
            <a:ext uri="{FF2B5EF4-FFF2-40B4-BE49-F238E27FC236}">
              <a16:creationId xmlns:a16="http://schemas.microsoft.com/office/drawing/2014/main" id="{74F57935-6218-40B1-95CB-56575585C2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7" name="TextBox 8">
          <a:extLst>
            <a:ext uri="{FF2B5EF4-FFF2-40B4-BE49-F238E27FC236}">
              <a16:creationId xmlns:a16="http://schemas.microsoft.com/office/drawing/2014/main" id="{8B629558-036D-446D-BA74-751B37B27C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8" name="TextBox 2">
          <a:extLst>
            <a:ext uri="{FF2B5EF4-FFF2-40B4-BE49-F238E27FC236}">
              <a16:creationId xmlns:a16="http://schemas.microsoft.com/office/drawing/2014/main" id="{257D4765-62F4-4CCB-82C1-25C098D0D8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19" name="TextBox 4">
          <a:extLst>
            <a:ext uri="{FF2B5EF4-FFF2-40B4-BE49-F238E27FC236}">
              <a16:creationId xmlns:a16="http://schemas.microsoft.com/office/drawing/2014/main" id="{DD78EF36-EC9A-4D37-81A6-9491B09BF3B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0" name="TextBox 5">
          <a:extLst>
            <a:ext uri="{FF2B5EF4-FFF2-40B4-BE49-F238E27FC236}">
              <a16:creationId xmlns:a16="http://schemas.microsoft.com/office/drawing/2014/main" id="{D6E929FF-DAB7-4767-A619-2AA8326396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1" name="TextBox 6">
          <a:extLst>
            <a:ext uri="{FF2B5EF4-FFF2-40B4-BE49-F238E27FC236}">
              <a16:creationId xmlns:a16="http://schemas.microsoft.com/office/drawing/2014/main" id="{A5584F44-EE4A-45F6-AEC6-35893BCDEA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2" name="TextBox 7">
          <a:extLst>
            <a:ext uri="{FF2B5EF4-FFF2-40B4-BE49-F238E27FC236}">
              <a16:creationId xmlns:a16="http://schemas.microsoft.com/office/drawing/2014/main" id="{AD7EAD2F-727A-4631-8FDE-4E6B8E61197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3" name="TextBox 8">
          <a:extLst>
            <a:ext uri="{FF2B5EF4-FFF2-40B4-BE49-F238E27FC236}">
              <a16:creationId xmlns:a16="http://schemas.microsoft.com/office/drawing/2014/main" id="{5EF5F3BA-E9A2-4B95-A85B-936A803974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4" name="TextBox 1411">
          <a:extLst>
            <a:ext uri="{FF2B5EF4-FFF2-40B4-BE49-F238E27FC236}">
              <a16:creationId xmlns:a16="http://schemas.microsoft.com/office/drawing/2014/main" id="{BE997E8C-BECB-4A6C-B835-FD1D4368D5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5" name="TextBox 1412">
          <a:extLst>
            <a:ext uri="{FF2B5EF4-FFF2-40B4-BE49-F238E27FC236}">
              <a16:creationId xmlns:a16="http://schemas.microsoft.com/office/drawing/2014/main" id="{7B254063-ED78-4276-ABB7-7843CC70E7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6" name="TextBox 1413">
          <a:extLst>
            <a:ext uri="{FF2B5EF4-FFF2-40B4-BE49-F238E27FC236}">
              <a16:creationId xmlns:a16="http://schemas.microsoft.com/office/drawing/2014/main" id="{9691C28A-9F6A-4103-8D94-48905C013F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7" name="TextBox 1414">
          <a:extLst>
            <a:ext uri="{FF2B5EF4-FFF2-40B4-BE49-F238E27FC236}">
              <a16:creationId xmlns:a16="http://schemas.microsoft.com/office/drawing/2014/main" id="{9B220FA6-306C-4F52-8136-8A0CEA9BF2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8" name="TextBox 2">
          <a:extLst>
            <a:ext uri="{FF2B5EF4-FFF2-40B4-BE49-F238E27FC236}">
              <a16:creationId xmlns:a16="http://schemas.microsoft.com/office/drawing/2014/main" id="{405797BA-6EA0-4DAE-B847-8FDBA19942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29" name="TextBox 4">
          <a:extLst>
            <a:ext uri="{FF2B5EF4-FFF2-40B4-BE49-F238E27FC236}">
              <a16:creationId xmlns:a16="http://schemas.microsoft.com/office/drawing/2014/main" id="{3DE496E1-3CBA-43CD-9767-9697D21C84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0" name="TextBox 5">
          <a:extLst>
            <a:ext uri="{FF2B5EF4-FFF2-40B4-BE49-F238E27FC236}">
              <a16:creationId xmlns:a16="http://schemas.microsoft.com/office/drawing/2014/main" id="{C6F68C8F-575C-4828-BE6B-499C07C07D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1" name="TextBox 6">
          <a:extLst>
            <a:ext uri="{FF2B5EF4-FFF2-40B4-BE49-F238E27FC236}">
              <a16:creationId xmlns:a16="http://schemas.microsoft.com/office/drawing/2014/main" id="{975E31A8-377F-4FC0-8245-09BED47447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2" name="TextBox 7">
          <a:extLst>
            <a:ext uri="{FF2B5EF4-FFF2-40B4-BE49-F238E27FC236}">
              <a16:creationId xmlns:a16="http://schemas.microsoft.com/office/drawing/2014/main" id="{F18E41CE-7048-4470-97FF-CFAD7C90079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3" name="TextBox 8">
          <a:extLst>
            <a:ext uri="{FF2B5EF4-FFF2-40B4-BE49-F238E27FC236}">
              <a16:creationId xmlns:a16="http://schemas.microsoft.com/office/drawing/2014/main" id="{B04CE653-3957-4F30-AAEA-A39F05A4A7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4" name="TextBox 2">
          <a:extLst>
            <a:ext uri="{FF2B5EF4-FFF2-40B4-BE49-F238E27FC236}">
              <a16:creationId xmlns:a16="http://schemas.microsoft.com/office/drawing/2014/main" id="{93E007FB-3C8D-4A62-A78B-2F437633EB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5" name="TextBox 4">
          <a:extLst>
            <a:ext uri="{FF2B5EF4-FFF2-40B4-BE49-F238E27FC236}">
              <a16:creationId xmlns:a16="http://schemas.microsoft.com/office/drawing/2014/main" id="{C5866EFC-C9C3-470F-9328-D19D073E9A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6" name="TextBox 5">
          <a:extLst>
            <a:ext uri="{FF2B5EF4-FFF2-40B4-BE49-F238E27FC236}">
              <a16:creationId xmlns:a16="http://schemas.microsoft.com/office/drawing/2014/main" id="{C78DF346-C262-4C06-9CC2-7F377937BFC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7" name="TextBox 6">
          <a:extLst>
            <a:ext uri="{FF2B5EF4-FFF2-40B4-BE49-F238E27FC236}">
              <a16:creationId xmlns:a16="http://schemas.microsoft.com/office/drawing/2014/main" id="{91D345FD-34B7-4660-8707-6EA177CF33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8" name="TextBox 7">
          <a:extLst>
            <a:ext uri="{FF2B5EF4-FFF2-40B4-BE49-F238E27FC236}">
              <a16:creationId xmlns:a16="http://schemas.microsoft.com/office/drawing/2014/main" id="{55F13085-CCF8-4AE1-A2EF-D98D9DD53A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39" name="TextBox 8">
          <a:extLst>
            <a:ext uri="{FF2B5EF4-FFF2-40B4-BE49-F238E27FC236}">
              <a16:creationId xmlns:a16="http://schemas.microsoft.com/office/drawing/2014/main" id="{287237A7-3CEE-48BC-8B6F-068DF88C9D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0" name="TextBox 2">
          <a:extLst>
            <a:ext uri="{FF2B5EF4-FFF2-40B4-BE49-F238E27FC236}">
              <a16:creationId xmlns:a16="http://schemas.microsoft.com/office/drawing/2014/main" id="{784FF323-4201-48D5-9D5B-DD922BB217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1" name="TextBox 4">
          <a:extLst>
            <a:ext uri="{FF2B5EF4-FFF2-40B4-BE49-F238E27FC236}">
              <a16:creationId xmlns:a16="http://schemas.microsoft.com/office/drawing/2014/main" id="{9A91ED2D-B85E-434B-AD9D-12DC4D32F2A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2" name="TextBox 5">
          <a:extLst>
            <a:ext uri="{FF2B5EF4-FFF2-40B4-BE49-F238E27FC236}">
              <a16:creationId xmlns:a16="http://schemas.microsoft.com/office/drawing/2014/main" id="{4933F5B6-3BD2-45D9-9306-6BB81D2853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3" name="TextBox 6">
          <a:extLst>
            <a:ext uri="{FF2B5EF4-FFF2-40B4-BE49-F238E27FC236}">
              <a16:creationId xmlns:a16="http://schemas.microsoft.com/office/drawing/2014/main" id="{056A1CA6-5236-40AB-AC82-EF6871CC8D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4" name="TextBox 7">
          <a:extLst>
            <a:ext uri="{FF2B5EF4-FFF2-40B4-BE49-F238E27FC236}">
              <a16:creationId xmlns:a16="http://schemas.microsoft.com/office/drawing/2014/main" id="{EF08ECA3-3A09-42EA-BD12-A3514B0F3C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5" name="TextBox 8">
          <a:extLst>
            <a:ext uri="{FF2B5EF4-FFF2-40B4-BE49-F238E27FC236}">
              <a16:creationId xmlns:a16="http://schemas.microsoft.com/office/drawing/2014/main" id="{DFFEF675-02D9-4E87-8CF5-6DEC0D861D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6" name="TextBox 2">
          <a:extLst>
            <a:ext uri="{FF2B5EF4-FFF2-40B4-BE49-F238E27FC236}">
              <a16:creationId xmlns:a16="http://schemas.microsoft.com/office/drawing/2014/main" id="{8C75F11F-7C5B-4F64-805F-B63ECC953C3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7" name="TextBox 4">
          <a:extLst>
            <a:ext uri="{FF2B5EF4-FFF2-40B4-BE49-F238E27FC236}">
              <a16:creationId xmlns:a16="http://schemas.microsoft.com/office/drawing/2014/main" id="{0D952D86-07F9-4E15-A534-8AA75E7221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8" name="TextBox 5">
          <a:extLst>
            <a:ext uri="{FF2B5EF4-FFF2-40B4-BE49-F238E27FC236}">
              <a16:creationId xmlns:a16="http://schemas.microsoft.com/office/drawing/2014/main" id="{E5C14CFA-BCB2-4A10-A667-0F3472A732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49" name="TextBox 6">
          <a:extLst>
            <a:ext uri="{FF2B5EF4-FFF2-40B4-BE49-F238E27FC236}">
              <a16:creationId xmlns:a16="http://schemas.microsoft.com/office/drawing/2014/main" id="{3187A879-2461-4FF6-81FD-D4675F7727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0" name="TextBox 7">
          <a:extLst>
            <a:ext uri="{FF2B5EF4-FFF2-40B4-BE49-F238E27FC236}">
              <a16:creationId xmlns:a16="http://schemas.microsoft.com/office/drawing/2014/main" id="{D73CBEEB-9236-47BC-BEBF-02088B6085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1" name="TextBox 8">
          <a:extLst>
            <a:ext uri="{FF2B5EF4-FFF2-40B4-BE49-F238E27FC236}">
              <a16:creationId xmlns:a16="http://schemas.microsoft.com/office/drawing/2014/main" id="{86FAC8FA-D9E4-4F2B-8A21-7D61C50D57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2" name="TextBox 2">
          <a:extLst>
            <a:ext uri="{FF2B5EF4-FFF2-40B4-BE49-F238E27FC236}">
              <a16:creationId xmlns:a16="http://schemas.microsoft.com/office/drawing/2014/main" id="{9FADF304-1A8F-4D4C-9791-23E65420CB1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3" name="TextBox 4">
          <a:extLst>
            <a:ext uri="{FF2B5EF4-FFF2-40B4-BE49-F238E27FC236}">
              <a16:creationId xmlns:a16="http://schemas.microsoft.com/office/drawing/2014/main" id="{E6C67601-CDBF-47CF-8B7C-D97CE03F15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4" name="TextBox 5">
          <a:extLst>
            <a:ext uri="{FF2B5EF4-FFF2-40B4-BE49-F238E27FC236}">
              <a16:creationId xmlns:a16="http://schemas.microsoft.com/office/drawing/2014/main" id="{0643AFAD-1F4D-4E6E-A6E1-9CF11388B7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5" name="TextBox 6">
          <a:extLst>
            <a:ext uri="{FF2B5EF4-FFF2-40B4-BE49-F238E27FC236}">
              <a16:creationId xmlns:a16="http://schemas.microsoft.com/office/drawing/2014/main" id="{E3DA49E1-52C8-4AB7-A033-AAA8AE7A6F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6" name="TextBox 7">
          <a:extLst>
            <a:ext uri="{FF2B5EF4-FFF2-40B4-BE49-F238E27FC236}">
              <a16:creationId xmlns:a16="http://schemas.microsoft.com/office/drawing/2014/main" id="{92F87249-3523-4AA1-B540-EE81880F21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7" name="TextBox 8">
          <a:extLst>
            <a:ext uri="{FF2B5EF4-FFF2-40B4-BE49-F238E27FC236}">
              <a16:creationId xmlns:a16="http://schemas.microsoft.com/office/drawing/2014/main" id="{15E5EB58-258A-439F-8C74-1EC3F3DAB6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8" name="TextBox 2">
          <a:extLst>
            <a:ext uri="{FF2B5EF4-FFF2-40B4-BE49-F238E27FC236}">
              <a16:creationId xmlns:a16="http://schemas.microsoft.com/office/drawing/2014/main" id="{E8FDC011-00CB-484D-B9A2-E6167607D1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59" name="TextBox 4">
          <a:extLst>
            <a:ext uri="{FF2B5EF4-FFF2-40B4-BE49-F238E27FC236}">
              <a16:creationId xmlns:a16="http://schemas.microsoft.com/office/drawing/2014/main" id="{CC05418E-F1DE-4D7B-9BD7-A996ED219EA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0" name="TextBox 5">
          <a:extLst>
            <a:ext uri="{FF2B5EF4-FFF2-40B4-BE49-F238E27FC236}">
              <a16:creationId xmlns:a16="http://schemas.microsoft.com/office/drawing/2014/main" id="{CA2410F0-668E-4427-898B-5E9D1D1AAA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1" name="TextBox 6">
          <a:extLst>
            <a:ext uri="{FF2B5EF4-FFF2-40B4-BE49-F238E27FC236}">
              <a16:creationId xmlns:a16="http://schemas.microsoft.com/office/drawing/2014/main" id="{F4440D5F-A6F0-462A-957E-F90023864C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2" name="TextBox 7">
          <a:extLst>
            <a:ext uri="{FF2B5EF4-FFF2-40B4-BE49-F238E27FC236}">
              <a16:creationId xmlns:a16="http://schemas.microsoft.com/office/drawing/2014/main" id="{E7F4B795-DBE7-46DB-8F53-6E3561066F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3" name="TextBox 8">
          <a:extLst>
            <a:ext uri="{FF2B5EF4-FFF2-40B4-BE49-F238E27FC236}">
              <a16:creationId xmlns:a16="http://schemas.microsoft.com/office/drawing/2014/main" id="{6BED7A38-A12E-4D5C-A583-1CF60210F95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4" name="TextBox 2">
          <a:extLst>
            <a:ext uri="{FF2B5EF4-FFF2-40B4-BE49-F238E27FC236}">
              <a16:creationId xmlns:a16="http://schemas.microsoft.com/office/drawing/2014/main" id="{E0B242CE-D550-4F0A-BB5A-604378B929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5" name="TextBox 4">
          <a:extLst>
            <a:ext uri="{FF2B5EF4-FFF2-40B4-BE49-F238E27FC236}">
              <a16:creationId xmlns:a16="http://schemas.microsoft.com/office/drawing/2014/main" id="{2538F365-AC75-4B91-BE52-ECD157CEFC0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6" name="TextBox 5">
          <a:extLst>
            <a:ext uri="{FF2B5EF4-FFF2-40B4-BE49-F238E27FC236}">
              <a16:creationId xmlns:a16="http://schemas.microsoft.com/office/drawing/2014/main" id="{00187886-8397-4842-ABDD-5ACD694BA90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7" name="TextBox 6">
          <a:extLst>
            <a:ext uri="{FF2B5EF4-FFF2-40B4-BE49-F238E27FC236}">
              <a16:creationId xmlns:a16="http://schemas.microsoft.com/office/drawing/2014/main" id="{E14E22E5-616F-4B37-BC37-6C81DFBCD5A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8" name="TextBox 7">
          <a:extLst>
            <a:ext uri="{FF2B5EF4-FFF2-40B4-BE49-F238E27FC236}">
              <a16:creationId xmlns:a16="http://schemas.microsoft.com/office/drawing/2014/main" id="{27CDA862-E4C0-4A4D-85F8-30A61D1745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69" name="TextBox 8">
          <a:extLst>
            <a:ext uri="{FF2B5EF4-FFF2-40B4-BE49-F238E27FC236}">
              <a16:creationId xmlns:a16="http://schemas.microsoft.com/office/drawing/2014/main" id="{9A980004-EB98-4725-803B-C647813212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0" name="TextBox 2">
          <a:extLst>
            <a:ext uri="{FF2B5EF4-FFF2-40B4-BE49-F238E27FC236}">
              <a16:creationId xmlns:a16="http://schemas.microsoft.com/office/drawing/2014/main" id="{03BA4E24-452A-4CEA-BAB7-A1D58FE222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1" name="TextBox 4">
          <a:extLst>
            <a:ext uri="{FF2B5EF4-FFF2-40B4-BE49-F238E27FC236}">
              <a16:creationId xmlns:a16="http://schemas.microsoft.com/office/drawing/2014/main" id="{108E9D52-9150-498E-B9B1-276FBDD55D1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2" name="TextBox 5">
          <a:extLst>
            <a:ext uri="{FF2B5EF4-FFF2-40B4-BE49-F238E27FC236}">
              <a16:creationId xmlns:a16="http://schemas.microsoft.com/office/drawing/2014/main" id="{7FDC6BA6-55A1-4B1F-A0E4-3477BF4C00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3" name="TextBox 6">
          <a:extLst>
            <a:ext uri="{FF2B5EF4-FFF2-40B4-BE49-F238E27FC236}">
              <a16:creationId xmlns:a16="http://schemas.microsoft.com/office/drawing/2014/main" id="{63D8382D-3E11-4813-9363-9E10D9C0D31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4" name="TextBox 7">
          <a:extLst>
            <a:ext uri="{FF2B5EF4-FFF2-40B4-BE49-F238E27FC236}">
              <a16:creationId xmlns:a16="http://schemas.microsoft.com/office/drawing/2014/main" id="{8015E8A7-1FAF-4DDB-B658-8F60141304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5" name="TextBox 8">
          <a:extLst>
            <a:ext uri="{FF2B5EF4-FFF2-40B4-BE49-F238E27FC236}">
              <a16:creationId xmlns:a16="http://schemas.microsoft.com/office/drawing/2014/main" id="{0257ABC3-6D7E-4965-B212-8092340D1F9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6" name="TextBox 2">
          <a:extLst>
            <a:ext uri="{FF2B5EF4-FFF2-40B4-BE49-F238E27FC236}">
              <a16:creationId xmlns:a16="http://schemas.microsoft.com/office/drawing/2014/main" id="{9AA4B7AC-86BB-4722-8428-7BA1112B30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7" name="TextBox 4">
          <a:extLst>
            <a:ext uri="{FF2B5EF4-FFF2-40B4-BE49-F238E27FC236}">
              <a16:creationId xmlns:a16="http://schemas.microsoft.com/office/drawing/2014/main" id="{0B5306AF-0DFB-4E92-946E-9E4C489115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8" name="TextBox 5">
          <a:extLst>
            <a:ext uri="{FF2B5EF4-FFF2-40B4-BE49-F238E27FC236}">
              <a16:creationId xmlns:a16="http://schemas.microsoft.com/office/drawing/2014/main" id="{3EB3385B-D980-447D-A028-E159FE8265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79" name="TextBox 6">
          <a:extLst>
            <a:ext uri="{FF2B5EF4-FFF2-40B4-BE49-F238E27FC236}">
              <a16:creationId xmlns:a16="http://schemas.microsoft.com/office/drawing/2014/main" id="{F28CB773-6836-4667-AA32-F62176A5C74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0" name="TextBox 7">
          <a:extLst>
            <a:ext uri="{FF2B5EF4-FFF2-40B4-BE49-F238E27FC236}">
              <a16:creationId xmlns:a16="http://schemas.microsoft.com/office/drawing/2014/main" id="{A43D5630-7700-4BD0-B40E-BA6B4F5F5A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1" name="TextBox 8">
          <a:extLst>
            <a:ext uri="{FF2B5EF4-FFF2-40B4-BE49-F238E27FC236}">
              <a16:creationId xmlns:a16="http://schemas.microsoft.com/office/drawing/2014/main" id="{6F7766C1-527E-402E-B3B3-03975B10E4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2" name="TextBox 2">
          <a:extLst>
            <a:ext uri="{FF2B5EF4-FFF2-40B4-BE49-F238E27FC236}">
              <a16:creationId xmlns:a16="http://schemas.microsoft.com/office/drawing/2014/main" id="{2BF25A39-0F8D-4542-9A4F-48C5BE14D6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3" name="TextBox 4">
          <a:extLst>
            <a:ext uri="{FF2B5EF4-FFF2-40B4-BE49-F238E27FC236}">
              <a16:creationId xmlns:a16="http://schemas.microsoft.com/office/drawing/2014/main" id="{21F8EEE2-32D7-4BFC-8C77-14BD6127A2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4" name="TextBox 5">
          <a:extLst>
            <a:ext uri="{FF2B5EF4-FFF2-40B4-BE49-F238E27FC236}">
              <a16:creationId xmlns:a16="http://schemas.microsoft.com/office/drawing/2014/main" id="{DC08185C-C311-4EF4-8744-37A526CD44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5" name="TextBox 6">
          <a:extLst>
            <a:ext uri="{FF2B5EF4-FFF2-40B4-BE49-F238E27FC236}">
              <a16:creationId xmlns:a16="http://schemas.microsoft.com/office/drawing/2014/main" id="{D94FA73A-11F7-4E09-81B9-0B4A2B3F79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6" name="TextBox 7">
          <a:extLst>
            <a:ext uri="{FF2B5EF4-FFF2-40B4-BE49-F238E27FC236}">
              <a16:creationId xmlns:a16="http://schemas.microsoft.com/office/drawing/2014/main" id="{C4131078-7B37-491F-A076-DE70BD9F997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7" name="TextBox 8">
          <a:extLst>
            <a:ext uri="{FF2B5EF4-FFF2-40B4-BE49-F238E27FC236}">
              <a16:creationId xmlns:a16="http://schemas.microsoft.com/office/drawing/2014/main" id="{E1BBCA06-00C6-469E-BD66-69A408B061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8" name="TextBox 2">
          <a:extLst>
            <a:ext uri="{FF2B5EF4-FFF2-40B4-BE49-F238E27FC236}">
              <a16:creationId xmlns:a16="http://schemas.microsoft.com/office/drawing/2014/main" id="{C498FCA2-3FBF-4164-93DC-470A5BDFD0F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89" name="TextBox 4">
          <a:extLst>
            <a:ext uri="{FF2B5EF4-FFF2-40B4-BE49-F238E27FC236}">
              <a16:creationId xmlns:a16="http://schemas.microsoft.com/office/drawing/2014/main" id="{EAAE12BB-AC45-4F92-AD33-3A262FC278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0" name="TextBox 5">
          <a:extLst>
            <a:ext uri="{FF2B5EF4-FFF2-40B4-BE49-F238E27FC236}">
              <a16:creationId xmlns:a16="http://schemas.microsoft.com/office/drawing/2014/main" id="{7A4FB209-1F39-48C1-85A2-1599641CA9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1" name="TextBox 6">
          <a:extLst>
            <a:ext uri="{FF2B5EF4-FFF2-40B4-BE49-F238E27FC236}">
              <a16:creationId xmlns:a16="http://schemas.microsoft.com/office/drawing/2014/main" id="{223038B1-F199-4527-8B0A-DB0DD55D7D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2" name="TextBox 7">
          <a:extLst>
            <a:ext uri="{FF2B5EF4-FFF2-40B4-BE49-F238E27FC236}">
              <a16:creationId xmlns:a16="http://schemas.microsoft.com/office/drawing/2014/main" id="{29D80E22-0F93-403F-8397-84EC6468ED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3" name="TextBox 8">
          <a:extLst>
            <a:ext uri="{FF2B5EF4-FFF2-40B4-BE49-F238E27FC236}">
              <a16:creationId xmlns:a16="http://schemas.microsoft.com/office/drawing/2014/main" id="{D11821E4-AAB4-4197-903A-A54D20656A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4" name="TextBox 2">
          <a:extLst>
            <a:ext uri="{FF2B5EF4-FFF2-40B4-BE49-F238E27FC236}">
              <a16:creationId xmlns:a16="http://schemas.microsoft.com/office/drawing/2014/main" id="{187A9CF2-1356-419D-92EF-E3819C0A56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5" name="TextBox 4">
          <a:extLst>
            <a:ext uri="{FF2B5EF4-FFF2-40B4-BE49-F238E27FC236}">
              <a16:creationId xmlns:a16="http://schemas.microsoft.com/office/drawing/2014/main" id="{88ABBE5F-3641-4D27-858E-2316618834E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6" name="TextBox 5">
          <a:extLst>
            <a:ext uri="{FF2B5EF4-FFF2-40B4-BE49-F238E27FC236}">
              <a16:creationId xmlns:a16="http://schemas.microsoft.com/office/drawing/2014/main" id="{2926B6AC-9D1E-4803-98A7-096BC99E17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7" name="TextBox 6">
          <a:extLst>
            <a:ext uri="{FF2B5EF4-FFF2-40B4-BE49-F238E27FC236}">
              <a16:creationId xmlns:a16="http://schemas.microsoft.com/office/drawing/2014/main" id="{494AF95F-4CA1-4958-902F-55793F0587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8" name="TextBox 7">
          <a:extLst>
            <a:ext uri="{FF2B5EF4-FFF2-40B4-BE49-F238E27FC236}">
              <a16:creationId xmlns:a16="http://schemas.microsoft.com/office/drawing/2014/main" id="{001CAA86-3214-4B8F-8178-BB3A3D9045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899" name="TextBox 8">
          <a:extLst>
            <a:ext uri="{FF2B5EF4-FFF2-40B4-BE49-F238E27FC236}">
              <a16:creationId xmlns:a16="http://schemas.microsoft.com/office/drawing/2014/main" id="{57A88B73-4A7C-43E7-85CC-49BE67DC32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0" name="TextBox 2">
          <a:extLst>
            <a:ext uri="{FF2B5EF4-FFF2-40B4-BE49-F238E27FC236}">
              <a16:creationId xmlns:a16="http://schemas.microsoft.com/office/drawing/2014/main" id="{FF6C1E5C-A839-4D67-9A19-49CB7C2C84A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1" name="TextBox 4">
          <a:extLst>
            <a:ext uri="{FF2B5EF4-FFF2-40B4-BE49-F238E27FC236}">
              <a16:creationId xmlns:a16="http://schemas.microsoft.com/office/drawing/2014/main" id="{B1807A67-32AE-49AF-9375-EA8728ED1D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2" name="TextBox 5">
          <a:extLst>
            <a:ext uri="{FF2B5EF4-FFF2-40B4-BE49-F238E27FC236}">
              <a16:creationId xmlns:a16="http://schemas.microsoft.com/office/drawing/2014/main" id="{F8659CC7-A416-4E5E-8121-0D9D9103F8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3" name="TextBox 6">
          <a:extLst>
            <a:ext uri="{FF2B5EF4-FFF2-40B4-BE49-F238E27FC236}">
              <a16:creationId xmlns:a16="http://schemas.microsoft.com/office/drawing/2014/main" id="{25016B15-0D9A-4D61-B11A-3DEB262019A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4" name="TextBox 7">
          <a:extLst>
            <a:ext uri="{FF2B5EF4-FFF2-40B4-BE49-F238E27FC236}">
              <a16:creationId xmlns:a16="http://schemas.microsoft.com/office/drawing/2014/main" id="{96E53C25-F808-4633-8D5B-282F7BB2F3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5" name="TextBox 8">
          <a:extLst>
            <a:ext uri="{FF2B5EF4-FFF2-40B4-BE49-F238E27FC236}">
              <a16:creationId xmlns:a16="http://schemas.microsoft.com/office/drawing/2014/main" id="{1A6EFEEE-4AB0-48A7-A946-BFB20E18CC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6" name="TextBox 2">
          <a:extLst>
            <a:ext uri="{FF2B5EF4-FFF2-40B4-BE49-F238E27FC236}">
              <a16:creationId xmlns:a16="http://schemas.microsoft.com/office/drawing/2014/main" id="{23F339EF-017E-48EB-9206-C409373B0B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7" name="TextBox 4">
          <a:extLst>
            <a:ext uri="{FF2B5EF4-FFF2-40B4-BE49-F238E27FC236}">
              <a16:creationId xmlns:a16="http://schemas.microsoft.com/office/drawing/2014/main" id="{5E6F549E-7EFD-4E0E-A562-807D3FCAC6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8" name="TextBox 5">
          <a:extLst>
            <a:ext uri="{FF2B5EF4-FFF2-40B4-BE49-F238E27FC236}">
              <a16:creationId xmlns:a16="http://schemas.microsoft.com/office/drawing/2014/main" id="{32DB25EC-3E32-417A-BEBB-EC87D427EF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09" name="TextBox 6">
          <a:extLst>
            <a:ext uri="{FF2B5EF4-FFF2-40B4-BE49-F238E27FC236}">
              <a16:creationId xmlns:a16="http://schemas.microsoft.com/office/drawing/2014/main" id="{ECE4E137-E1FA-40A1-8A35-B46080C332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0" name="TextBox 7">
          <a:extLst>
            <a:ext uri="{FF2B5EF4-FFF2-40B4-BE49-F238E27FC236}">
              <a16:creationId xmlns:a16="http://schemas.microsoft.com/office/drawing/2014/main" id="{F84FBAF7-3E36-4851-A0D7-C546D62F834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1" name="TextBox 8">
          <a:extLst>
            <a:ext uri="{FF2B5EF4-FFF2-40B4-BE49-F238E27FC236}">
              <a16:creationId xmlns:a16="http://schemas.microsoft.com/office/drawing/2014/main" id="{7A123E25-34D2-4127-AA3D-A38695815A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2" name="TextBox 2">
          <a:extLst>
            <a:ext uri="{FF2B5EF4-FFF2-40B4-BE49-F238E27FC236}">
              <a16:creationId xmlns:a16="http://schemas.microsoft.com/office/drawing/2014/main" id="{E911752F-AB8A-497B-9075-E9C3E1B0EE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3" name="TextBox 4">
          <a:extLst>
            <a:ext uri="{FF2B5EF4-FFF2-40B4-BE49-F238E27FC236}">
              <a16:creationId xmlns:a16="http://schemas.microsoft.com/office/drawing/2014/main" id="{F1B030FF-019F-4FC1-8818-AD28547F51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4" name="TextBox 5">
          <a:extLst>
            <a:ext uri="{FF2B5EF4-FFF2-40B4-BE49-F238E27FC236}">
              <a16:creationId xmlns:a16="http://schemas.microsoft.com/office/drawing/2014/main" id="{A986A8E0-D7C2-489C-A096-731A17E138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5" name="TextBox 6">
          <a:extLst>
            <a:ext uri="{FF2B5EF4-FFF2-40B4-BE49-F238E27FC236}">
              <a16:creationId xmlns:a16="http://schemas.microsoft.com/office/drawing/2014/main" id="{50C9A984-8291-4922-8B29-8999BE665E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6" name="TextBox 7">
          <a:extLst>
            <a:ext uri="{FF2B5EF4-FFF2-40B4-BE49-F238E27FC236}">
              <a16:creationId xmlns:a16="http://schemas.microsoft.com/office/drawing/2014/main" id="{F9D2FF2B-7B2C-4EB7-92AD-BE50FA6DFE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7" name="TextBox 8">
          <a:extLst>
            <a:ext uri="{FF2B5EF4-FFF2-40B4-BE49-F238E27FC236}">
              <a16:creationId xmlns:a16="http://schemas.microsoft.com/office/drawing/2014/main" id="{E4FDD1CB-9D46-40CD-9B50-9698F23C5C6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8" name="TextBox 2">
          <a:extLst>
            <a:ext uri="{FF2B5EF4-FFF2-40B4-BE49-F238E27FC236}">
              <a16:creationId xmlns:a16="http://schemas.microsoft.com/office/drawing/2014/main" id="{30239734-CCD3-41AB-84DC-3F1885BD33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19" name="TextBox 4">
          <a:extLst>
            <a:ext uri="{FF2B5EF4-FFF2-40B4-BE49-F238E27FC236}">
              <a16:creationId xmlns:a16="http://schemas.microsoft.com/office/drawing/2014/main" id="{363FF43D-8768-4FE6-BED7-3D9EFD3C0E9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0" name="TextBox 5">
          <a:extLst>
            <a:ext uri="{FF2B5EF4-FFF2-40B4-BE49-F238E27FC236}">
              <a16:creationId xmlns:a16="http://schemas.microsoft.com/office/drawing/2014/main" id="{91DD8D56-800C-4A07-8D53-DBB8988DD01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1" name="TextBox 6">
          <a:extLst>
            <a:ext uri="{FF2B5EF4-FFF2-40B4-BE49-F238E27FC236}">
              <a16:creationId xmlns:a16="http://schemas.microsoft.com/office/drawing/2014/main" id="{35273869-6116-45B5-A804-0E526E6C06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2" name="TextBox 7">
          <a:extLst>
            <a:ext uri="{FF2B5EF4-FFF2-40B4-BE49-F238E27FC236}">
              <a16:creationId xmlns:a16="http://schemas.microsoft.com/office/drawing/2014/main" id="{2000C86B-8B5C-4584-880F-0E6C82F466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3" name="TextBox 8">
          <a:extLst>
            <a:ext uri="{FF2B5EF4-FFF2-40B4-BE49-F238E27FC236}">
              <a16:creationId xmlns:a16="http://schemas.microsoft.com/office/drawing/2014/main" id="{4072DACD-1920-453F-AB4D-A8B11C690C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4" name="TextBox 2">
          <a:extLst>
            <a:ext uri="{FF2B5EF4-FFF2-40B4-BE49-F238E27FC236}">
              <a16:creationId xmlns:a16="http://schemas.microsoft.com/office/drawing/2014/main" id="{1C852ECC-7C49-4129-BC0A-DE224D08FDE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5" name="TextBox 4">
          <a:extLst>
            <a:ext uri="{FF2B5EF4-FFF2-40B4-BE49-F238E27FC236}">
              <a16:creationId xmlns:a16="http://schemas.microsoft.com/office/drawing/2014/main" id="{15B4FD2E-449D-4DAB-8A7B-ACAEB28F948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6" name="TextBox 5">
          <a:extLst>
            <a:ext uri="{FF2B5EF4-FFF2-40B4-BE49-F238E27FC236}">
              <a16:creationId xmlns:a16="http://schemas.microsoft.com/office/drawing/2014/main" id="{D320E555-EDC8-455F-B6CC-794EA8E68B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7" name="TextBox 6">
          <a:extLst>
            <a:ext uri="{FF2B5EF4-FFF2-40B4-BE49-F238E27FC236}">
              <a16:creationId xmlns:a16="http://schemas.microsoft.com/office/drawing/2014/main" id="{59830C0F-A387-469E-8625-21E1062CEE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8" name="TextBox 7">
          <a:extLst>
            <a:ext uri="{FF2B5EF4-FFF2-40B4-BE49-F238E27FC236}">
              <a16:creationId xmlns:a16="http://schemas.microsoft.com/office/drawing/2014/main" id="{10EFD921-4BA4-4DAB-B406-DC5FDCBC206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29" name="TextBox 8">
          <a:extLst>
            <a:ext uri="{FF2B5EF4-FFF2-40B4-BE49-F238E27FC236}">
              <a16:creationId xmlns:a16="http://schemas.microsoft.com/office/drawing/2014/main" id="{C53FA441-9ADB-4CA4-94D4-83A6D3002E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0" name="TextBox 2">
          <a:extLst>
            <a:ext uri="{FF2B5EF4-FFF2-40B4-BE49-F238E27FC236}">
              <a16:creationId xmlns:a16="http://schemas.microsoft.com/office/drawing/2014/main" id="{E2283427-16FC-4EBC-9374-AE06953ED87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1" name="TextBox 4">
          <a:extLst>
            <a:ext uri="{FF2B5EF4-FFF2-40B4-BE49-F238E27FC236}">
              <a16:creationId xmlns:a16="http://schemas.microsoft.com/office/drawing/2014/main" id="{884FE009-2ADF-4B8A-B4BD-2120764C47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2" name="TextBox 5">
          <a:extLst>
            <a:ext uri="{FF2B5EF4-FFF2-40B4-BE49-F238E27FC236}">
              <a16:creationId xmlns:a16="http://schemas.microsoft.com/office/drawing/2014/main" id="{6EE9D3CC-91CA-438A-ADF1-8789DE984C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3" name="TextBox 6">
          <a:extLst>
            <a:ext uri="{FF2B5EF4-FFF2-40B4-BE49-F238E27FC236}">
              <a16:creationId xmlns:a16="http://schemas.microsoft.com/office/drawing/2014/main" id="{315FF546-9C33-4065-B641-8C8FAE17DB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4" name="TextBox 7">
          <a:extLst>
            <a:ext uri="{FF2B5EF4-FFF2-40B4-BE49-F238E27FC236}">
              <a16:creationId xmlns:a16="http://schemas.microsoft.com/office/drawing/2014/main" id="{B85639AE-7E7C-406D-9D2A-C1802402E7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5" name="TextBox 8">
          <a:extLst>
            <a:ext uri="{FF2B5EF4-FFF2-40B4-BE49-F238E27FC236}">
              <a16:creationId xmlns:a16="http://schemas.microsoft.com/office/drawing/2014/main" id="{36D9CEA9-4643-4018-97ED-8546F9B29BB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6" name="TextBox 2">
          <a:extLst>
            <a:ext uri="{FF2B5EF4-FFF2-40B4-BE49-F238E27FC236}">
              <a16:creationId xmlns:a16="http://schemas.microsoft.com/office/drawing/2014/main" id="{0778C47A-EBAC-472F-85EB-F39D5BA7D7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7" name="TextBox 4">
          <a:extLst>
            <a:ext uri="{FF2B5EF4-FFF2-40B4-BE49-F238E27FC236}">
              <a16:creationId xmlns:a16="http://schemas.microsoft.com/office/drawing/2014/main" id="{4EF3FF2D-24F1-40F5-9641-709F4FA394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8" name="TextBox 5">
          <a:extLst>
            <a:ext uri="{FF2B5EF4-FFF2-40B4-BE49-F238E27FC236}">
              <a16:creationId xmlns:a16="http://schemas.microsoft.com/office/drawing/2014/main" id="{7B83D907-6EF6-44BF-AB8A-C6E67B1BC1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39" name="TextBox 6">
          <a:extLst>
            <a:ext uri="{FF2B5EF4-FFF2-40B4-BE49-F238E27FC236}">
              <a16:creationId xmlns:a16="http://schemas.microsoft.com/office/drawing/2014/main" id="{9A844ACD-1538-4121-9CEC-319246585A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0" name="TextBox 7">
          <a:extLst>
            <a:ext uri="{FF2B5EF4-FFF2-40B4-BE49-F238E27FC236}">
              <a16:creationId xmlns:a16="http://schemas.microsoft.com/office/drawing/2014/main" id="{58AF8337-59A4-40FD-821E-076AC7EED6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1" name="TextBox 8">
          <a:extLst>
            <a:ext uri="{FF2B5EF4-FFF2-40B4-BE49-F238E27FC236}">
              <a16:creationId xmlns:a16="http://schemas.microsoft.com/office/drawing/2014/main" id="{69476E73-2671-431C-9E0D-2E4A4E6E77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2" name="TextBox 2">
          <a:extLst>
            <a:ext uri="{FF2B5EF4-FFF2-40B4-BE49-F238E27FC236}">
              <a16:creationId xmlns:a16="http://schemas.microsoft.com/office/drawing/2014/main" id="{DC177FF4-49BB-4BE0-A270-72E9414D7A3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3" name="TextBox 4">
          <a:extLst>
            <a:ext uri="{FF2B5EF4-FFF2-40B4-BE49-F238E27FC236}">
              <a16:creationId xmlns:a16="http://schemas.microsoft.com/office/drawing/2014/main" id="{E79C9389-6939-4B43-8EA0-A39549EAA2B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4" name="TextBox 5">
          <a:extLst>
            <a:ext uri="{FF2B5EF4-FFF2-40B4-BE49-F238E27FC236}">
              <a16:creationId xmlns:a16="http://schemas.microsoft.com/office/drawing/2014/main" id="{6A24C720-3FFE-468C-8A14-515A5895A2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5" name="TextBox 6">
          <a:extLst>
            <a:ext uri="{FF2B5EF4-FFF2-40B4-BE49-F238E27FC236}">
              <a16:creationId xmlns:a16="http://schemas.microsoft.com/office/drawing/2014/main" id="{C9C613F6-D979-4613-946C-01D095C7451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6" name="TextBox 7">
          <a:extLst>
            <a:ext uri="{FF2B5EF4-FFF2-40B4-BE49-F238E27FC236}">
              <a16:creationId xmlns:a16="http://schemas.microsoft.com/office/drawing/2014/main" id="{2F9BB8E0-1920-40D0-81F8-2EDE19D759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7" name="TextBox 8">
          <a:extLst>
            <a:ext uri="{FF2B5EF4-FFF2-40B4-BE49-F238E27FC236}">
              <a16:creationId xmlns:a16="http://schemas.microsoft.com/office/drawing/2014/main" id="{15EBDFA1-51A6-4E97-BFE8-8686BEA56D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8" name="TextBox 2">
          <a:extLst>
            <a:ext uri="{FF2B5EF4-FFF2-40B4-BE49-F238E27FC236}">
              <a16:creationId xmlns:a16="http://schemas.microsoft.com/office/drawing/2014/main" id="{7F90AB58-42B1-4414-897C-C7C303CCC0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49" name="TextBox 4">
          <a:extLst>
            <a:ext uri="{FF2B5EF4-FFF2-40B4-BE49-F238E27FC236}">
              <a16:creationId xmlns:a16="http://schemas.microsoft.com/office/drawing/2014/main" id="{CC2E0C54-C24F-4ABF-BDED-A6698E3DE8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0" name="TextBox 5">
          <a:extLst>
            <a:ext uri="{FF2B5EF4-FFF2-40B4-BE49-F238E27FC236}">
              <a16:creationId xmlns:a16="http://schemas.microsoft.com/office/drawing/2014/main" id="{7743D610-91CD-4645-8A67-8D36B3F80A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1" name="TextBox 6">
          <a:extLst>
            <a:ext uri="{FF2B5EF4-FFF2-40B4-BE49-F238E27FC236}">
              <a16:creationId xmlns:a16="http://schemas.microsoft.com/office/drawing/2014/main" id="{7A97D7DF-B9A0-4F33-B7D5-99B9CA43D9A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2" name="TextBox 7">
          <a:extLst>
            <a:ext uri="{FF2B5EF4-FFF2-40B4-BE49-F238E27FC236}">
              <a16:creationId xmlns:a16="http://schemas.microsoft.com/office/drawing/2014/main" id="{9B67B9DD-2998-4D2C-9613-2768C0AF85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3" name="TextBox 8">
          <a:extLst>
            <a:ext uri="{FF2B5EF4-FFF2-40B4-BE49-F238E27FC236}">
              <a16:creationId xmlns:a16="http://schemas.microsoft.com/office/drawing/2014/main" id="{61624A59-604D-43C1-9D80-6EEA370ACA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4" name="TextBox 2">
          <a:extLst>
            <a:ext uri="{FF2B5EF4-FFF2-40B4-BE49-F238E27FC236}">
              <a16:creationId xmlns:a16="http://schemas.microsoft.com/office/drawing/2014/main" id="{844EB720-74B2-4753-A214-86085DE31F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5" name="TextBox 4">
          <a:extLst>
            <a:ext uri="{FF2B5EF4-FFF2-40B4-BE49-F238E27FC236}">
              <a16:creationId xmlns:a16="http://schemas.microsoft.com/office/drawing/2014/main" id="{17ACD270-B0EC-4A9D-9E53-2600213C2E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6" name="TextBox 5">
          <a:extLst>
            <a:ext uri="{FF2B5EF4-FFF2-40B4-BE49-F238E27FC236}">
              <a16:creationId xmlns:a16="http://schemas.microsoft.com/office/drawing/2014/main" id="{42E88B91-1B43-4DD8-BDB1-8BEDAC7BB4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7" name="TextBox 6">
          <a:extLst>
            <a:ext uri="{FF2B5EF4-FFF2-40B4-BE49-F238E27FC236}">
              <a16:creationId xmlns:a16="http://schemas.microsoft.com/office/drawing/2014/main" id="{6DC1689F-B96C-420B-B08C-2781F593E6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8" name="TextBox 7">
          <a:extLst>
            <a:ext uri="{FF2B5EF4-FFF2-40B4-BE49-F238E27FC236}">
              <a16:creationId xmlns:a16="http://schemas.microsoft.com/office/drawing/2014/main" id="{871E338B-F5D9-4FD6-BDED-F0816D647A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59" name="TextBox 8">
          <a:extLst>
            <a:ext uri="{FF2B5EF4-FFF2-40B4-BE49-F238E27FC236}">
              <a16:creationId xmlns:a16="http://schemas.microsoft.com/office/drawing/2014/main" id="{E99E7CDD-EB31-48E2-852C-D144088A2C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0" name="TextBox 2">
          <a:extLst>
            <a:ext uri="{FF2B5EF4-FFF2-40B4-BE49-F238E27FC236}">
              <a16:creationId xmlns:a16="http://schemas.microsoft.com/office/drawing/2014/main" id="{80BEA7FD-F377-4AD4-9B08-DE01454037E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1" name="TextBox 4">
          <a:extLst>
            <a:ext uri="{FF2B5EF4-FFF2-40B4-BE49-F238E27FC236}">
              <a16:creationId xmlns:a16="http://schemas.microsoft.com/office/drawing/2014/main" id="{429D9070-1CB1-4AD2-ABD4-FC3779F9476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2" name="TextBox 5">
          <a:extLst>
            <a:ext uri="{FF2B5EF4-FFF2-40B4-BE49-F238E27FC236}">
              <a16:creationId xmlns:a16="http://schemas.microsoft.com/office/drawing/2014/main" id="{CBDBC0C7-F877-4402-9029-A53BB00320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3" name="TextBox 6">
          <a:extLst>
            <a:ext uri="{FF2B5EF4-FFF2-40B4-BE49-F238E27FC236}">
              <a16:creationId xmlns:a16="http://schemas.microsoft.com/office/drawing/2014/main" id="{DED35B9C-7E2D-49A8-A66F-049A1DB186D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4" name="TextBox 7">
          <a:extLst>
            <a:ext uri="{FF2B5EF4-FFF2-40B4-BE49-F238E27FC236}">
              <a16:creationId xmlns:a16="http://schemas.microsoft.com/office/drawing/2014/main" id="{C394B53F-C3F1-4DF4-9EB5-57FC11E27F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5" name="TextBox 8">
          <a:extLst>
            <a:ext uri="{FF2B5EF4-FFF2-40B4-BE49-F238E27FC236}">
              <a16:creationId xmlns:a16="http://schemas.microsoft.com/office/drawing/2014/main" id="{620C3E63-ECFA-48C0-9235-FBD4E5CAE62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6" name="TextBox 2">
          <a:extLst>
            <a:ext uri="{FF2B5EF4-FFF2-40B4-BE49-F238E27FC236}">
              <a16:creationId xmlns:a16="http://schemas.microsoft.com/office/drawing/2014/main" id="{FAB95F4E-F52C-46FC-823E-931841B4395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7" name="TextBox 4">
          <a:extLst>
            <a:ext uri="{FF2B5EF4-FFF2-40B4-BE49-F238E27FC236}">
              <a16:creationId xmlns:a16="http://schemas.microsoft.com/office/drawing/2014/main" id="{0147F803-7949-4335-AEB7-3A857C8195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8" name="TextBox 5">
          <a:extLst>
            <a:ext uri="{FF2B5EF4-FFF2-40B4-BE49-F238E27FC236}">
              <a16:creationId xmlns:a16="http://schemas.microsoft.com/office/drawing/2014/main" id="{612B596B-3637-4C0B-8F8B-922002B6F37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69" name="TextBox 6">
          <a:extLst>
            <a:ext uri="{FF2B5EF4-FFF2-40B4-BE49-F238E27FC236}">
              <a16:creationId xmlns:a16="http://schemas.microsoft.com/office/drawing/2014/main" id="{DEE564A1-7CC6-4621-A2F0-6C60E8B5E9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0" name="TextBox 7">
          <a:extLst>
            <a:ext uri="{FF2B5EF4-FFF2-40B4-BE49-F238E27FC236}">
              <a16:creationId xmlns:a16="http://schemas.microsoft.com/office/drawing/2014/main" id="{7CFF2EB9-AC50-4228-A4C7-7B914A0BBED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1" name="TextBox 8">
          <a:extLst>
            <a:ext uri="{FF2B5EF4-FFF2-40B4-BE49-F238E27FC236}">
              <a16:creationId xmlns:a16="http://schemas.microsoft.com/office/drawing/2014/main" id="{4C8FEED7-3045-47DD-98BD-D53F8DBBDA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2" name="TextBox 2">
          <a:extLst>
            <a:ext uri="{FF2B5EF4-FFF2-40B4-BE49-F238E27FC236}">
              <a16:creationId xmlns:a16="http://schemas.microsoft.com/office/drawing/2014/main" id="{1AEA264F-9598-4CA5-BFC6-1CC4AF1D14B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3" name="TextBox 4">
          <a:extLst>
            <a:ext uri="{FF2B5EF4-FFF2-40B4-BE49-F238E27FC236}">
              <a16:creationId xmlns:a16="http://schemas.microsoft.com/office/drawing/2014/main" id="{EAE83D61-9DD0-4CAD-8441-8A34B9E3B3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4" name="TextBox 5">
          <a:extLst>
            <a:ext uri="{FF2B5EF4-FFF2-40B4-BE49-F238E27FC236}">
              <a16:creationId xmlns:a16="http://schemas.microsoft.com/office/drawing/2014/main" id="{49264FBC-C6D8-4CFC-995F-00ADDEB9429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5" name="TextBox 6">
          <a:extLst>
            <a:ext uri="{FF2B5EF4-FFF2-40B4-BE49-F238E27FC236}">
              <a16:creationId xmlns:a16="http://schemas.microsoft.com/office/drawing/2014/main" id="{261F17B5-CEBC-40D3-AA2B-06B903486D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6" name="TextBox 7">
          <a:extLst>
            <a:ext uri="{FF2B5EF4-FFF2-40B4-BE49-F238E27FC236}">
              <a16:creationId xmlns:a16="http://schemas.microsoft.com/office/drawing/2014/main" id="{F81B693F-D523-4515-8338-DD899B83AE9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7" name="TextBox 8">
          <a:extLst>
            <a:ext uri="{FF2B5EF4-FFF2-40B4-BE49-F238E27FC236}">
              <a16:creationId xmlns:a16="http://schemas.microsoft.com/office/drawing/2014/main" id="{F4F9F3B5-D32E-4463-95D7-CD1077E13D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8" name="TextBox 2">
          <a:extLst>
            <a:ext uri="{FF2B5EF4-FFF2-40B4-BE49-F238E27FC236}">
              <a16:creationId xmlns:a16="http://schemas.microsoft.com/office/drawing/2014/main" id="{576828D2-2D4E-471F-9FD7-3DF49D4E4D8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79" name="TextBox 4">
          <a:extLst>
            <a:ext uri="{FF2B5EF4-FFF2-40B4-BE49-F238E27FC236}">
              <a16:creationId xmlns:a16="http://schemas.microsoft.com/office/drawing/2014/main" id="{D05A974E-D1BF-45BC-84BF-EDD6772955D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0" name="TextBox 5">
          <a:extLst>
            <a:ext uri="{FF2B5EF4-FFF2-40B4-BE49-F238E27FC236}">
              <a16:creationId xmlns:a16="http://schemas.microsoft.com/office/drawing/2014/main" id="{E05E6753-8D73-4017-A816-4C2A36D0EF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1" name="TextBox 6">
          <a:extLst>
            <a:ext uri="{FF2B5EF4-FFF2-40B4-BE49-F238E27FC236}">
              <a16:creationId xmlns:a16="http://schemas.microsoft.com/office/drawing/2014/main" id="{9537AB7E-5BAC-4257-ABCF-10885A4FA00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2" name="TextBox 7">
          <a:extLst>
            <a:ext uri="{FF2B5EF4-FFF2-40B4-BE49-F238E27FC236}">
              <a16:creationId xmlns:a16="http://schemas.microsoft.com/office/drawing/2014/main" id="{BEF97A6A-2E21-4EFC-A676-D2193FB149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3" name="TextBox 8">
          <a:extLst>
            <a:ext uri="{FF2B5EF4-FFF2-40B4-BE49-F238E27FC236}">
              <a16:creationId xmlns:a16="http://schemas.microsoft.com/office/drawing/2014/main" id="{F0E8668C-9625-4FBC-90B7-4E06CC0EDF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4" name="TextBox 2">
          <a:extLst>
            <a:ext uri="{FF2B5EF4-FFF2-40B4-BE49-F238E27FC236}">
              <a16:creationId xmlns:a16="http://schemas.microsoft.com/office/drawing/2014/main" id="{0C0ED702-A87D-4036-A7C1-9135C0527A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5" name="TextBox 4">
          <a:extLst>
            <a:ext uri="{FF2B5EF4-FFF2-40B4-BE49-F238E27FC236}">
              <a16:creationId xmlns:a16="http://schemas.microsoft.com/office/drawing/2014/main" id="{69426737-B8DE-441D-AD1D-1624A522D7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6" name="TextBox 5">
          <a:extLst>
            <a:ext uri="{FF2B5EF4-FFF2-40B4-BE49-F238E27FC236}">
              <a16:creationId xmlns:a16="http://schemas.microsoft.com/office/drawing/2014/main" id="{EE9DD8D5-DC43-4331-8561-7B8357C9D1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7" name="TextBox 6">
          <a:extLst>
            <a:ext uri="{FF2B5EF4-FFF2-40B4-BE49-F238E27FC236}">
              <a16:creationId xmlns:a16="http://schemas.microsoft.com/office/drawing/2014/main" id="{CD01FE08-7B6C-41EE-AE93-F700A376F8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8" name="TextBox 7">
          <a:extLst>
            <a:ext uri="{FF2B5EF4-FFF2-40B4-BE49-F238E27FC236}">
              <a16:creationId xmlns:a16="http://schemas.microsoft.com/office/drawing/2014/main" id="{A261463B-1EFB-4163-B01E-3CC3875F1D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89" name="TextBox 8">
          <a:extLst>
            <a:ext uri="{FF2B5EF4-FFF2-40B4-BE49-F238E27FC236}">
              <a16:creationId xmlns:a16="http://schemas.microsoft.com/office/drawing/2014/main" id="{A3E2F7C2-7763-4BA2-AE3B-C44AC047DF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0" name="TextBox 2">
          <a:extLst>
            <a:ext uri="{FF2B5EF4-FFF2-40B4-BE49-F238E27FC236}">
              <a16:creationId xmlns:a16="http://schemas.microsoft.com/office/drawing/2014/main" id="{59D94A08-BA1A-44C2-A5E8-464E13D08A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1" name="TextBox 4">
          <a:extLst>
            <a:ext uri="{FF2B5EF4-FFF2-40B4-BE49-F238E27FC236}">
              <a16:creationId xmlns:a16="http://schemas.microsoft.com/office/drawing/2014/main" id="{9486896A-4002-4A46-8830-4B3DAF35B96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2" name="TextBox 5">
          <a:extLst>
            <a:ext uri="{FF2B5EF4-FFF2-40B4-BE49-F238E27FC236}">
              <a16:creationId xmlns:a16="http://schemas.microsoft.com/office/drawing/2014/main" id="{B296A952-A9D9-4478-9DD0-5FB9FE594B7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3" name="TextBox 6">
          <a:extLst>
            <a:ext uri="{FF2B5EF4-FFF2-40B4-BE49-F238E27FC236}">
              <a16:creationId xmlns:a16="http://schemas.microsoft.com/office/drawing/2014/main" id="{A9778BC4-C5D7-48B3-B175-9E6FE44174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4" name="TextBox 7">
          <a:extLst>
            <a:ext uri="{FF2B5EF4-FFF2-40B4-BE49-F238E27FC236}">
              <a16:creationId xmlns:a16="http://schemas.microsoft.com/office/drawing/2014/main" id="{6A2B0C69-1606-4B07-8DDA-CE48354312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5" name="TextBox 8">
          <a:extLst>
            <a:ext uri="{FF2B5EF4-FFF2-40B4-BE49-F238E27FC236}">
              <a16:creationId xmlns:a16="http://schemas.microsoft.com/office/drawing/2014/main" id="{56C6D9E9-63B8-4C02-A990-BB35F9F3F6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6" name="TextBox 2">
          <a:extLst>
            <a:ext uri="{FF2B5EF4-FFF2-40B4-BE49-F238E27FC236}">
              <a16:creationId xmlns:a16="http://schemas.microsoft.com/office/drawing/2014/main" id="{938AFD56-EFC7-4A81-9905-B45A34B2F33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7" name="TextBox 4">
          <a:extLst>
            <a:ext uri="{FF2B5EF4-FFF2-40B4-BE49-F238E27FC236}">
              <a16:creationId xmlns:a16="http://schemas.microsoft.com/office/drawing/2014/main" id="{F6DA0343-CFE4-4C0C-B1AF-3F8B6F6A8C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8" name="TextBox 5">
          <a:extLst>
            <a:ext uri="{FF2B5EF4-FFF2-40B4-BE49-F238E27FC236}">
              <a16:creationId xmlns:a16="http://schemas.microsoft.com/office/drawing/2014/main" id="{5F73E24F-3D24-49B4-AA57-AB4D36BAC6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3999" name="TextBox 6">
          <a:extLst>
            <a:ext uri="{FF2B5EF4-FFF2-40B4-BE49-F238E27FC236}">
              <a16:creationId xmlns:a16="http://schemas.microsoft.com/office/drawing/2014/main" id="{012FF00C-8602-4EB7-8180-8493B091FB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0" name="TextBox 7">
          <a:extLst>
            <a:ext uri="{FF2B5EF4-FFF2-40B4-BE49-F238E27FC236}">
              <a16:creationId xmlns:a16="http://schemas.microsoft.com/office/drawing/2014/main" id="{8B823A31-1A7E-41E3-897D-F5261591ED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1" name="TextBox 8">
          <a:extLst>
            <a:ext uri="{FF2B5EF4-FFF2-40B4-BE49-F238E27FC236}">
              <a16:creationId xmlns:a16="http://schemas.microsoft.com/office/drawing/2014/main" id="{8A3E3D47-D4FC-4981-9F09-DAE63B49E4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2" name="TextBox 2">
          <a:extLst>
            <a:ext uri="{FF2B5EF4-FFF2-40B4-BE49-F238E27FC236}">
              <a16:creationId xmlns:a16="http://schemas.microsoft.com/office/drawing/2014/main" id="{0D590539-89E0-4266-A047-A843C2A974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3" name="TextBox 4">
          <a:extLst>
            <a:ext uri="{FF2B5EF4-FFF2-40B4-BE49-F238E27FC236}">
              <a16:creationId xmlns:a16="http://schemas.microsoft.com/office/drawing/2014/main" id="{0B44183F-E60A-43C7-86AF-B461B314A2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4" name="TextBox 5">
          <a:extLst>
            <a:ext uri="{FF2B5EF4-FFF2-40B4-BE49-F238E27FC236}">
              <a16:creationId xmlns:a16="http://schemas.microsoft.com/office/drawing/2014/main" id="{7E88E9FF-D0F5-4F04-B57F-3CD215B5A7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5" name="TextBox 6">
          <a:extLst>
            <a:ext uri="{FF2B5EF4-FFF2-40B4-BE49-F238E27FC236}">
              <a16:creationId xmlns:a16="http://schemas.microsoft.com/office/drawing/2014/main" id="{75B201BA-CB42-4863-9282-D150F61FB3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6" name="TextBox 7">
          <a:extLst>
            <a:ext uri="{FF2B5EF4-FFF2-40B4-BE49-F238E27FC236}">
              <a16:creationId xmlns:a16="http://schemas.microsoft.com/office/drawing/2014/main" id="{BF3A3232-84D6-4FC4-A216-F801D3452A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7" name="TextBox 8">
          <a:extLst>
            <a:ext uri="{FF2B5EF4-FFF2-40B4-BE49-F238E27FC236}">
              <a16:creationId xmlns:a16="http://schemas.microsoft.com/office/drawing/2014/main" id="{725FAD20-FB27-4049-8969-E929E03692C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8" name="TextBox 2">
          <a:extLst>
            <a:ext uri="{FF2B5EF4-FFF2-40B4-BE49-F238E27FC236}">
              <a16:creationId xmlns:a16="http://schemas.microsoft.com/office/drawing/2014/main" id="{3B8F687E-31C3-4C0F-AC19-C449F833CE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09" name="TextBox 4">
          <a:extLst>
            <a:ext uri="{FF2B5EF4-FFF2-40B4-BE49-F238E27FC236}">
              <a16:creationId xmlns:a16="http://schemas.microsoft.com/office/drawing/2014/main" id="{3E0839D6-2C4C-417B-91CA-A5A834DC7C5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0" name="TextBox 5">
          <a:extLst>
            <a:ext uri="{FF2B5EF4-FFF2-40B4-BE49-F238E27FC236}">
              <a16:creationId xmlns:a16="http://schemas.microsoft.com/office/drawing/2014/main" id="{E73B371D-C960-4E3C-9B69-F47B4C2F44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1" name="TextBox 6">
          <a:extLst>
            <a:ext uri="{FF2B5EF4-FFF2-40B4-BE49-F238E27FC236}">
              <a16:creationId xmlns:a16="http://schemas.microsoft.com/office/drawing/2014/main" id="{53490DF4-4853-4C63-8740-AB548793FA3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2" name="TextBox 7">
          <a:extLst>
            <a:ext uri="{FF2B5EF4-FFF2-40B4-BE49-F238E27FC236}">
              <a16:creationId xmlns:a16="http://schemas.microsoft.com/office/drawing/2014/main" id="{80AACAF2-2BA7-4781-9574-AA88204F1E4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3" name="TextBox 8">
          <a:extLst>
            <a:ext uri="{FF2B5EF4-FFF2-40B4-BE49-F238E27FC236}">
              <a16:creationId xmlns:a16="http://schemas.microsoft.com/office/drawing/2014/main" id="{2E28FEE6-FBDB-4238-BE17-05761D4B909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4" name="TextBox 2">
          <a:extLst>
            <a:ext uri="{FF2B5EF4-FFF2-40B4-BE49-F238E27FC236}">
              <a16:creationId xmlns:a16="http://schemas.microsoft.com/office/drawing/2014/main" id="{26F6CED4-1C51-4B57-A08A-0EF6EFCA95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5" name="TextBox 4">
          <a:extLst>
            <a:ext uri="{FF2B5EF4-FFF2-40B4-BE49-F238E27FC236}">
              <a16:creationId xmlns:a16="http://schemas.microsoft.com/office/drawing/2014/main" id="{CDF3E382-F78B-49F8-9606-F6997741D4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6" name="TextBox 5">
          <a:extLst>
            <a:ext uri="{FF2B5EF4-FFF2-40B4-BE49-F238E27FC236}">
              <a16:creationId xmlns:a16="http://schemas.microsoft.com/office/drawing/2014/main" id="{C332855C-F54B-4BCD-B2F5-B568D43DAA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7" name="TextBox 6">
          <a:extLst>
            <a:ext uri="{FF2B5EF4-FFF2-40B4-BE49-F238E27FC236}">
              <a16:creationId xmlns:a16="http://schemas.microsoft.com/office/drawing/2014/main" id="{E332293B-1057-4F75-9027-5FF59DB544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8" name="TextBox 7">
          <a:extLst>
            <a:ext uri="{FF2B5EF4-FFF2-40B4-BE49-F238E27FC236}">
              <a16:creationId xmlns:a16="http://schemas.microsoft.com/office/drawing/2014/main" id="{4DB54C8A-59DC-432B-B4A7-E1EF668314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19" name="TextBox 8">
          <a:extLst>
            <a:ext uri="{FF2B5EF4-FFF2-40B4-BE49-F238E27FC236}">
              <a16:creationId xmlns:a16="http://schemas.microsoft.com/office/drawing/2014/main" id="{6182EC39-3848-4DE2-9E01-47750559E81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0" name="TextBox 2">
          <a:extLst>
            <a:ext uri="{FF2B5EF4-FFF2-40B4-BE49-F238E27FC236}">
              <a16:creationId xmlns:a16="http://schemas.microsoft.com/office/drawing/2014/main" id="{69437548-0D60-49EA-800F-BFF257FD48D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1" name="TextBox 4">
          <a:extLst>
            <a:ext uri="{FF2B5EF4-FFF2-40B4-BE49-F238E27FC236}">
              <a16:creationId xmlns:a16="http://schemas.microsoft.com/office/drawing/2014/main" id="{37D1BAEC-D8EB-428B-96C8-2BF96B79CB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2" name="TextBox 5">
          <a:extLst>
            <a:ext uri="{FF2B5EF4-FFF2-40B4-BE49-F238E27FC236}">
              <a16:creationId xmlns:a16="http://schemas.microsoft.com/office/drawing/2014/main" id="{1E1FFA59-8974-4105-B9F2-C35FB4AA78A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3" name="TextBox 6">
          <a:extLst>
            <a:ext uri="{FF2B5EF4-FFF2-40B4-BE49-F238E27FC236}">
              <a16:creationId xmlns:a16="http://schemas.microsoft.com/office/drawing/2014/main" id="{238F332B-894D-4B5E-80D6-3783FC9001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4" name="TextBox 7">
          <a:extLst>
            <a:ext uri="{FF2B5EF4-FFF2-40B4-BE49-F238E27FC236}">
              <a16:creationId xmlns:a16="http://schemas.microsoft.com/office/drawing/2014/main" id="{A7E27D57-3A0F-4CBD-A2CA-5F2D57E305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5" name="TextBox 8">
          <a:extLst>
            <a:ext uri="{FF2B5EF4-FFF2-40B4-BE49-F238E27FC236}">
              <a16:creationId xmlns:a16="http://schemas.microsoft.com/office/drawing/2014/main" id="{ECEFFBAB-E667-48B3-8A39-20B37B40E8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6" name="TextBox 2">
          <a:extLst>
            <a:ext uri="{FF2B5EF4-FFF2-40B4-BE49-F238E27FC236}">
              <a16:creationId xmlns:a16="http://schemas.microsoft.com/office/drawing/2014/main" id="{498AE8FC-BE64-4B2D-A709-3F64C7CE7C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7" name="TextBox 4">
          <a:extLst>
            <a:ext uri="{FF2B5EF4-FFF2-40B4-BE49-F238E27FC236}">
              <a16:creationId xmlns:a16="http://schemas.microsoft.com/office/drawing/2014/main" id="{02B559F9-AF18-4C0D-A9F9-3FEEDA12BA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8" name="TextBox 5">
          <a:extLst>
            <a:ext uri="{FF2B5EF4-FFF2-40B4-BE49-F238E27FC236}">
              <a16:creationId xmlns:a16="http://schemas.microsoft.com/office/drawing/2014/main" id="{D51A35CC-BB70-4FD1-B166-E9A91630397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29" name="TextBox 6">
          <a:extLst>
            <a:ext uri="{FF2B5EF4-FFF2-40B4-BE49-F238E27FC236}">
              <a16:creationId xmlns:a16="http://schemas.microsoft.com/office/drawing/2014/main" id="{E8A2ADDE-637D-4F1B-806D-08368A4479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0" name="TextBox 7">
          <a:extLst>
            <a:ext uri="{FF2B5EF4-FFF2-40B4-BE49-F238E27FC236}">
              <a16:creationId xmlns:a16="http://schemas.microsoft.com/office/drawing/2014/main" id="{B25DF304-9CC9-4360-BFE5-711703A559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1" name="TextBox 8">
          <a:extLst>
            <a:ext uri="{FF2B5EF4-FFF2-40B4-BE49-F238E27FC236}">
              <a16:creationId xmlns:a16="http://schemas.microsoft.com/office/drawing/2014/main" id="{4CEF62DE-1D22-41FC-BC88-FDB2A32DA9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2" name="TextBox 2">
          <a:extLst>
            <a:ext uri="{FF2B5EF4-FFF2-40B4-BE49-F238E27FC236}">
              <a16:creationId xmlns:a16="http://schemas.microsoft.com/office/drawing/2014/main" id="{79E22040-AD3F-4134-A77A-8861EED66A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3" name="TextBox 4">
          <a:extLst>
            <a:ext uri="{FF2B5EF4-FFF2-40B4-BE49-F238E27FC236}">
              <a16:creationId xmlns:a16="http://schemas.microsoft.com/office/drawing/2014/main" id="{AB26E799-FA85-421F-A058-245BD61BD8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4" name="TextBox 5">
          <a:extLst>
            <a:ext uri="{FF2B5EF4-FFF2-40B4-BE49-F238E27FC236}">
              <a16:creationId xmlns:a16="http://schemas.microsoft.com/office/drawing/2014/main" id="{DFDDF814-CD5A-4610-9D6D-90DB06B291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5" name="TextBox 6">
          <a:extLst>
            <a:ext uri="{FF2B5EF4-FFF2-40B4-BE49-F238E27FC236}">
              <a16:creationId xmlns:a16="http://schemas.microsoft.com/office/drawing/2014/main" id="{A72F9C90-3CD9-4069-9FD9-803632777D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6" name="TextBox 7">
          <a:extLst>
            <a:ext uri="{FF2B5EF4-FFF2-40B4-BE49-F238E27FC236}">
              <a16:creationId xmlns:a16="http://schemas.microsoft.com/office/drawing/2014/main" id="{18BCBF52-5DA7-482E-BB59-4278FE2615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7" name="TextBox 8">
          <a:extLst>
            <a:ext uri="{FF2B5EF4-FFF2-40B4-BE49-F238E27FC236}">
              <a16:creationId xmlns:a16="http://schemas.microsoft.com/office/drawing/2014/main" id="{28E6C463-844B-4BEF-9BCC-300DBC7DD5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8" name="TextBox 2">
          <a:extLst>
            <a:ext uri="{FF2B5EF4-FFF2-40B4-BE49-F238E27FC236}">
              <a16:creationId xmlns:a16="http://schemas.microsoft.com/office/drawing/2014/main" id="{F48B491C-D94E-4357-8D8F-0C2CCB24EA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39" name="TextBox 4">
          <a:extLst>
            <a:ext uri="{FF2B5EF4-FFF2-40B4-BE49-F238E27FC236}">
              <a16:creationId xmlns:a16="http://schemas.microsoft.com/office/drawing/2014/main" id="{D37D40A0-F676-4D1A-9D5D-4E5F3D602D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0" name="TextBox 5">
          <a:extLst>
            <a:ext uri="{FF2B5EF4-FFF2-40B4-BE49-F238E27FC236}">
              <a16:creationId xmlns:a16="http://schemas.microsoft.com/office/drawing/2014/main" id="{3CCE9487-ADBB-4463-80F0-B84B94BAF4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1" name="TextBox 6">
          <a:extLst>
            <a:ext uri="{FF2B5EF4-FFF2-40B4-BE49-F238E27FC236}">
              <a16:creationId xmlns:a16="http://schemas.microsoft.com/office/drawing/2014/main" id="{9955891D-C0D6-49FD-A734-FD179C045F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2" name="TextBox 7">
          <a:extLst>
            <a:ext uri="{FF2B5EF4-FFF2-40B4-BE49-F238E27FC236}">
              <a16:creationId xmlns:a16="http://schemas.microsoft.com/office/drawing/2014/main" id="{4BE7FC79-FA24-4C76-A262-30CC69A5219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3" name="TextBox 8">
          <a:extLst>
            <a:ext uri="{FF2B5EF4-FFF2-40B4-BE49-F238E27FC236}">
              <a16:creationId xmlns:a16="http://schemas.microsoft.com/office/drawing/2014/main" id="{F69FC7F9-8001-40EF-92F8-8C7F9F6D71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4" name="TextBox 2">
          <a:extLst>
            <a:ext uri="{FF2B5EF4-FFF2-40B4-BE49-F238E27FC236}">
              <a16:creationId xmlns:a16="http://schemas.microsoft.com/office/drawing/2014/main" id="{F7FEC3C9-D052-450B-8DEA-C4EF88D8477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5" name="TextBox 4">
          <a:extLst>
            <a:ext uri="{FF2B5EF4-FFF2-40B4-BE49-F238E27FC236}">
              <a16:creationId xmlns:a16="http://schemas.microsoft.com/office/drawing/2014/main" id="{C2C30A4E-99E8-496C-8DC3-6B185D906C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6" name="TextBox 5">
          <a:extLst>
            <a:ext uri="{FF2B5EF4-FFF2-40B4-BE49-F238E27FC236}">
              <a16:creationId xmlns:a16="http://schemas.microsoft.com/office/drawing/2014/main" id="{3BA91ECF-9295-44E2-9C98-FABFB42F4D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7" name="TextBox 6">
          <a:extLst>
            <a:ext uri="{FF2B5EF4-FFF2-40B4-BE49-F238E27FC236}">
              <a16:creationId xmlns:a16="http://schemas.microsoft.com/office/drawing/2014/main" id="{C030877D-296C-412E-8B6A-185184F2ECB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8" name="TextBox 7">
          <a:extLst>
            <a:ext uri="{FF2B5EF4-FFF2-40B4-BE49-F238E27FC236}">
              <a16:creationId xmlns:a16="http://schemas.microsoft.com/office/drawing/2014/main" id="{9774738A-3149-455E-8CDD-0B58EA836F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49" name="TextBox 8">
          <a:extLst>
            <a:ext uri="{FF2B5EF4-FFF2-40B4-BE49-F238E27FC236}">
              <a16:creationId xmlns:a16="http://schemas.microsoft.com/office/drawing/2014/main" id="{A22DAA27-BBC3-4CF1-B657-56A907B001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0" name="TextBox 2">
          <a:extLst>
            <a:ext uri="{FF2B5EF4-FFF2-40B4-BE49-F238E27FC236}">
              <a16:creationId xmlns:a16="http://schemas.microsoft.com/office/drawing/2014/main" id="{1F57481E-058D-4E8E-AC9E-37121C7A1A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1" name="TextBox 4">
          <a:extLst>
            <a:ext uri="{FF2B5EF4-FFF2-40B4-BE49-F238E27FC236}">
              <a16:creationId xmlns:a16="http://schemas.microsoft.com/office/drawing/2014/main" id="{5ECE9012-C9C7-4278-B468-7C90CE54963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2" name="TextBox 5">
          <a:extLst>
            <a:ext uri="{FF2B5EF4-FFF2-40B4-BE49-F238E27FC236}">
              <a16:creationId xmlns:a16="http://schemas.microsoft.com/office/drawing/2014/main" id="{BCC53552-D1BF-4C94-8B33-C1590E795D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3" name="TextBox 6">
          <a:extLst>
            <a:ext uri="{FF2B5EF4-FFF2-40B4-BE49-F238E27FC236}">
              <a16:creationId xmlns:a16="http://schemas.microsoft.com/office/drawing/2014/main" id="{E1C7DBE9-FDDF-49C1-8E36-C9F4802512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4" name="TextBox 7">
          <a:extLst>
            <a:ext uri="{FF2B5EF4-FFF2-40B4-BE49-F238E27FC236}">
              <a16:creationId xmlns:a16="http://schemas.microsoft.com/office/drawing/2014/main" id="{62AF3EC2-3346-4EB5-AF7F-015D9A4B696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5" name="TextBox 8">
          <a:extLst>
            <a:ext uri="{FF2B5EF4-FFF2-40B4-BE49-F238E27FC236}">
              <a16:creationId xmlns:a16="http://schemas.microsoft.com/office/drawing/2014/main" id="{20FD825F-3116-47CE-84E0-077D5DD1F6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6" name="TextBox 2">
          <a:extLst>
            <a:ext uri="{FF2B5EF4-FFF2-40B4-BE49-F238E27FC236}">
              <a16:creationId xmlns:a16="http://schemas.microsoft.com/office/drawing/2014/main" id="{2FA2D3EC-18B0-4494-BC61-0D71E81F88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7" name="TextBox 4">
          <a:extLst>
            <a:ext uri="{FF2B5EF4-FFF2-40B4-BE49-F238E27FC236}">
              <a16:creationId xmlns:a16="http://schemas.microsoft.com/office/drawing/2014/main" id="{C05F2093-C70F-48A2-8D86-08B3F462E48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8" name="TextBox 5">
          <a:extLst>
            <a:ext uri="{FF2B5EF4-FFF2-40B4-BE49-F238E27FC236}">
              <a16:creationId xmlns:a16="http://schemas.microsoft.com/office/drawing/2014/main" id="{DE3BEE45-FEFD-4BD7-9758-7C0B58CDF5F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59" name="TextBox 6">
          <a:extLst>
            <a:ext uri="{FF2B5EF4-FFF2-40B4-BE49-F238E27FC236}">
              <a16:creationId xmlns:a16="http://schemas.microsoft.com/office/drawing/2014/main" id="{3D0717C1-9522-4603-91A6-C275CF315A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0" name="TextBox 7">
          <a:extLst>
            <a:ext uri="{FF2B5EF4-FFF2-40B4-BE49-F238E27FC236}">
              <a16:creationId xmlns:a16="http://schemas.microsoft.com/office/drawing/2014/main" id="{4E3893FE-90BB-4858-9F7C-EAB59F16501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1" name="TextBox 8">
          <a:extLst>
            <a:ext uri="{FF2B5EF4-FFF2-40B4-BE49-F238E27FC236}">
              <a16:creationId xmlns:a16="http://schemas.microsoft.com/office/drawing/2014/main" id="{C7619B51-1623-480C-8AAC-647E18EBF9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2" name="TextBox 2">
          <a:extLst>
            <a:ext uri="{FF2B5EF4-FFF2-40B4-BE49-F238E27FC236}">
              <a16:creationId xmlns:a16="http://schemas.microsoft.com/office/drawing/2014/main" id="{DE65BFE3-E4D9-47F1-8CA7-6689C9FDFE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3" name="TextBox 4">
          <a:extLst>
            <a:ext uri="{FF2B5EF4-FFF2-40B4-BE49-F238E27FC236}">
              <a16:creationId xmlns:a16="http://schemas.microsoft.com/office/drawing/2014/main" id="{F29BA08B-9B6B-498C-92BF-F0D95F4944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4" name="TextBox 5">
          <a:extLst>
            <a:ext uri="{FF2B5EF4-FFF2-40B4-BE49-F238E27FC236}">
              <a16:creationId xmlns:a16="http://schemas.microsoft.com/office/drawing/2014/main" id="{1B6012A9-2B93-4B41-89E0-3C32A4D8AB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5" name="TextBox 6">
          <a:extLst>
            <a:ext uri="{FF2B5EF4-FFF2-40B4-BE49-F238E27FC236}">
              <a16:creationId xmlns:a16="http://schemas.microsoft.com/office/drawing/2014/main" id="{FF49FBD7-3858-44FB-8E1C-B673B6EC898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6" name="TextBox 7">
          <a:extLst>
            <a:ext uri="{FF2B5EF4-FFF2-40B4-BE49-F238E27FC236}">
              <a16:creationId xmlns:a16="http://schemas.microsoft.com/office/drawing/2014/main" id="{AC869582-BD4A-4D2A-A916-5D6329A768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7" name="TextBox 8">
          <a:extLst>
            <a:ext uri="{FF2B5EF4-FFF2-40B4-BE49-F238E27FC236}">
              <a16:creationId xmlns:a16="http://schemas.microsoft.com/office/drawing/2014/main" id="{90A6C834-B6D9-4268-8EF4-E175649B014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8" name="TextBox 2">
          <a:extLst>
            <a:ext uri="{FF2B5EF4-FFF2-40B4-BE49-F238E27FC236}">
              <a16:creationId xmlns:a16="http://schemas.microsoft.com/office/drawing/2014/main" id="{D755A3BD-732F-40CE-A7E8-8F3183F6B26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69" name="TextBox 4">
          <a:extLst>
            <a:ext uri="{FF2B5EF4-FFF2-40B4-BE49-F238E27FC236}">
              <a16:creationId xmlns:a16="http://schemas.microsoft.com/office/drawing/2014/main" id="{BD53DD13-4F5D-4CCA-8C66-A5421A4AEEB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0" name="TextBox 5">
          <a:extLst>
            <a:ext uri="{FF2B5EF4-FFF2-40B4-BE49-F238E27FC236}">
              <a16:creationId xmlns:a16="http://schemas.microsoft.com/office/drawing/2014/main" id="{CB7771D1-9946-4A3C-8E77-0A881A5CB9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1" name="TextBox 6">
          <a:extLst>
            <a:ext uri="{FF2B5EF4-FFF2-40B4-BE49-F238E27FC236}">
              <a16:creationId xmlns:a16="http://schemas.microsoft.com/office/drawing/2014/main" id="{1C4B0FD7-4504-402A-8290-BB5BBCB34A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2" name="TextBox 7">
          <a:extLst>
            <a:ext uri="{FF2B5EF4-FFF2-40B4-BE49-F238E27FC236}">
              <a16:creationId xmlns:a16="http://schemas.microsoft.com/office/drawing/2014/main" id="{F9F96D7B-6477-4C47-B8F7-2B8C50047FC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3" name="TextBox 8">
          <a:extLst>
            <a:ext uri="{FF2B5EF4-FFF2-40B4-BE49-F238E27FC236}">
              <a16:creationId xmlns:a16="http://schemas.microsoft.com/office/drawing/2014/main" id="{0B537C06-CE24-4145-BABA-FE665310BED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4" name="TextBox 2">
          <a:extLst>
            <a:ext uri="{FF2B5EF4-FFF2-40B4-BE49-F238E27FC236}">
              <a16:creationId xmlns:a16="http://schemas.microsoft.com/office/drawing/2014/main" id="{BE60F97C-5E0B-4F12-8CBB-3C186AA6B20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5" name="TextBox 4">
          <a:extLst>
            <a:ext uri="{FF2B5EF4-FFF2-40B4-BE49-F238E27FC236}">
              <a16:creationId xmlns:a16="http://schemas.microsoft.com/office/drawing/2014/main" id="{EBB1C02B-99A1-48E6-858C-29E878E9CF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6" name="TextBox 5">
          <a:extLst>
            <a:ext uri="{FF2B5EF4-FFF2-40B4-BE49-F238E27FC236}">
              <a16:creationId xmlns:a16="http://schemas.microsoft.com/office/drawing/2014/main" id="{C1955CEB-A103-4952-B4AC-8BFEAA6C815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7" name="TextBox 6">
          <a:extLst>
            <a:ext uri="{FF2B5EF4-FFF2-40B4-BE49-F238E27FC236}">
              <a16:creationId xmlns:a16="http://schemas.microsoft.com/office/drawing/2014/main" id="{FED307C3-146C-4D11-B2CC-B1F55AEF1CD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8" name="TextBox 7">
          <a:extLst>
            <a:ext uri="{FF2B5EF4-FFF2-40B4-BE49-F238E27FC236}">
              <a16:creationId xmlns:a16="http://schemas.microsoft.com/office/drawing/2014/main" id="{645B5295-FC1B-4CE9-BF2F-644FA3189E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79" name="TextBox 8">
          <a:extLst>
            <a:ext uri="{FF2B5EF4-FFF2-40B4-BE49-F238E27FC236}">
              <a16:creationId xmlns:a16="http://schemas.microsoft.com/office/drawing/2014/main" id="{B20AE277-3575-4E0A-9AE6-E5FAB18A4EC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0" name="TextBox 2">
          <a:extLst>
            <a:ext uri="{FF2B5EF4-FFF2-40B4-BE49-F238E27FC236}">
              <a16:creationId xmlns:a16="http://schemas.microsoft.com/office/drawing/2014/main" id="{1F609831-E654-4648-AEE2-33D6E16AB2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1" name="TextBox 4">
          <a:extLst>
            <a:ext uri="{FF2B5EF4-FFF2-40B4-BE49-F238E27FC236}">
              <a16:creationId xmlns:a16="http://schemas.microsoft.com/office/drawing/2014/main" id="{A94BDE3F-D501-45F8-B3F3-D343EAA7DA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2" name="TextBox 5">
          <a:extLst>
            <a:ext uri="{FF2B5EF4-FFF2-40B4-BE49-F238E27FC236}">
              <a16:creationId xmlns:a16="http://schemas.microsoft.com/office/drawing/2014/main" id="{A547AFB8-D351-4AB3-A7F8-3E28AED0340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3" name="TextBox 6">
          <a:extLst>
            <a:ext uri="{FF2B5EF4-FFF2-40B4-BE49-F238E27FC236}">
              <a16:creationId xmlns:a16="http://schemas.microsoft.com/office/drawing/2014/main" id="{BF2440F8-DB87-49E9-87F8-630CD925100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4" name="TextBox 7">
          <a:extLst>
            <a:ext uri="{FF2B5EF4-FFF2-40B4-BE49-F238E27FC236}">
              <a16:creationId xmlns:a16="http://schemas.microsoft.com/office/drawing/2014/main" id="{C51D4B7C-9E63-44CF-B2DC-18012272DB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5" name="TextBox 8">
          <a:extLst>
            <a:ext uri="{FF2B5EF4-FFF2-40B4-BE49-F238E27FC236}">
              <a16:creationId xmlns:a16="http://schemas.microsoft.com/office/drawing/2014/main" id="{2C8C5021-BCDF-4DE8-A577-E4929797DC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6" name="TextBox 2">
          <a:extLst>
            <a:ext uri="{FF2B5EF4-FFF2-40B4-BE49-F238E27FC236}">
              <a16:creationId xmlns:a16="http://schemas.microsoft.com/office/drawing/2014/main" id="{1E0CC794-95CD-4038-96E8-352C4DB186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7" name="TextBox 4">
          <a:extLst>
            <a:ext uri="{FF2B5EF4-FFF2-40B4-BE49-F238E27FC236}">
              <a16:creationId xmlns:a16="http://schemas.microsoft.com/office/drawing/2014/main" id="{C35AD028-ECB2-47F0-93A3-9D47900E3D8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8" name="TextBox 5">
          <a:extLst>
            <a:ext uri="{FF2B5EF4-FFF2-40B4-BE49-F238E27FC236}">
              <a16:creationId xmlns:a16="http://schemas.microsoft.com/office/drawing/2014/main" id="{70BB7DC8-FA6F-42A6-A959-2ABB7BAA347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89" name="TextBox 6">
          <a:extLst>
            <a:ext uri="{FF2B5EF4-FFF2-40B4-BE49-F238E27FC236}">
              <a16:creationId xmlns:a16="http://schemas.microsoft.com/office/drawing/2014/main" id="{2701E401-2E6C-4215-8587-B37A0638A11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0" name="TextBox 7">
          <a:extLst>
            <a:ext uri="{FF2B5EF4-FFF2-40B4-BE49-F238E27FC236}">
              <a16:creationId xmlns:a16="http://schemas.microsoft.com/office/drawing/2014/main" id="{312108CD-727D-47C2-9AB5-51FD2BB821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1" name="TextBox 8">
          <a:extLst>
            <a:ext uri="{FF2B5EF4-FFF2-40B4-BE49-F238E27FC236}">
              <a16:creationId xmlns:a16="http://schemas.microsoft.com/office/drawing/2014/main" id="{61850237-C282-42C9-A096-53190AFE707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2" name="TextBox 2">
          <a:extLst>
            <a:ext uri="{FF2B5EF4-FFF2-40B4-BE49-F238E27FC236}">
              <a16:creationId xmlns:a16="http://schemas.microsoft.com/office/drawing/2014/main" id="{F683A1E7-875F-42D7-A976-0A7FB2D0025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3" name="TextBox 4">
          <a:extLst>
            <a:ext uri="{FF2B5EF4-FFF2-40B4-BE49-F238E27FC236}">
              <a16:creationId xmlns:a16="http://schemas.microsoft.com/office/drawing/2014/main" id="{012C65AA-BD88-4F19-B23D-539C9C77AA0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4" name="TextBox 5">
          <a:extLst>
            <a:ext uri="{FF2B5EF4-FFF2-40B4-BE49-F238E27FC236}">
              <a16:creationId xmlns:a16="http://schemas.microsoft.com/office/drawing/2014/main" id="{FC07CC53-3730-44A7-9EF4-26EBC4A5C7D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5" name="TextBox 6">
          <a:extLst>
            <a:ext uri="{FF2B5EF4-FFF2-40B4-BE49-F238E27FC236}">
              <a16:creationId xmlns:a16="http://schemas.microsoft.com/office/drawing/2014/main" id="{4E10B796-5F7F-493F-B18A-DD10611AB99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6" name="TextBox 7">
          <a:extLst>
            <a:ext uri="{FF2B5EF4-FFF2-40B4-BE49-F238E27FC236}">
              <a16:creationId xmlns:a16="http://schemas.microsoft.com/office/drawing/2014/main" id="{919F9171-1511-4662-BC12-4CA70B1857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7" name="TextBox 8">
          <a:extLst>
            <a:ext uri="{FF2B5EF4-FFF2-40B4-BE49-F238E27FC236}">
              <a16:creationId xmlns:a16="http://schemas.microsoft.com/office/drawing/2014/main" id="{5840A7BE-CDCC-405A-9712-BE655D386FA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8" name="TextBox 2">
          <a:extLst>
            <a:ext uri="{FF2B5EF4-FFF2-40B4-BE49-F238E27FC236}">
              <a16:creationId xmlns:a16="http://schemas.microsoft.com/office/drawing/2014/main" id="{ECFD5BEE-877E-48FA-AA66-B7DA34E6B2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099" name="TextBox 4">
          <a:extLst>
            <a:ext uri="{FF2B5EF4-FFF2-40B4-BE49-F238E27FC236}">
              <a16:creationId xmlns:a16="http://schemas.microsoft.com/office/drawing/2014/main" id="{32569E87-EA14-4DBB-B20E-CBF529B2182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0" name="TextBox 5">
          <a:extLst>
            <a:ext uri="{FF2B5EF4-FFF2-40B4-BE49-F238E27FC236}">
              <a16:creationId xmlns:a16="http://schemas.microsoft.com/office/drawing/2014/main" id="{B816CFB3-E9DD-41F6-9D82-1B1D54B1019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1" name="TextBox 6">
          <a:extLst>
            <a:ext uri="{FF2B5EF4-FFF2-40B4-BE49-F238E27FC236}">
              <a16:creationId xmlns:a16="http://schemas.microsoft.com/office/drawing/2014/main" id="{1F063448-41A5-440D-BB09-79ACEDF3A55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2" name="TextBox 7">
          <a:extLst>
            <a:ext uri="{FF2B5EF4-FFF2-40B4-BE49-F238E27FC236}">
              <a16:creationId xmlns:a16="http://schemas.microsoft.com/office/drawing/2014/main" id="{D6EF9F77-01E9-4BDD-8C42-05F1372D8DE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3" name="TextBox 8">
          <a:extLst>
            <a:ext uri="{FF2B5EF4-FFF2-40B4-BE49-F238E27FC236}">
              <a16:creationId xmlns:a16="http://schemas.microsoft.com/office/drawing/2014/main" id="{DF9E28A8-28AA-4B8B-B8C2-731977F3B70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4" name="TextBox 2">
          <a:extLst>
            <a:ext uri="{FF2B5EF4-FFF2-40B4-BE49-F238E27FC236}">
              <a16:creationId xmlns:a16="http://schemas.microsoft.com/office/drawing/2014/main" id="{FB627588-017B-44D0-A751-ED3D833895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5" name="TextBox 4">
          <a:extLst>
            <a:ext uri="{FF2B5EF4-FFF2-40B4-BE49-F238E27FC236}">
              <a16:creationId xmlns:a16="http://schemas.microsoft.com/office/drawing/2014/main" id="{C4A28892-EB3F-4DC3-9100-25CCA3A1306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6" name="TextBox 5">
          <a:extLst>
            <a:ext uri="{FF2B5EF4-FFF2-40B4-BE49-F238E27FC236}">
              <a16:creationId xmlns:a16="http://schemas.microsoft.com/office/drawing/2014/main" id="{2168AC3D-087D-4651-9018-88220BAA01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7" name="TextBox 6">
          <a:extLst>
            <a:ext uri="{FF2B5EF4-FFF2-40B4-BE49-F238E27FC236}">
              <a16:creationId xmlns:a16="http://schemas.microsoft.com/office/drawing/2014/main" id="{F2E8D3DD-0DA4-49B6-B31A-38E7869251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8" name="TextBox 7">
          <a:extLst>
            <a:ext uri="{FF2B5EF4-FFF2-40B4-BE49-F238E27FC236}">
              <a16:creationId xmlns:a16="http://schemas.microsoft.com/office/drawing/2014/main" id="{E10814B7-8C91-4F91-A8D8-18B52D7E838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09" name="TextBox 8">
          <a:extLst>
            <a:ext uri="{FF2B5EF4-FFF2-40B4-BE49-F238E27FC236}">
              <a16:creationId xmlns:a16="http://schemas.microsoft.com/office/drawing/2014/main" id="{D537401E-899A-418F-B8B4-80A13E5411F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0" name="TextBox 2">
          <a:extLst>
            <a:ext uri="{FF2B5EF4-FFF2-40B4-BE49-F238E27FC236}">
              <a16:creationId xmlns:a16="http://schemas.microsoft.com/office/drawing/2014/main" id="{7D27EF86-40BB-42D3-8B6B-85771A2ACF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1" name="TextBox 4">
          <a:extLst>
            <a:ext uri="{FF2B5EF4-FFF2-40B4-BE49-F238E27FC236}">
              <a16:creationId xmlns:a16="http://schemas.microsoft.com/office/drawing/2014/main" id="{C212A532-DE81-49C3-852B-D1D262B4DE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2" name="TextBox 5">
          <a:extLst>
            <a:ext uri="{FF2B5EF4-FFF2-40B4-BE49-F238E27FC236}">
              <a16:creationId xmlns:a16="http://schemas.microsoft.com/office/drawing/2014/main" id="{36D1D990-41D2-4BBC-9A22-FFD29362DC4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3" name="TextBox 6">
          <a:extLst>
            <a:ext uri="{FF2B5EF4-FFF2-40B4-BE49-F238E27FC236}">
              <a16:creationId xmlns:a16="http://schemas.microsoft.com/office/drawing/2014/main" id="{2D5BBCAE-55E9-44CE-846A-FBE7D7F21D8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4" name="TextBox 7">
          <a:extLst>
            <a:ext uri="{FF2B5EF4-FFF2-40B4-BE49-F238E27FC236}">
              <a16:creationId xmlns:a16="http://schemas.microsoft.com/office/drawing/2014/main" id="{EAA75ED3-7D07-4C93-AB42-D42CF59C72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5" name="TextBox 8">
          <a:extLst>
            <a:ext uri="{FF2B5EF4-FFF2-40B4-BE49-F238E27FC236}">
              <a16:creationId xmlns:a16="http://schemas.microsoft.com/office/drawing/2014/main" id="{24927ED7-8FAD-41DD-A063-3A00B755373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6" name="TextBox 2">
          <a:extLst>
            <a:ext uri="{FF2B5EF4-FFF2-40B4-BE49-F238E27FC236}">
              <a16:creationId xmlns:a16="http://schemas.microsoft.com/office/drawing/2014/main" id="{71330BFA-2A1D-4CA1-BFA7-AA4F66DFF4B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7" name="TextBox 4">
          <a:extLst>
            <a:ext uri="{FF2B5EF4-FFF2-40B4-BE49-F238E27FC236}">
              <a16:creationId xmlns:a16="http://schemas.microsoft.com/office/drawing/2014/main" id="{05C8DDFA-1455-43B5-9EBE-8D535614123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8" name="TextBox 5">
          <a:extLst>
            <a:ext uri="{FF2B5EF4-FFF2-40B4-BE49-F238E27FC236}">
              <a16:creationId xmlns:a16="http://schemas.microsoft.com/office/drawing/2014/main" id="{365E7AC3-9F2B-4625-87A6-47434B5F679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19" name="TextBox 6">
          <a:extLst>
            <a:ext uri="{FF2B5EF4-FFF2-40B4-BE49-F238E27FC236}">
              <a16:creationId xmlns:a16="http://schemas.microsoft.com/office/drawing/2014/main" id="{A920FE3C-2314-4FAD-B10F-494C79A123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0" name="TextBox 7">
          <a:extLst>
            <a:ext uri="{FF2B5EF4-FFF2-40B4-BE49-F238E27FC236}">
              <a16:creationId xmlns:a16="http://schemas.microsoft.com/office/drawing/2014/main" id="{4FE7495B-D47B-4012-993F-BEF9ECC778F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1" name="TextBox 8">
          <a:extLst>
            <a:ext uri="{FF2B5EF4-FFF2-40B4-BE49-F238E27FC236}">
              <a16:creationId xmlns:a16="http://schemas.microsoft.com/office/drawing/2014/main" id="{3F18B217-2DEE-4A4E-998E-E47632875E9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2" name="TextBox 2">
          <a:extLst>
            <a:ext uri="{FF2B5EF4-FFF2-40B4-BE49-F238E27FC236}">
              <a16:creationId xmlns:a16="http://schemas.microsoft.com/office/drawing/2014/main" id="{D2ED3A51-15DD-4057-8715-0FB4468FAE0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3" name="TextBox 4">
          <a:extLst>
            <a:ext uri="{FF2B5EF4-FFF2-40B4-BE49-F238E27FC236}">
              <a16:creationId xmlns:a16="http://schemas.microsoft.com/office/drawing/2014/main" id="{8E3672D2-1BE1-4B21-AB96-8D8F928279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4" name="TextBox 5">
          <a:extLst>
            <a:ext uri="{FF2B5EF4-FFF2-40B4-BE49-F238E27FC236}">
              <a16:creationId xmlns:a16="http://schemas.microsoft.com/office/drawing/2014/main" id="{AFBEFE5D-EB02-4448-9606-0857A594B85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5" name="TextBox 6">
          <a:extLst>
            <a:ext uri="{FF2B5EF4-FFF2-40B4-BE49-F238E27FC236}">
              <a16:creationId xmlns:a16="http://schemas.microsoft.com/office/drawing/2014/main" id="{CA6A0D0D-0B4E-43AF-ACE9-7C0E94D3394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6" name="TextBox 7">
          <a:extLst>
            <a:ext uri="{FF2B5EF4-FFF2-40B4-BE49-F238E27FC236}">
              <a16:creationId xmlns:a16="http://schemas.microsoft.com/office/drawing/2014/main" id="{5499964F-DFFA-4DBA-9E81-D99047977BF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7" name="TextBox 8">
          <a:extLst>
            <a:ext uri="{FF2B5EF4-FFF2-40B4-BE49-F238E27FC236}">
              <a16:creationId xmlns:a16="http://schemas.microsoft.com/office/drawing/2014/main" id="{5F0AEC17-3C73-47AC-8704-1597A306CD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8" name="TextBox 2">
          <a:extLst>
            <a:ext uri="{FF2B5EF4-FFF2-40B4-BE49-F238E27FC236}">
              <a16:creationId xmlns:a16="http://schemas.microsoft.com/office/drawing/2014/main" id="{6C3BAF88-C07E-4C90-BADB-F84C3CCBDE4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29" name="TextBox 4">
          <a:extLst>
            <a:ext uri="{FF2B5EF4-FFF2-40B4-BE49-F238E27FC236}">
              <a16:creationId xmlns:a16="http://schemas.microsoft.com/office/drawing/2014/main" id="{5CC298F2-8BC0-4DD6-B39F-61E4707EE69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0" name="TextBox 5">
          <a:extLst>
            <a:ext uri="{FF2B5EF4-FFF2-40B4-BE49-F238E27FC236}">
              <a16:creationId xmlns:a16="http://schemas.microsoft.com/office/drawing/2014/main" id="{F61896BE-A8B3-4813-AA0B-79FB111B5D4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1" name="TextBox 6">
          <a:extLst>
            <a:ext uri="{FF2B5EF4-FFF2-40B4-BE49-F238E27FC236}">
              <a16:creationId xmlns:a16="http://schemas.microsoft.com/office/drawing/2014/main" id="{A4601296-F119-45BC-B21F-6D089ABFF2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2" name="TextBox 7">
          <a:extLst>
            <a:ext uri="{FF2B5EF4-FFF2-40B4-BE49-F238E27FC236}">
              <a16:creationId xmlns:a16="http://schemas.microsoft.com/office/drawing/2014/main" id="{DD91DA7E-B7A2-4951-BAA9-9BECB75245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3" name="TextBox 8">
          <a:extLst>
            <a:ext uri="{FF2B5EF4-FFF2-40B4-BE49-F238E27FC236}">
              <a16:creationId xmlns:a16="http://schemas.microsoft.com/office/drawing/2014/main" id="{6F752157-EE62-4B13-9AB9-13CA687909B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4" name="TextBox 2">
          <a:extLst>
            <a:ext uri="{FF2B5EF4-FFF2-40B4-BE49-F238E27FC236}">
              <a16:creationId xmlns:a16="http://schemas.microsoft.com/office/drawing/2014/main" id="{F8C8D87A-3BE4-476A-ABB0-DD101270766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5" name="TextBox 4">
          <a:extLst>
            <a:ext uri="{FF2B5EF4-FFF2-40B4-BE49-F238E27FC236}">
              <a16:creationId xmlns:a16="http://schemas.microsoft.com/office/drawing/2014/main" id="{AD38F921-68CB-41D1-831E-3B5CCA25800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6" name="TextBox 5">
          <a:extLst>
            <a:ext uri="{FF2B5EF4-FFF2-40B4-BE49-F238E27FC236}">
              <a16:creationId xmlns:a16="http://schemas.microsoft.com/office/drawing/2014/main" id="{9829E5E1-F98E-4B63-B087-5674E53D2A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7" name="TextBox 6">
          <a:extLst>
            <a:ext uri="{FF2B5EF4-FFF2-40B4-BE49-F238E27FC236}">
              <a16:creationId xmlns:a16="http://schemas.microsoft.com/office/drawing/2014/main" id="{63F0E58B-0A60-4F97-9733-78938A3B4C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8" name="TextBox 7">
          <a:extLst>
            <a:ext uri="{FF2B5EF4-FFF2-40B4-BE49-F238E27FC236}">
              <a16:creationId xmlns:a16="http://schemas.microsoft.com/office/drawing/2014/main" id="{308ADC19-DC22-485A-9341-8FBC509DFAC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39" name="TextBox 8">
          <a:extLst>
            <a:ext uri="{FF2B5EF4-FFF2-40B4-BE49-F238E27FC236}">
              <a16:creationId xmlns:a16="http://schemas.microsoft.com/office/drawing/2014/main" id="{5AA670B3-998A-4D9A-8EFD-F421208BC3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0" name="TextBox 2">
          <a:extLst>
            <a:ext uri="{FF2B5EF4-FFF2-40B4-BE49-F238E27FC236}">
              <a16:creationId xmlns:a16="http://schemas.microsoft.com/office/drawing/2014/main" id="{B7E67CB6-F81D-4398-834B-A34037893AB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1" name="TextBox 4">
          <a:extLst>
            <a:ext uri="{FF2B5EF4-FFF2-40B4-BE49-F238E27FC236}">
              <a16:creationId xmlns:a16="http://schemas.microsoft.com/office/drawing/2014/main" id="{BA2D1A2E-A5FC-495F-856A-69ADD6B042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2" name="TextBox 5">
          <a:extLst>
            <a:ext uri="{FF2B5EF4-FFF2-40B4-BE49-F238E27FC236}">
              <a16:creationId xmlns:a16="http://schemas.microsoft.com/office/drawing/2014/main" id="{F8D445EA-121B-4A97-B6C1-944D86D4B02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3" name="TextBox 6">
          <a:extLst>
            <a:ext uri="{FF2B5EF4-FFF2-40B4-BE49-F238E27FC236}">
              <a16:creationId xmlns:a16="http://schemas.microsoft.com/office/drawing/2014/main" id="{9ED1CA48-D447-4F6E-8B7F-4DF6AA5795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4" name="TextBox 7">
          <a:extLst>
            <a:ext uri="{FF2B5EF4-FFF2-40B4-BE49-F238E27FC236}">
              <a16:creationId xmlns:a16="http://schemas.microsoft.com/office/drawing/2014/main" id="{54EAEBA7-DFB8-454F-A86C-DBE6D98A978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5" name="TextBox 8">
          <a:extLst>
            <a:ext uri="{FF2B5EF4-FFF2-40B4-BE49-F238E27FC236}">
              <a16:creationId xmlns:a16="http://schemas.microsoft.com/office/drawing/2014/main" id="{1B43DE41-E2AC-4FF8-8A85-82D5857DC67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6" name="TextBox 2">
          <a:extLst>
            <a:ext uri="{FF2B5EF4-FFF2-40B4-BE49-F238E27FC236}">
              <a16:creationId xmlns:a16="http://schemas.microsoft.com/office/drawing/2014/main" id="{4CDB69C0-2792-4971-BB16-1C84451B77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7" name="TextBox 4">
          <a:extLst>
            <a:ext uri="{FF2B5EF4-FFF2-40B4-BE49-F238E27FC236}">
              <a16:creationId xmlns:a16="http://schemas.microsoft.com/office/drawing/2014/main" id="{55148913-4528-45FF-9917-8B6420E3BD6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8" name="TextBox 5">
          <a:extLst>
            <a:ext uri="{FF2B5EF4-FFF2-40B4-BE49-F238E27FC236}">
              <a16:creationId xmlns:a16="http://schemas.microsoft.com/office/drawing/2014/main" id="{0C065A2D-9F43-47D0-B21F-E7C26A6F9C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49" name="TextBox 6">
          <a:extLst>
            <a:ext uri="{FF2B5EF4-FFF2-40B4-BE49-F238E27FC236}">
              <a16:creationId xmlns:a16="http://schemas.microsoft.com/office/drawing/2014/main" id="{BD151264-4D0E-42D2-B4DA-6D89AAD325A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0" name="TextBox 7">
          <a:extLst>
            <a:ext uri="{FF2B5EF4-FFF2-40B4-BE49-F238E27FC236}">
              <a16:creationId xmlns:a16="http://schemas.microsoft.com/office/drawing/2014/main" id="{47D60ECB-7C1D-4EE1-8112-2529A4915F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1" name="TextBox 8">
          <a:extLst>
            <a:ext uri="{FF2B5EF4-FFF2-40B4-BE49-F238E27FC236}">
              <a16:creationId xmlns:a16="http://schemas.microsoft.com/office/drawing/2014/main" id="{87D066F4-AA6F-4801-B436-A86E37D4B7A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2" name="TextBox 2">
          <a:extLst>
            <a:ext uri="{FF2B5EF4-FFF2-40B4-BE49-F238E27FC236}">
              <a16:creationId xmlns:a16="http://schemas.microsoft.com/office/drawing/2014/main" id="{3F6853D2-4639-43AA-B6E3-262D768702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3" name="TextBox 4">
          <a:extLst>
            <a:ext uri="{FF2B5EF4-FFF2-40B4-BE49-F238E27FC236}">
              <a16:creationId xmlns:a16="http://schemas.microsoft.com/office/drawing/2014/main" id="{351C54F8-5E67-4BD1-876E-022D97A01E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4" name="TextBox 5">
          <a:extLst>
            <a:ext uri="{FF2B5EF4-FFF2-40B4-BE49-F238E27FC236}">
              <a16:creationId xmlns:a16="http://schemas.microsoft.com/office/drawing/2014/main" id="{40E8F0A2-21BB-4BEB-BD3A-AC954A6FE5E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5" name="TextBox 6">
          <a:extLst>
            <a:ext uri="{FF2B5EF4-FFF2-40B4-BE49-F238E27FC236}">
              <a16:creationId xmlns:a16="http://schemas.microsoft.com/office/drawing/2014/main" id="{637A136A-A24B-4118-8B91-5D1315B9BA2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6" name="TextBox 7">
          <a:extLst>
            <a:ext uri="{FF2B5EF4-FFF2-40B4-BE49-F238E27FC236}">
              <a16:creationId xmlns:a16="http://schemas.microsoft.com/office/drawing/2014/main" id="{82801F6C-315B-48B6-9F6B-4AB1D93A80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7" name="TextBox 8">
          <a:extLst>
            <a:ext uri="{FF2B5EF4-FFF2-40B4-BE49-F238E27FC236}">
              <a16:creationId xmlns:a16="http://schemas.microsoft.com/office/drawing/2014/main" id="{3C6E0D24-BBFE-4781-95AA-C2F4275FDE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8" name="TextBox 2">
          <a:extLst>
            <a:ext uri="{FF2B5EF4-FFF2-40B4-BE49-F238E27FC236}">
              <a16:creationId xmlns:a16="http://schemas.microsoft.com/office/drawing/2014/main" id="{4C2505BF-6591-49F2-B206-86E0F67D4A9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59" name="TextBox 4">
          <a:extLst>
            <a:ext uri="{FF2B5EF4-FFF2-40B4-BE49-F238E27FC236}">
              <a16:creationId xmlns:a16="http://schemas.microsoft.com/office/drawing/2014/main" id="{2FE84641-A3CC-47D0-B013-6790FE7B49C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0" name="TextBox 5">
          <a:extLst>
            <a:ext uri="{FF2B5EF4-FFF2-40B4-BE49-F238E27FC236}">
              <a16:creationId xmlns:a16="http://schemas.microsoft.com/office/drawing/2014/main" id="{A11D18FC-6F59-4A30-8845-4D92FE3B069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1" name="TextBox 6">
          <a:extLst>
            <a:ext uri="{FF2B5EF4-FFF2-40B4-BE49-F238E27FC236}">
              <a16:creationId xmlns:a16="http://schemas.microsoft.com/office/drawing/2014/main" id="{4F9FF8CE-1D9E-4B6B-93A9-3839E22BA4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2" name="TextBox 7">
          <a:extLst>
            <a:ext uri="{FF2B5EF4-FFF2-40B4-BE49-F238E27FC236}">
              <a16:creationId xmlns:a16="http://schemas.microsoft.com/office/drawing/2014/main" id="{D5D7B317-6752-4A07-9BE9-D85676F6546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3" name="TextBox 8">
          <a:extLst>
            <a:ext uri="{FF2B5EF4-FFF2-40B4-BE49-F238E27FC236}">
              <a16:creationId xmlns:a16="http://schemas.microsoft.com/office/drawing/2014/main" id="{A02D11B9-D2CF-4F3D-9673-D524BD7E822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4" name="TextBox 2">
          <a:extLst>
            <a:ext uri="{FF2B5EF4-FFF2-40B4-BE49-F238E27FC236}">
              <a16:creationId xmlns:a16="http://schemas.microsoft.com/office/drawing/2014/main" id="{BE2298D0-04F1-41D8-8CFF-6D84F51A97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5" name="TextBox 4">
          <a:extLst>
            <a:ext uri="{FF2B5EF4-FFF2-40B4-BE49-F238E27FC236}">
              <a16:creationId xmlns:a16="http://schemas.microsoft.com/office/drawing/2014/main" id="{FE6F81EF-32D4-4419-AABD-53B12284D7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6" name="TextBox 5">
          <a:extLst>
            <a:ext uri="{FF2B5EF4-FFF2-40B4-BE49-F238E27FC236}">
              <a16:creationId xmlns:a16="http://schemas.microsoft.com/office/drawing/2014/main" id="{8731C4C1-1C67-451E-B5FD-7D456EFD133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7" name="TextBox 6">
          <a:extLst>
            <a:ext uri="{FF2B5EF4-FFF2-40B4-BE49-F238E27FC236}">
              <a16:creationId xmlns:a16="http://schemas.microsoft.com/office/drawing/2014/main" id="{60E6516F-E2FD-4EA7-8480-7C414AB3069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8" name="TextBox 7">
          <a:extLst>
            <a:ext uri="{FF2B5EF4-FFF2-40B4-BE49-F238E27FC236}">
              <a16:creationId xmlns:a16="http://schemas.microsoft.com/office/drawing/2014/main" id="{6BF27805-83F9-48DE-BD89-754ACA6E85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69" name="TextBox 8">
          <a:extLst>
            <a:ext uri="{FF2B5EF4-FFF2-40B4-BE49-F238E27FC236}">
              <a16:creationId xmlns:a16="http://schemas.microsoft.com/office/drawing/2014/main" id="{FF558500-C295-493D-9562-20934333BA7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0" name="TextBox 2">
          <a:extLst>
            <a:ext uri="{FF2B5EF4-FFF2-40B4-BE49-F238E27FC236}">
              <a16:creationId xmlns:a16="http://schemas.microsoft.com/office/drawing/2014/main" id="{E72ACEAF-9D3F-4721-BD72-D8C8C3C2F3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1" name="TextBox 4">
          <a:extLst>
            <a:ext uri="{FF2B5EF4-FFF2-40B4-BE49-F238E27FC236}">
              <a16:creationId xmlns:a16="http://schemas.microsoft.com/office/drawing/2014/main" id="{7044DB9E-804B-47F7-B3BB-7A60770AAF3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2" name="TextBox 5">
          <a:extLst>
            <a:ext uri="{FF2B5EF4-FFF2-40B4-BE49-F238E27FC236}">
              <a16:creationId xmlns:a16="http://schemas.microsoft.com/office/drawing/2014/main" id="{51CA5DD5-5BAB-40B0-A0D0-6124686CA9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3" name="TextBox 6">
          <a:extLst>
            <a:ext uri="{FF2B5EF4-FFF2-40B4-BE49-F238E27FC236}">
              <a16:creationId xmlns:a16="http://schemas.microsoft.com/office/drawing/2014/main" id="{249EF4CA-438F-424A-90C1-88A4FD5AABA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4" name="TextBox 7">
          <a:extLst>
            <a:ext uri="{FF2B5EF4-FFF2-40B4-BE49-F238E27FC236}">
              <a16:creationId xmlns:a16="http://schemas.microsoft.com/office/drawing/2014/main" id="{2CF1B3F6-6F59-4815-A5F1-B8F15338181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5" name="TextBox 8">
          <a:extLst>
            <a:ext uri="{FF2B5EF4-FFF2-40B4-BE49-F238E27FC236}">
              <a16:creationId xmlns:a16="http://schemas.microsoft.com/office/drawing/2014/main" id="{597F3CA8-3B12-46E6-BBF1-146D48071C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6" name="TextBox 2">
          <a:extLst>
            <a:ext uri="{FF2B5EF4-FFF2-40B4-BE49-F238E27FC236}">
              <a16:creationId xmlns:a16="http://schemas.microsoft.com/office/drawing/2014/main" id="{DC83100C-02A9-475C-B2DD-2FEC5294EFD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7" name="TextBox 4">
          <a:extLst>
            <a:ext uri="{FF2B5EF4-FFF2-40B4-BE49-F238E27FC236}">
              <a16:creationId xmlns:a16="http://schemas.microsoft.com/office/drawing/2014/main" id="{AFECA22D-2891-49E4-881E-C1F9C41F4E7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8" name="TextBox 5">
          <a:extLst>
            <a:ext uri="{FF2B5EF4-FFF2-40B4-BE49-F238E27FC236}">
              <a16:creationId xmlns:a16="http://schemas.microsoft.com/office/drawing/2014/main" id="{66EC5AD3-E760-4DEC-AAB9-E3512985937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79" name="TextBox 6">
          <a:extLst>
            <a:ext uri="{FF2B5EF4-FFF2-40B4-BE49-F238E27FC236}">
              <a16:creationId xmlns:a16="http://schemas.microsoft.com/office/drawing/2014/main" id="{5D12E4AC-8A97-45E4-B24B-ACABF8AAE13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0" name="TextBox 7">
          <a:extLst>
            <a:ext uri="{FF2B5EF4-FFF2-40B4-BE49-F238E27FC236}">
              <a16:creationId xmlns:a16="http://schemas.microsoft.com/office/drawing/2014/main" id="{2AEC731C-B0CA-43A8-9307-47ACDBBA0B5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1" name="TextBox 8">
          <a:extLst>
            <a:ext uri="{FF2B5EF4-FFF2-40B4-BE49-F238E27FC236}">
              <a16:creationId xmlns:a16="http://schemas.microsoft.com/office/drawing/2014/main" id="{76F4B074-31A9-4939-9859-479BE2225A3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2" name="TextBox 2">
          <a:extLst>
            <a:ext uri="{FF2B5EF4-FFF2-40B4-BE49-F238E27FC236}">
              <a16:creationId xmlns:a16="http://schemas.microsoft.com/office/drawing/2014/main" id="{21B6A8DB-8338-47EB-A518-FFF06FFE8F7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3" name="TextBox 4">
          <a:extLst>
            <a:ext uri="{FF2B5EF4-FFF2-40B4-BE49-F238E27FC236}">
              <a16:creationId xmlns:a16="http://schemas.microsoft.com/office/drawing/2014/main" id="{6B25D97C-8DB2-4401-AB69-BD8B43C8C5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4" name="TextBox 5">
          <a:extLst>
            <a:ext uri="{FF2B5EF4-FFF2-40B4-BE49-F238E27FC236}">
              <a16:creationId xmlns:a16="http://schemas.microsoft.com/office/drawing/2014/main" id="{2FE1980C-CCC1-4E61-9CE8-76C11A778DB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5" name="TextBox 6">
          <a:extLst>
            <a:ext uri="{FF2B5EF4-FFF2-40B4-BE49-F238E27FC236}">
              <a16:creationId xmlns:a16="http://schemas.microsoft.com/office/drawing/2014/main" id="{292973BB-079E-4DDD-B7D1-A7057C121FD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6" name="TextBox 7">
          <a:extLst>
            <a:ext uri="{FF2B5EF4-FFF2-40B4-BE49-F238E27FC236}">
              <a16:creationId xmlns:a16="http://schemas.microsoft.com/office/drawing/2014/main" id="{ADCEB9D4-01A2-4201-BDCC-B86A0FC01D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7" name="TextBox 8">
          <a:extLst>
            <a:ext uri="{FF2B5EF4-FFF2-40B4-BE49-F238E27FC236}">
              <a16:creationId xmlns:a16="http://schemas.microsoft.com/office/drawing/2014/main" id="{6862289E-B764-4B19-82A6-E5CD615C56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8" name="TextBox 2">
          <a:extLst>
            <a:ext uri="{FF2B5EF4-FFF2-40B4-BE49-F238E27FC236}">
              <a16:creationId xmlns:a16="http://schemas.microsoft.com/office/drawing/2014/main" id="{6659226D-D0DA-4F55-AEF9-86DF15C6F9C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89" name="TextBox 4">
          <a:extLst>
            <a:ext uri="{FF2B5EF4-FFF2-40B4-BE49-F238E27FC236}">
              <a16:creationId xmlns:a16="http://schemas.microsoft.com/office/drawing/2014/main" id="{1A8344F1-9579-4ACA-B28F-A38E0C7D2B9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0" name="TextBox 5">
          <a:extLst>
            <a:ext uri="{FF2B5EF4-FFF2-40B4-BE49-F238E27FC236}">
              <a16:creationId xmlns:a16="http://schemas.microsoft.com/office/drawing/2014/main" id="{E50912AA-4CE3-4559-ADDD-D1E341C9510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1" name="TextBox 6">
          <a:extLst>
            <a:ext uri="{FF2B5EF4-FFF2-40B4-BE49-F238E27FC236}">
              <a16:creationId xmlns:a16="http://schemas.microsoft.com/office/drawing/2014/main" id="{C2A9B569-1EFB-4F96-AC66-8544BF534E2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2" name="TextBox 7">
          <a:extLst>
            <a:ext uri="{FF2B5EF4-FFF2-40B4-BE49-F238E27FC236}">
              <a16:creationId xmlns:a16="http://schemas.microsoft.com/office/drawing/2014/main" id="{9F33CAE2-BE9A-4D44-A6F7-3EBA869447A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3" name="TextBox 8">
          <a:extLst>
            <a:ext uri="{FF2B5EF4-FFF2-40B4-BE49-F238E27FC236}">
              <a16:creationId xmlns:a16="http://schemas.microsoft.com/office/drawing/2014/main" id="{2538D508-DCF2-4C5C-A81D-0B99862EA81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4" name="TextBox 2">
          <a:extLst>
            <a:ext uri="{FF2B5EF4-FFF2-40B4-BE49-F238E27FC236}">
              <a16:creationId xmlns:a16="http://schemas.microsoft.com/office/drawing/2014/main" id="{60888D55-C271-40C4-95F1-906771A0867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5" name="TextBox 4">
          <a:extLst>
            <a:ext uri="{FF2B5EF4-FFF2-40B4-BE49-F238E27FC236}">
              <a16:creationId xmlns:a16="http://schemas.microsoft.com/office/drawing/2014/main" id="{71B06B27-F918-428B-88A6-119E7BBC59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6" name="TextBox 5">
          <a:extLst>
            <a:ext uri="{FF2B5EF4-FFF2-40B4-BE49-F238E27FC236}">
              <a16:creationId xmlns:a16="http://schemas.microsoft.com/office/drawing/2014/main" id="{0A76D3DB-1732-493F-B84D-FF9A2431F89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7" name="TextBox 6">
          <a:extLst>
            <a:ext uri="{FF2B5EF4-FFF2-40B4-BE49-F238E27FC236}">
              <a16:creationId xmlns:a16="http://schemas.microsoft.com/office/drawing/2014/main" id="{27A94A38-FFBE-422C-97EE-4575C148B1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8" name="TextBox 7">
          <a:extLst>
            <a:ext uri="{FF2B5EF4-FFF2-40B4-BE49-F238E27FC236}">
              <a16:creationId xmlns:a16="http://schemas.microsoft.com/office/drawing/2014/main" id="{237A3E8A-93DC-4CF8-B551-357889996B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199" name="TextBox 8">
          <a:extLst>
            <a:ext uri="{FF2B5EF4-FFF2-40B4-BE49-F238E27FC236}">
              <a16:creationId xmlns:a16="http://schemas.microsoft.com/office/drawing/2014/main" id="{20825247-20AE-40E3-90A9-3B21B587F8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0" name="TextBox 2">
          <a:extLst>
            <a:ext uri="{FF2B5EF4-FFF2-40B4-BE49-F238E27FC236}">
              <a16:creationId xmlns:a16="http://schemas.microsoft.com/office/drawing/2014/main" id="{7F03FE01-5348-4779-A492-133B6189F4D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1" name="TextBox 4">
          <a:extLst>
            <a:ext uri="{FF2B5EF4-FFF2-40B4-BE49-F238E27FC236}">
              <a16:creationId xmlns:a16="http://schemas.microsoft.com/office/drawing/2014/main" id="{45977B3B-C883-47DC-B5F2-FBA1253346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2" name="TextBox 5">
          <a:extLst>
            <a:ext uri="{FF2B5EF4-FFF2-40B4-BE49-F238E27FC236}">
              <a16:creationId xmlns:a16="http://schemas.microsoft.com/office/drawing/2014/main" id="{5CB0DC4C-632B-498B-BD20-D62D7E45F2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3" name="TextBox 6">
          <a:extLst>
            <a:ext uri="{FF2B5EF4-FFF2-40B4-BE49-F238E27FC236}">
              <a16:creationId xmlns:a16="http://schemas.microsoft.com/office/drawing/2014/main" id="{21BDB5C5-C416-441A-A221-D67AFEDC866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4" name="TextBox 7">
          <a:extLst>
            <a:ext uri="{FF2B5EF4-FFF2-40B4-BE49-F238E27FC236}">
              <a16:creationId xmlns:a16="http://schemas.microsoft.com/office/drawing/2014/main" id="{D7095749-78A0-43DC-9F23-1B76ECBA171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5" name="TextBox 8">
          <a:extLst>
            <a:ext uri="{FF2B5EF4-FFF2-40B4-BE49-F238E27FC236}">
              <a16:creationId xmlns:a16="http://schemas.microsoft.com/office/drawing/2014/main" id="{9FD7430F-F862-42E5-9A5F-FFA965D9C40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6" name="TextBox 2">
          <a:extLst>
            <a:ext uri="{FF2B5EF4-FFF2-40B4-BE49-F238E27FC236}">
              <a16:creationId xmlns:a16="http://schemas.microsoft.com/office/drawing/2014/main" id="{18B1B47D-5A36-4AF9-846D-93534E03E3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7" name="TextBox 4">
          <a:extLst>
            <a:ext uri="{FF2B5EF4-FFF2-40B4-BE49-F238E27FC236}">
              <a16:creationId xmlns:a16="http://schemas.microsoft.com/office/drawing/2014/main" id="{3DE7B853-71E0-4E7D-8BDA-F95133875E9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8" name="TextBox 5">
          <a:extLst>
            <a:ext uri="{FF2B5EF4-FFF2-40B4-BE49-F238E27FC236}">
              <a16:creationId xmlns:a16="http://schemas.microsoft.com/office/drawing/2014/main" id="{C6AF6877-20BA-4270-84C1-D0A18D33614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09" name="TextBox 6">
          <a:extLst>
            <a:ext uri="{FF2B5EF4-FFF2-40B4-BE49-F238E27FC236}">
              <a16:creationId xmlns:a16="http://schemas.microsoft.com/office/drawing/2014/main" id="{AA3DA3BF-7703-43B3-9759-528B80CD83F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0" name="TextBox 7">
          <a:extLst>
            <a:ext uri="{FF2B5EF4-FFF2-40B4-BE49-F238E27FC236}">
              <a16:creationId xmlns:a16="http://schemas.microsoft.com/office/drawing/2014/main" id="{340AC5A4-72D7-462D-BC90-29393E3A39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1" name="TextBox 8">
          <a:extLst>
            <a:ext uri="{FF2B5EF4-FFF2-40B4-BE49-F238E27FC236}">
              <a16:creationId xmlns:a16="http://schemas.microsoft.com/office/drawing/2014/main" id="{0FC10781-5E52-4056-A13B-47F5BE5A3F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2" name="TextBox 2">
          <a:extLst>
            <a:ext uri="{FF2B5EF4-FFF2-40B4-BE49-F238E27FC236}">
              <a16:creationId xmlns:a16="http://schemas.microsoft.com/office/drawing/2014/main" id="{418E9CF4-11B4-43D1-81D0-3BC38BA8DF9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3" name="TextBox 4">
          <a:extLst>
            <a:ext uri="{FF2B5EF4-FFF2-40B4-BE49-F238E27FC236}">
              <a16:creationId xmlns:a16="http://schemas.microsoft.com/office/drawing/2014/main" id="{EF441553-D8ED-4DD8-AD4F-8C2E495F83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4" name="TextBox 5">
          <a:extLst>
            <a:ext uri="{FF2B5EF4-FFF2-40B4-BE49-F238E27FC236}">
              <a16:creationId xmlns:a16="http://schemas.microsoft.com/office/drawing/2014/main" id="{2FFECE0B-3E3E-43CC-BCF7-6F7F0274CA8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5" name="TextBox 6">
          <a:extLst>
            <a:ext uri="{FF2B5EF4-FFF2-40B4-BE49-F238E27FC236}">
              <a16:creationId xmlns:a16="http://schemas.microsoft.com/office/drawing/2014/main" id="{03C94124-43FA-435C-8E78-520A76B2B5B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6" name="TextBox 7">
          <a:extLst>
            <a:ext uri="{FF2B5EF4-FFF2-40B4-BE49-F238E27FC236}">
              <a16:creationId xmlns:a16="http://schemas.microsoft.com/office/drawing/2014/main" id="{85415D08-EBEC-4C7F-BDF7-8124E3367F5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7" name="TextBox 8">
          <a:extLst>
            <a:ext uri="{FF2B5EF4-FFF2-40B4-BE49-F238E27FC236}">
              <a16:creationId xmlns:a16="http://schemas.microsoft.com/office/drawing/2014/main" id="{372C6BAA-EA49-4488-9100-2342DC23E1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8" name="TextBox 2">
          <a:extLst>
            <a:ext uri="{FF2B5EF4-FFF2-40B4-BE49-F238E27FC236}">
              <a16:creationId xmlns:a16="http://schemas.microsoft.com/office/drawing/2014/main" id="{C9E2E976-3BEE-47AA-82C8-0C51416342D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19" name="TextBox 4">
          <a:extLst>
            <a:ext uri="{FF2B5EF4-FFF2-40B4-BE49-F238E27FC236}">
              <a16:creationId xmlns:a16="http://schemas.microsoft.com/office/drawing/2014/main" id="{1C94B071-8E96-4B3F-8C6D-9E021A1D57D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0" name="TextBox 5">
          <a:extLst>
            <a:ext uri="{FF2B5EF4-FFF2-40B4-BE49-F238E27FC236}">
              <a16:creationId xmlns:a16="http://schemas.microsoft.com/office/drawing/2014/main" id="{4A3F347F-73B3-4A0F-BB76-3483B1FDC0E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1" name="TextBox 6">
          <a:extLst>
            <a:ext uri="{FF2B5EF4-FFF2-40B4-BE49-F238E27FC236}">
              <a16:creationId xmlns:a16="http://schemas.microsoft.com/office/drawing/2014/main" id="{2A951BA6-7862-4FE2-A196-AA276146862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2" name="TextBox 7">
          <a:extLst>
            <a:ext uri="{FF2B5EF4-FFF2-40B4-BE49-F238E27FC236}">
              <a16:creationId xmlns:a16="http://schemas.microsoft.com/office/drawing/2014/main" id="{512AC31E-981A-4056-939C-B06A51D7D25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3" name="TextBox 8">
          <a:extLst>
            <a:ext uri="{FF2B5EF4-FFF2-40B4-BE49-F238E27FC236}">
              <a16:creationId xmlns:a16="http://schemas.microsoft.com/office/drawing/2014/main" id="{43FAFC70-DFF8-4CB5-A305-BAAB5BB8381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4" name="TextBox 2">
          <a:extLst>
            <a:ext uri="{FF2B5EF4-FFF2-40B4-BE49-F238E27FC236}">
              <a16:creationId xmlns:a16="http://schemas.microsoft.com/office/drawing/2014/main" id="{3706547F-5461-48F6-938E-67794DDDA2D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5" name="TextBox 4">
          <a:extLst>
            <a:ext uri="{FF2B5EF4-FFF2-40B4-BE49-F238E27FC236}">
              <a16:creationId xmlns:a16="http://schemas.microsoft.com/office/drawing/2014/main" id="{F211AAAF-DA22-4EB7-A122-70D698E6040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6" name="TextBox 5">
          <a:extLst>
            <a:ext uri="{FF2B5EF4-FFF2-40B4-BE49-F238E27FC236}">
              <a16:creationId xmlns:a16="http://schemas.microsoft.com/office/drawing/2014/main" id="{66527E8D-F1F7-485A-A531-A7CDC7586D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7" name="TextBox 6">
          <a:extLst>
            <a:ext uri="{FF2B5EF4-FFF2-40B4-BE49-F238E27FC236}">
              <a16:creationId xmlns:a16="http://schemas.microsoft.com/office/drawing/2014/main" id="{7190FEAE-E6FB-4969-A342-2487650AF42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8" name="TextBox 7">
          <a:extLst>
            <a:ext uri="{FF2B5EF4-FFF2-40B4-BE49-F238E27FC236}">
              <a16:creationId xmlns:a16="http://schemas.microsoft.com/office/drawing/2014/main" id="{4CD23042-0C72-4279-B642-79C939C9444F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29" name="TextBox 8">
          <a:extLst>
            <a:ext uri="{FF2B5EF4-FFF2-40B4-BE49-F238E27FC236}">
              <a16:creationId xmlns:a16="http://schemas.microsoft.com/office/drawing/2014/main" id="{0E65D540-1331-4D44-B676-9EA36DAB299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0" name="TextBox 2">
          <a:extLst>
            <a:ext uri="{FF2B5EF4-FFF2-40B4-BE49-F238E27FC236}">
              <a16:creationId xmlns:a16="http://schemas.microsoft.com/office/drawing/2014/main" id="{AD9262AB-8BFB-4C28-8A9B-E2B1F9914C8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1" name="TextBox 4">
          <a:extLst>
            <a:ext uri="{FF2B5EF4-FFF2-40B4-BE49-F238E27FC236}">
              <a16:creationId xmlns:a16="http://schemas.microsoft.com/office/drawing/2014/main" id="{47BD3F7F-7616-4F5C-96FA-3FDC98FB975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2" name="TextBox 5">
          <a:extLst>
            <a:ext uri="{FF2B5EF4-FFF2-40B4-BE49-F238E27FC236}">
              <a16:creationId xmlns:a16="http://schemas.microsoft.com/office/drawing/2014/main" id="{650B0C5A-6BBB-42FF-8C39-4798B0E489E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3" name="TextBox 6">
          <a:extLst>
            <a:ext uri="{FF2B5EF4-FFF2-40B4-BE49-F238E27FC236}">
              <a16:creationId xmlns:a16="http://schemas.microsoft.com/office/drawing/2014/main" id="{95540F8A-876A-4758-988E-62098AC8032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4" name="TextBox 7">
          <a:extLst>
            <a:ext uri="{FF2B5EF4-FFF2-40B4-BE49-F238E27FC236}">
              <a16:creationId xmlns:a16="http://schemas.microsoft.com/office/drawing/2014/main" id="{59AD3F80-0C7B-4C3D-AEA9-6E11852A1BF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5" name="TextBox 8">
          <a:extLst>
            <a:ext uri="{FF2B5EF4-FFF2-40B4-BE49-F238E27FC236}">
              <a16:creationId xmlns:a16="http://schemas.microsoft.com/office/drawing/2014/main" id="{F7D67677-47D3-4B0A-8CF9-7F4FA9FB0D4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6" name="TextBox 2">
          <a:extLst>
            <a:ext uri="{FF2B5EF4-FFF2-40B4-BE49-F238E27FC236}">
              <a16:creationId xmlns:a16="http://schemas.microsoft.com/office/drawing/2014/main" id="{52AB5970-6E22-40F0-92F9-D44B6B89A8C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7" name="TextBox 4">
          <a:extLst>
            <a:ext uri="{FF2B5EF4-FFF2-40B4-BE49-F238E27FC236}">
              <a16:creationId xmlns:a16="http://schemas.microsoft.com/office/drawing/2014/main" id="{2918AA9A-4759-4058-804B-7FB4D9486DA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8" name="TextBox 5">
          <a:extLst>
            <a:ext uri="{FF2B5EF4-FFF2-40B4-BE49-F238E27FC236}">
              <a16:creationId xmlns:a16="http://schemas.microsoft.com/office/drawing/2014/main" id="{737DE187-0058-4037-AC6F-B04DB19CA8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39" name="TextBox 6">
          <a:extLst>
            <a:ext uri="{FF2B5EF4-FFF2-40B4-BE49-F238E27FC236}">
              <a16:creationId xmlns:a16="http://schemas.microsoft.com/office/drawing/2014/main" id="{20B6FD42-9E90-472C-BCAF-6E9423DA7D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0" name="TextBox 7">
          <a:extLst>
            <a:ext uri="{FF2B5EF4-FFF2-40B4-BE49-F238E27FC236}">
              <a16:creationId xmlns:a16="http://schemas.microsoft.com/office/drawing/2014/main" id="{4AAA02FC-75B1-4D92-9285-2A02F6077CB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1" name="TextBox 8">
          <a:extLst>
            <a:ext uri="{FF2B5EF4-FFF2-40B4-BE49-F238E27FC236}">
              <a16:creationId xmlns:a16="http://schemas.microsoft.com/office/drawing/2014/main" id="{24C95021-89D8-4DB2-A1BD-68167F35400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2" name="TextBox 2">
          <a:extLst>
            <a:ext uri="{FF2B5EF4-FFF2-40B4-BE49-F238E27FC236}">
              <a16:creationId xmlns:a16="http://schemas.microsoft.com/office/drawing/2014/main" id="{53C61E12-93C9-4BC5-888C-1E6C7E9DE19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3" name="TextBox 4">
          <a:extLst>
            <a:ext uri="{FF2B5EF4-FFF2-40B4-BE49-F238E27FC236}">
              <a16:creationId xmlns:a16="http://schemas.microsoft.com/office/drawing/2014/main" id="{0C587308-6B94-45DB-87A2-0417A5B34FE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4" name="TextBox 5">
          <a:extLst>
            <a:ext uri="{FF2B5EF4-FFF2-40B4-BE49-F238E27FC236}">
              <a16:creationId xmlns:a16="http://schemas.microsoft.com/office/drawing/2014/main" id="{FB12F4CF-F203-4E36-A6A3-51BFA61D10C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5" name="TextBox 6">
          <a:extLst>
            <a:ext uri="{FF2B5EF4-FFF2-40B4-BE49-F238E27FC236}">
              <a16:creationId xmlns:a16="http://schemas.microsoft.com/office/drawing/2014/main" id="{15018ABE-780E-43A4-8D1B-10011D9535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6" name="TextBox 7">
          <a:extLst>
            <a:ext uri="{FF2B5EF4-FFF2-40B4-BE49-F238E27FC236}">
              <a16:creationId xmlns:a16="http://schemas.microsoft.com/office/drawing/2014/main" id="{06683AF1-5132-458B-A2CA-228DFA1E305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7" name="TextBox 8">
          <a:extLst>
            <a:ext uri="{FF2B5EF4-FFF2-40B4-BE49-F238E27FC236}">
              <a16:creationId xmlns:a16="http://schemas.microsoft.com/office/drawing/2014/main" id="{C6C38547-4B32-4446-8B65-4FF13591DED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8" name="TextBox 2">
          <a:extLst>
            <a:ext uri="{FF2B5EF4-FFF2-40B4-BE49-F238E27FC236}">
              <a16:creationId xmlns:a16="http://schemas.microsoft.com/office/drawing/2014/main" id="{419ECA60-D996-4DB4-8C3F-228FAD575D3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49" name="TextBox 4">
          <a:extLst>
            <a:ext uri="{FF2B5EF4-FFF2-40B4-BE49-F238E27FC236}">
              <a16:creationId xmlns:a16="http://schemas.microsoft.com/office/drawing/2014/main" id="{6CCCB32C-B206-4BC6-B36E-F7B068F5D6B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0" name="TextBox 5">
          <a:extLst>
            <a:ext uri="{FF2B5EF4-FFF2-40B4-BE49-F238E27FC236}">
              <a16:creationId xmlns:a16="http://schemas.microsoft.com/office/drawing/2014/main" id="{F72102A1-5F38-48A9-AA69-BAF5192DF00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1" name="TextBox 6">
          <a:extLst>
            <a:ext uri="{FF2B5EF4-FFF2-40B4-BE49-F238E27FC236}">
              <a16:creationId xmlns:a16="http://schemas.microsoft.com/office/drawing/2014/main" id="{A91EAEF6-AC99-4F40-B807-889B63F8AEC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2" name="TextBox 7">
          <a:extLst>
            <a:ext uri="{FF2B5EF4-FFF2-40B4-BE49-F238E27FC236}">
              <a16:creationId xmlns:a16="http://schemas.microsoft.com/office/drawing/2014/main" id="{5E2A3910-F630-496E-AB9D-0091A7B61ED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3" name="TextBox 8">
          <a:extLst>
            <a:ext uri="{FF2B5EF4-FFF2-40B4-BE49-F238E27FC236}">
              <a16:creationId xmlns:a16="http://schemas.microsoft.com/office/drawing/2014/main" id="{46337C4E-45DC-48E8-8934-C64E0165CCC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4" name="TextBox 2">
          <a:extLst>
            <a:ext uri="{FF2B5EF4-FFF2-40B4-BE49-F238E27FC236}">
              <a16:creationId xmlns:a16="http://schemas.microsoft.com/office/drawing/2014/main" id="{841F64C8-CB9D-42A0-BFBF-6CF9275F51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5" name="TextBox 4">
          <a:extLst>
            <a:ext uri="{FF2B5EF4-FFF2-40B4-BE49-F238E27FC236}">
              <a16:creationId xmlns:a16="http://schemas.microsoft.com/office/drawing/2014/main" id="{B045E635-4DB2-4140-842E-D5E2841265D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6" name="TextBox 5">
          <a:extLst>
            <a:ext uri="{FF2B5EF4-FFF2-40B4-BE49-F238E27FC236}">
              <a16:creationId xmlns:a16="http://schemas.microsoft.com/office/drawing/2014/main" id="{D8659AC7-2EBA-4007-B046-558A35C7A48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7" name="TextBox 6">
          <a:extLst>
            <a:ext uri="{FF2B5EF4-FFF2-40B4-BE49-F238E27FC236}">
              <a16:creationId xmlns:a16="http://schemas.microsoft.com/office/drawing/2014/main" id="{C34AEF7E-CF8A-46F5-981F-5B26229DBB4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8" name="TextBox 7">
          <a:extLst>
            <a:ext uri="{FF2B5EF4-FFF2-40B4-BE49-F238E27FC236}">
              <a16:creationId xmlns:a16="http://schemas.microsoft.com/office/drawing/2014/main" id="{DFE98B2D-A0B3-44D9-84F7-399239FA2F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59" name="TextBox 8">
          <a:extLst>
            <a:ext uri="{FF2B5EF4-FFF2-40B4-BE49-F238E27FC236}">
              <a16:creationId xmlns:a16="http://schemas.microsoft.com/office/drawing/2014/main" id="{988CD9B5-B2C2-45A7-99E9-B61F0A79485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0" name="TextBox 2">
          <a:extLst>
            <a:ext uri="{FF2B5EF4-FFF2-40B4-BE49-F238E27FC236}">
              <a16:creationId xmlns:a16="http://schemas.microsoft.com/office/drawing/2014/main" id="{572377E4-1A5C-4A7B-914B-CA1088E58D7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1" name="TextBox 4">
          <a:extLst>
            <a:ext uri="{FF2B5EF4-FFF2-40B4-BE49-F238E27FC236}">
              <a16:creationId xmlns:a16="http://schemas.microsoft.com/office/drawing/2014/main" id="{79210852-427C-443A-96D6-6F0C81251A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2" name="TextBox 5">
          <a:extLst>
            <a:ext uri="{FF2B5EF4-FFF2-40B4-BE49-F238E27FC236}">
              <a16:creationId xmlns:a16="http://schemas.microsoft.com/office/drawing/2014/main" id="{8B7B368B-0C1B-40AE-BB70-7E070BD78A2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3" name="TextBox 6">
          <a:extLst>
            <a:ext uri="{FF2B5EF4-FFF2-40B4-BE49-F238E27FC236}">
              <a16:creationId xmlns:a16="http://schemas.microsoft.com/office/drawing/2014/main" id="{7225DF12-9F74-4FDF-9D86-6D1BDCB689A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4" name="TextBox 7">
          <a:extLst>
            <a:ext uri="{FF2B5EF4-FFF2-40B4-BE49-F238E27FC236}">
              <a16:creationId xmlns:a16="http://schemas.microsoft.com/office/drawing/2014/main" id="{0F307507-B61B-4ED5-866A-74F301C9C88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5" name="TextBox 8">
          <a:extLst>
            <a:ext uri="{FF2B5EF4-FFF2-40B4-BE49-F238E27FC236}">
              <a16:creationId xmlns:a16="http://schemas.microsoft.com/office/drawing/2014/main" id="{93737D4D-0FAE-4171-B508-33AF4EF8922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6" name="TextBox 2">
          <a:extLst>
            <a:ext uri="{FF2B5EF4-FFF2-40B4-BE49-F238E27FC236}">
              <a16:creationId xmlns:a16="http://schemas.microsoft.com/office/drawing/2014/main" id="{98B04A55-E405-4898-8257-BF608872F6E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7" name="TextBox 4">
          <a:extLst>
            <a:ext uri="{FF2B5EF4-FFF2-40B4-BE49-F238E27FC236}">
              <a16:creationId xmlns:a16="http://schemas.microsoft.com/office/drawing/2014/main" id="{59D71956-0B7A-4851-A64B-58050BC5E38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8" name="TextBox 5">
          <a:extLst>
            <a:ext uri="{FF2B5EF4-FFF2-40B4-BE49-F238E27FC236}">
              <a16:creationId xmlns:a16="http://schemas.microsoft.com/office/drawing/2014/main" id="{4791A94B-38A2-43E4-B852-33F6718D8C6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69" name="TextBox 6">
          <a:extLst>
            <a:ext uri="{FF2B5EF4-FFF2-40B4-BE49-F238E27FC236}">
              <a16:creationId xmlns:a16="http://schemas.microsoft.com/office/drawing/2014/main" id="{E8A896AA-2FA7-4E92-8B74-174AA1C8553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0" name="TextBox 7">
          <a:extLst>
            <a:ext uri="{FF2B5EF4-FFF2-40B4-BE49-F238E27FC236}">
              <a16:creationId xmlns:a16="http://schemas.microsoft.com/office/drawing/2014/main" id="{B457182E-2B7C-4CEF-A5B1-3C68886FE95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1" name="TextBox 8">
          <a:extLst>
            <a:ext uri="{FF2B5EF4-FFF2-40B4-BE49-F238E27FC236}">
              <a16:creationId xmlns:a16="http://schemas.microsoft.com/office/drawing/2014/main" id="{94E6419C-009A-4E37-9E82-6B19536391E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2" name="TextBox 2">
          <a:extLst>
            <a:ext uri="{FF2B5EF4-FFF2-40B4-BE49-F238E27FC236}">
              <a16:creationId xmlns:a16="http://schemas.microsoft.com/office/drawing/2014/main" id="{CA556D83-255D-4675-B99E-D72482CC101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3" name="TextBox 4">
          <a:extLst>
            <a:ext uri="{FF2B5EF4-FFF2-40B4-BE49-F238E27FC236}">
              <a16:creationId xmlns:a16="http://schemas.microsoft.com/office/drawing/2014/main" id="{373A571E-C680-444C-9899-63E75B01F5E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4" name="TextBox 5">
          <a:extLst>
            <a:ext uri="{FF2B5EF4-FFF2-40B4-BE49-F238E27FC236}">
              <a16:creationId xmlns:a16="http://schemas.microsoft.com/office/drawing/2014/main" id="{CE9423B6-A70B-4B52-9712-1B4DEA1C879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5" name="TextBox 6">
          <a:extLst>
            <a:ext uri="{FF2B5EF4-FFF2-40B4-BE49-F238E27FC236}">
              <a16:creationId xmlns:a16="http://schemas.microsoft.com/office/drawing/2014/main" id="{C7DF753B-0426-49CC-8670-8B1EF1F7B8F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6" name="TextBox 7">
          <a:extLst>
            <a:ext uri="{FF2B5EF4-FFF2-40B4-BE49-F238E27FC236}">
              <a16:creationId xmlns:a16="http://schemas.microsoft.com/office/drawing/2014/main" id="{F48E58A2-C416-456C-8D01-FA193298833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7" name="TextBox 8">
          <a:extLst>
            <a:ext uri="{FF2B5EF4-FFF2-40B4-BE49-F238E27FC236}">
              <a16:creationId xmlns:a16="http://schemas.microsoft.com/office/drawing/2014/main" id="{E56E9B71-F282-4D4B-BFC3-5802CD7E6D4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8" name="TextBox 2">
          <a:extLst>
            <a:ext uri="{FF2B5EF4-FFF2-40B4-BE49-F238E27FC236}">
              <a16:creationId xmlns:a16="http://schemas.microsoft.com/office/drawing/2014/main" id="{327CFB27-8154-4A68-95DB-2E08F1492AE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79" name="TextBox 4">
          <a:extLst>
            <a:ext uri="{FF2B5EF4-FFF2-40B4-BE49-F238E27FC236}">
              <a16:creationId xmlns:a16="http://schemas.microsoft.com/office/drawing/2014/main" id="{52D9527B-0067-447E-9A2D-FF32339DE0F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0" name="TextBox 5">
          <a:extLst>
            <a:ext uri="{FF2B5EF4-FFF2-40B4-BE49-F238E27FC236}">
              <a16:creationId xmlns:a16="http://schemas.microsoft.com/office/drawing/2014/main" id="{B17F57A1-C22F-4BD5-B495-174CFFDA4CC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1" name="TextBox 6">
          <a:extLst>
            <a:ext uri="{FF2B5EF4-FFF2-40B4-BE49-F238E27FC236}">
              <a16:creationId xmlns:a16="http://schemas.microsoft.com/office/drawing/2014/main" id="{4BEF1C79-A260-40F8-B013-14BD2A988F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2" name="TextBox 7">
          <a:extLst>
            <a:ext uri="{FF2B5EF4-FFF2-40B4-BE49-F238E27FC236}">
              <a16:creationId xmlns:a16="http://schemas.microsoft.com/office/drawing/2014/main" id="{36B5F2F0-6873-4A45-AB7B-71559A6585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3" name="TextBox 8">
          <a:extLst>
            <a:ext uri="{FF2B5EF4-FFF2-40B4-BE49-F238E27FC236}">
              <a16:creationId xmlns:a16="http://schemas.microsoft.com/office/drawing/2014/main" id="{ECF80F5D-E23B-40AE-BF46-6C7AEB65149E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4" name="TextBox 2">
          <a:extLst>
            <a:ext uri="{FF2B5EF4-FFF2-40B4-BE49-F238E27FC236}">
              <a16:creationId xmlns:a16="http://schemas.microsoft.com/office/drawing/2014/main" id="{5D21AAAE-8753-4146-82E9-BCF379D34B3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5" name="TextBox 4">
          <a:extLst>
            <a:ext uri="{FF2B5EF4-FFF2-40B4-BE49-F238E27FC236}">
              <a16:creationId xmlns:a16="http://schemas.microsoft.com/office/drawing/2014/main" id="{A9403E2C-0F06-4DE2-911C-5BB174BCCE2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6" name="TextBox 5">
          <a:extLst>
            <a:ext uri="{FF2B5EF4-FFF2-40B4-BE49-F238E27FC236}">
              <a16:creationId xmlns:a16="http://schemas.microsoft.com/office/drawing/2014/main" id="{E4181671-B989-40E6-8010-4786783D4242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7" name="TextBox 6">
          <a:extLst>
            <a:ext uri="{FF2B5EF4-FFF2-40B4-BE49-F238E27FC236}">
              <a16:creationId xmlns:a16="http://schemas.microsoft.com/office/drawing/2014/main" id="{D676658B-ED18-4051-8878-8C9FBF821FF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8" name="TextBox 7">
          <a:extLst>
            <a:ext uri="{FF2B5EF4-FFF2-40B4-BE49-F238E27FC236}">
              <a16:creationId xmlns:a16="http://schemas.microsoft.com/office/drawing/2014/main" id="{144C8255-A13A-4D3C-9264-242432056D3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89" name="TextBox 8">
          <a:extLst>
            <a:ext uri="{FF2B5EF4-FFF2-40B4-BE49-F238E27FC236}">
              <a16:creationId xmlns:a16="http://schemas.microsoft.com/office/drawing/2014/main" id="{CABE9628-F251-4652-BC1E-80C0A4EA6F43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0" name="TextBox 2">
          <a:extLst>
            <a:ext uri="{FF2B5EF4-FFF2-40B4-BE49-F238E27FC236}">
              <a16:creationId xmlns:a16="http://schemas.microsoft.com/office/drawing/2014/main" id="{DE7324C4-20A4-4670-8908-FA7783DD81D9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1" name="TextBox 4">
          <a:extLst>
            <a:ext uri="{FF2B5EF4-FFF2-40B4-BE49-F238E27FC236}">
              <a16:creationId xmlns:a16="http://schemas.microsoft.com/office/drawing/2014/main" id="{7309C577-9E09-4756-B14E-399356A9B77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2" name="TextBox 5">
          <a:extLst>
            <a:ext uri="{FF2B5EF4-FFF2-40B4-BE49-F238E27FC236}">
              <a16:creationId xmlns:a16="http://schemas.microsoft.com/office/drawing/2014/main" id="{FEF7F0FF-C48E-4414-B0A2-7E2813C8D547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3" name="TextBox 6">
          <a:extLst>
            <a:ext uri="{FF2B5EF4-FFF2-40B4-BE49-F238E27FC236}">
              <a16:creationId xmlns:a16="http://schemas.microsoft.com/office/drawing/2014/main" id="{02B73B08-07BA-4EEA-AF71-FB4A6552D66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4" name="TextBox 7">
          <a:extLst>
            <a:ext uri="{FF2B5EF4-FFF2-40B4-BE49-F238E27FC236}">
              <a16:creationId xmlns:a16="http://schemas.microsoft.com/office/drawing/2014/main" id="{F4AEBC3B-94E1-4728-86CF-82D33A19AEF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5" name="TextBox 8">
          <a:extLst>
            <a:ext uri="{FF2B5EF4-FFF2-40B4-BE49-F238E27FC236}">
              <a16:creationId xmlns:a16="http://schemas.microsoft.com/office/drawing/2014/main" id="{AD89AEC6-1092-464D-9BE1-894FB552C57D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6" name="TextBox 2">
          <a:extLst>
            <a:ext uri="{FF2B5EF4-FFF2-40B4-BE49-F238E27FC236}">
              <a16:creationId xmlns:a16="http://schemas.microsoft.com/office/drawing/2014/main" id="{D02D504D-BDD7-42B6-A86F-AED24F020D61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7" name="TextBox 4">
          <a:extLst>
            <a:ext uri="{FF2B5EF4-FFF2-40B4-BE49-F238E27FC236}">
              <a16:creationId xmlns:a16="http://schemas.microsoft.com/office/drawing/2014/main" id="{2214D251-FA9C-474C-A9FE-F7A850C58404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8" name="TextBox 5">
          <a:extLst>
            <a:ext uri="{FF2B5EF4-FFF2-40B4-BE49-F238E27FC236}">
              <a16:creationId xmlns:a16="http://schemas.microsoft.com/office/drawing/2014/main" id="{36B5A16E-8212-406C-865B-3A757594928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299" name="TextBox 6">
          <a:extLst>
            <a:ext uri="{FF2B5EF4-FFF2-40B4-BE49-F238E27FC236}">
              <a16:creationId xmlns:a16="http://schemas.microsoft.com/office/drawing/2014/main" id="{E0FD4038-92B7-4E6D-B34B-9E9E6662FA05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0" name="TextBox 7">
          <a:extLst>
            <a:ext uri="{FF2B5EF4-FFF2-40B4-BE49-F238E27FC236}">
              <a16:creationId xmlns:a16="http://schemas.microsoft.com/office/drawing/2014/main" id="{0AD06833-8445-4AD0-89DE-56235FE79EF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1" name="TextBox 8">
          <a:extLst>
            <a:ext uri="{FF2B5EF4-FFF2-40B4-BE49-F238E27FC236}">
              <a16:creationId xmlns:a16="http://schemas.microsoft.com/office/drawing/2014/main" id="{4B1412C2-E8DA-481F-925E-5C73F393A7E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2" name="TextBox 2">
          <a:extLst>
            <a:ext uri="{FF2B5EF4-FFF2-40B4-BE49-F238E27FC236}">
              <a16:creationId xmlns:a16="http://schemas.microsoft.com/office/drawing/2014/main" id="{272188C7-3BFF-4523-B40E-714E24C21E4B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3" name="TextBox 4">
          <a:extLst>
            <a:ext uri="{FF2B5EF4-FFF2-40B4-BE49-F238E27FC236}">
              <a16:creationId xmlns:a16="http://schemas.microsoft.com/office/drawing/2014/main" id="{E14DEE58-0E5D-44A6-8461-BA78955DF448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4" name="TextBox 5">
          <a:extLst>
            <a:ext uri="{FF2B5EF4-FFF2-40B4-BE49-F238E27FC236}">
              <a16:creationId xmlns:a16="http://schemas.microsoft.com/office/drawing/2014/main" id="{612309AE-1418-42B1-977F-9E5661CA47A0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5" name="TextBox 6">
          <a:extLst>
            <a:ext uri="{FF2B5EF4-FFF2-40B4-BE49-F238E27FC236}">
              <a16:creationId xmlns:a16="http://schemas.microsoft.com/office/drawing/2014/main" id="{BA1C181B-E35A-48A6-89D8-8B1B8CEB1A1A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6" name="TextBox 7">
          <a:extLst>
            <a:ext uri="{FF2B5EF4-FFF2-40B4-BE49-F238E27FC236}">
              <a16:creationId xmlns:a16="http://schemas.microsoft.com/office/drawing/2014/main" id="{7F041817-8877-47AE-BFC9-4F1302754B96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7" name="TextBox 8">
          <a:extLst>
            <a:ext uri="{FF2B5EF4-FFF2-40B4-BE49-F238E27FC236}">
              <a16:creationId xmlns:a16="http://schemas.microsoft.com/office/drawing/2014/main" id="{483740B1-9841-4A46-805D-4853D5DEAB2C}"/>
            </a:ext>
          </a:extLst>
        </xdr:cNvPr>
        <xdr:cNvSpPr txBox="1"/>
      </xdr:nvSpPr>
      <xdr:spPr>
        <a:xfrm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8" name="TextBox 1895">
          <a:extLst>
            <a:ext uri="{FF2B5EF4-FFF2-40B4-BE49-F238E27FC236}">
              <a16:creationId xmlns:a16="http://schemas.microsoft.com/office/drawing/2014/main" id="{DC0AA1B3-1064-4AE6-9BBA-ACE202DF006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09" name="TextBox 1896">
          <a:extLst>
            <a:ext uri="{FF2B5EF4-FFF2-40B4-BE49-F238E27FC236}">
              <a16:creationId xmlns:a16="http://schemas.microsoft.com/office/drawing/2014/main" id="{540E42A9-B4C5-49B3-9246-0731F27C0D2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0" name="TextBox 1897">
          <a:extLst>
            <a:ext uri="{FF2B5EF4-FFF2-40B4-BE49-F238E27FC236}">
              <a16:creationId xmlns:a16="http://schemas.microsoft.com/office/drawing/2014/main" id="{2EEF9062-6F77-4647-9996-B7BF16E8A3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1" name="TextBox 1898">
          <a:extLst>
            <a:ext uri="{FF2B5EF4-FFF2-40B4-BE49-F238E27FC236}">
              <a16:creationId xmlns:a16="http://schemas.microsoft.com/office/drawing/2014/main" id="{02BF443A-5E6B-47D3-AF72-B101CB7DC7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2" name="TextBox 1899">
          <a:extLst>
            <a:ext uri="{FF2B5EF4-FFF2-40B4-BE49-F238E27FC236}">
              <a16:creationId xmlns:a16="http://schemas.microsoft.com/office/drawing/2014/main" id="{AAE7AEF8-69AB-4E3F-965E-0AD14E79C2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3" name="TextBox 1900">
          <a:extLst>
            <a:ext uri="{FF2B5EF4-FFF2-40B4-BE49-F238E27FC236}">
              <a16:creationId xmlns:a16="http://schemas.microsoft.com/office/drawing/2014/main" id="{C12DD492-19D6-453E-B1E8-C513EAFD929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4" name="TextBox 1">
          <a:extLst>
            <a:ext uri="{FF2B5EF4-FFF2-40B4-BE49-F238E27FC236}">
              <a16:creationId xmlns:a16="http://schemas.microsoft.com/office/drawing/2014/main" id="{21461778-5DCA-4B14-AFB5-326237A630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5" name="TextBox 2">
          <a:extLst>
            <a:ext uri="{FF2B5EF4-FFF2-40B4-BE49-F238E27FC236}">
              <a16:creationId xmlns:a16="http://schemas.microsoft.com/office/drawing/2014/main" id="{7D9F0DF6-AAFA-4FA1-A8F1-CA4546A474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6" name="TextBox 3">
          <a:extLst>
            <a:ext uri="{FF2B5EF4-FFF2-40B4-BE49-F238E27FC236}">
              <a16:creationId xmlns:a16="http://schemas.microsoft.com/office/drawing/2014/main" id="{99AD2DFF-A40D-4D7D-BD1C-1B67CE8338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7" name="TextBox 4">
          <a:extLst>
            <a:ext uri="{FF2B5EF4-FFF2-40B4-BE49-F238E27FC236}">
              <a16:creationId xmlns:a16="http://schemas.microsoft.com/office/drawing/2014/main" id="{FEB0490C-3CEB-4D94-B323-1B51B2694B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8" name="TextBox 5">
          <a:extLst>
            <a:ext uri="{FF2B5EF4-FFF2-40B4-BE49-F238E27FC236}">
              <a16:creationId xmlns:a16="http://schemas.microsoft.com/office/drawing/2014/main" id="{8D1AB800-FE4D-42A4-BD94-9FD144D492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19" name="TextBox 6">
          <a:extLst>
            <a:ext uri="{FF2B5EF4-FFF2-40B4-BE49-F238E27FC236}">
              <a16:creationId xmlns:a16="http://schemas.microsoft.com/office/drawing/2014/main" id="{E1C21E86-DBA0-4A38-8E03-AB852A5BCE6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0" name="TextBox 7">
          <a:extLst>
            <a:ext uri="{FF2B5EF4-FFF2-40B4-BE49-F238E27FC236}">
              <a16:creationId xmlns:a16="http://schemas.microsoft.com/office/drawing/2014/main" id="{AD9EE072-69F0-4350-AD57-552566F1041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1" name="TextBox 8">
          <a:extLst>
            <a:ext uri="{FF2B5EF4-FFF2-40B4-BE49-F238E27FC236}">
              <a16:creationId xmlns:a16="http://schemas.microsoft.com/office/drawing/2014/main" id="{8E3BAC44-19FD-4674-8EE6-35B19446C4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2" name="TextBox 11">
          <a:extLst>
            <a:ext uri="{FF2B5EF4-FFF2-40B4-BE49-F238E27FC236}">
              <a16:creationId xmlns:a16="http://schemas.microsoft.com/office/drawing/2014/main" id="{C0C2F3C7-1BA3-4BE8-8D6F-D7EE7002E4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3" name="TextBox 12">
          <a:extLst>
            <a:ext uri="{FF2B5EF4-FFF2-40B4-BE49-F238E27FC236}">
              <a16:creationId xmlns:a16="http://schemas.microsoft.com/office/drawing/2014/main" id="{7F33C4AC-2197-4719-8FC8-7F5CB34E6B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4" name="TextBox 1911">
          <a:extLst>
            <a:ext uri="{FF2B5EF4-FFF2-40B4-BE49-F238E27FC236}">
              <a16:creationId xmlns:a16="http://schemas.microsoft.com/office/drawing/2014/main" id="{2BE15962-D856-462A-BCCD-D1B1CABADE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5" name="TextBox 1912">
          <a:extLst>
            <a:ext uri="{FF2B5EF4-FFF2-40B4-BE49-F238E27FC236}">
              <a16:creationId xmlns:a16="http://schemas.microsoft.com/office/drawing/2014/main" id="{35350F89-9BAE-40FD-8158-D1E8180677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6" name="TextBox 1">
          <a:extLst>
            <a:ext uri="{FF2B5EF4-FFF2-40B4-BE49-F238E27FC236}">
              <a16:creationId xmlns:a16="http://schemas.microsoft.com/office/drawing/2014/main" id="{7EF409A7-9BE6-42CF-857A-AB5EE62A19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7" name="TextBox 3">
          <a:extLst>
            <a:ext uri="{FF2B5EF4-FFF2-40B4-BE49-F238E27FC236}">
              <a16:creationId xmlns:a16="http://schemas.microsoft.com/office/drawing/2014/main" id="{7F1DFC66-DC6C-445B-B9AF-3ADAF6B78A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8" name="TextBox 1915">
          <a:extLst>
            <a:ext uri="{FF2B5EF4-FFF2-40B4-BE49-F238E27FC236}">
              <a16:creationId xmlns:a16="http://schemas.microsoft.com/office/drawing/2014/main" id="{985F2B16-6E1C-4C98-ADEC-0C0AD3FA88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29" name="TextBox 1916">
          <a:extLst>
            <a:ext uri="{FF2B5EF4-FFF2-40B4-BE49-F238E27FC236}">
              <a16:creationId xmlns:a16="http://schemas.microsoft.com/office/drawing/2014/main" id="{124DBE9D-A983-44E2-B443-58CB12742C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0" name="TextBox 1917">
          <a:extLst>
            <a:ext uri="{FF2B5EF4-FFF2-40B4-BE49-F238E27FC236}">
              <a16:creationId xmlns:a16="http://schemas.microsoft.com/office/drawing/2014/main" id="{B88C2012-D7A1-418B-B796-6FD67AE1AC3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1" name="TextBox 1918">
          <a:extLst>
            <a:ext uri="{FF2B5EF4-FFF2-40B4-BE49-F238E27FC236}">
              <a16:creationId xmlns:a16="http://schemas.microsoft.com/office/drawing/2014/main" id="{57AD6757-47CA-4451-AB9A-77A32A843A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2" name="TextBox 1919">
          <a:extLst>
            <a:ext uri="{FF2B5EF4-FFF2-40B4-BE49-F238E27FC236}">
              <a16:creationId xmlns:a16="http://schemas.microsoft.com/office/drawing/2014/main" id="{A6E0AF29-0767-4C76-8FF8-1BDC8299DD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3" name="TextBox 1920">
          <a:extLst>
            <a:ext uri="{FF2B5EF4-FFF2-40B4-BE49-F238E27FC236}">
              <a16:creationId xmlns:a16="http://schemas.microsoft.com/office/drawing/2014/main" id="{C9AE3837-A9B7-4952-81A0-93F9ACBAA8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4" name="TextBox 2">
          <a:extLst>
            <a:ext uri="{FF2B5EF4-FFF2-40B4-BE49-F238E27FC236}">
              <a16:creationId xmlns:a16="http://schemas.microsoft.com/office/drawing/2014/main" id="{578503BE-556C-4839-91E6-FA5FDE4CA8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5" name="TextBox 4">
          <a:extLst>
            <a:ext uri="{FF2B5EF4-FFF2-40B4-BE49-F238E27FC236}">
              <a16:creationId xmlns:a16="http://schemas.microsoft.com/office/drawing/2014/main" id="{C8FB6324-F4BA-4503-BB84-E4B4C39994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6" name="TextBox 5">
          <a:extLst>
            <a:ext uri="{FF2B5EF4-FFF2-40B4-BE49-F238E27FC236}">
              <a16:creationId xmlns:a16="http://schemas.microsoft.com/office/drawing/2014/main" id="{102D3EA5-FAF1-4EDE-B149-760C042606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7" name="TextBox 6">
          <a:extLst>
            <a:ext uri="{FF2B5EF4-FFF2-40B4-BE49-F238E27FC236}">
              <a16:creationId xmlns:a16="http://schemas.microsoft.com/office/drawing/2014/main" id="{780A5CE2-CB7B-48F5-A45D-789D2CFB714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8" name="TextBox 7">
          <a:extLst>
            <a:ext uri="{FF2B5EF4-FFF2-40B4-BE49-F238E27FC236}">
              <a16:creationId xmlns:a16="http://schemas.microsoft.com/office/drawing/2014/main" id="{A753B108-9C12-44A5-A777-E3C928293E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39" name="TextBox 8">
          <a:extLst>
            <a:ext uri="{FF2B5EF4-FFF2-40B4-BE49-F238E27FC236}">
              <a16:creationId xmlns:a16="http://schemas.microsoft.com/office/drawing/2014/main" id="{FD6187EB-D072-488B-812F-7D580337FA0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0" name="TextBox 11">
          <a:extLst>
            <a:ext uri="{FF2B5EF4-FFF2-40B4-BE49-F238E27FC236}">
              <a16:creationId xmlns:a16="http://schemas.microsoft.com/office/drawing/2014/main" id="{D5092B6C-FC83-4532-BBAB-CB95B3AD84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1" name="TextBox 12">
          <a:extLst>
            <a:ext uri="{FF2B5EF4-FFF2-40B4-BE49-F238E27FC236}">
              <a16:creationId xmlns:a16="http://schemas.microsoft.com/office/drawing/2014/main" id="{AF7E7947-A8F5-4AAB-B962-DC47EC0295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2" name="TextBox 1929">
          <a:extLst>
            <a:ext uri="{FF2B5EF4-FFF2-40B4-BE49-F238E27FC236}">
              <a16:creationId xmlns:a16="http://schemas.microsoft.com/office/drawing/2014/main" id="{7ABCAEC8-1834-485B-A3EC-70DB44A88C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3" name="TextBox 1930">
          <a:extLst>
            <a:ext uri="{FF2B5EF4-FFF2-40B4-BE49-F238E27FC236}">
              <a16:creationId xmlns:a16="http://schemas.microsoft.com/office/drawing/2014/main" id="{F7DCFEDB-723D-4F7C-B811-AC9180F986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4" name="TextBox 1">
          <a:extLst>
            <a:ext uri="{FF2B5EF4-FFF2-40B4-BE49-F238E27FC236}">
              <a16:creationId xmlns:a16="http://schemas.microsoft.com/office/drawing/2014/main" id="{A6B736A9-B332-4C74-AAFE-2D24B043B6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5" name="TextBox 3">
          <a:extLst>
            <a:ext uri="{FF2B5EF4-FFF2-40B4-BE49-F238E27FC236}">
              <a16:creationId xmlns:a16="http://schemas.microsoft.com/office/drawing/2014/main" id="{72757FA6-F5E6-4FE8-9BDD-EF95E0BF9B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6" name="TextBox 1933">
          <a:extLst>
            <a:ext uri="{FF2B5EF4-FFF2-40B4-BE49-F238E27FC236}">
              <a16:creationId xmlns:a16="http://schemas.microsoft.com/office/drawing/2014/main" id="{C614FB64-A268-4B7A-BCF7-B7529FA24C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7" name="TextBox 1934">
          <a:extLst>
            <a:ext uri="{FF2B5EF4-FFF2-40B4-BE49-F238E27FC236}">
              <a16:creationId xmlns:a16="http://schemas.microsoft.com/office/drawing/2014/main" id="{A30D9068-F55F-4B2F-ADAF-49DCE1687E1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8" name="TextBox 1935">
          <a:extLst>
            <a:ext uri="{FF2B5EF4-FFF2-40B4-BE49-F238E27FC236}">
              <a16:creationId xmlns:a16="http://schemas.microsoft.com/office/drawing/2014/main" id="{3CB8ADD9-8BEB-495C-91F0-B27ADEA9B9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49" name="TextBox 1936">
          <a:extLst>
            <a:ext uri="{FF2B5EF4-FFF2-40B4-BE49-F238E27FC236}">
              <a16:creationId xmlns:a16="http://schemas.microsoft.com/office/drawing/2014/main" id="{C31C82A2-C3A2-4676-90C4-24EC9F02B5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0" name="TextBox 2">
          <a:extLst>
            <a:ext uri="{FF2B5EF4-FFF2-40B4-BE49-F238E27FC236}">
              <a16:creationId xmlns:a16="http://schemas.microsoft.com/office/drawing/2014/main" id="{7A7789F4-B69F-455D-B30A-D585C21C2E2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1" name="TextBox 4">
          <a:extLst>
            <a:ext uri="{FF2B5EF4-FFF2-40B4-BE49-F238E27FC236}">
              <a16:creationId xmlns:a16="http://schemas.microsoft.com/office/drawing/2014/main" id="{12E3E8FE-C2B4-4FF2-8FA6-57ED0B2DEE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2" name="TextBox 5">
          <a:extLst>
            <a:ext uri="{FF2B5EF4-FFF2-40B4-BE49-F238E27FC236}">
              <a16:creationId xmlns:a16="http://schemas.microsoft.com/office/drawing/2014/main" id="{A218D22A-2213-4053-8429-2891DA6899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3" name="TextBox 6">
          <a:extLst>
            <a:ext uri="{FF2B5EF4-FFF2-40B4-BE49-F238E27FC236}">
              <a16:creationId xmlns:a16="http://schemas.microsoft.com/office/drawing/2014/main" id="{9E3C45B6-6973-433E-AF07-B8196AF30A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4" name="TextBox 7">
          <a:extLst>
            <a:ext uri="{FF2B5EF4-FFF2-40B4-BE49-F238E27FC236}">
              <a16:creationId xmlns:a16="http://schemas.microsoft.com/office/drawing/2014/main" id="{40843ED3-399D-44AD-9229-8B445F56DD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5" name="TextBox 8">
          <a:extLst>
            <a:ext uri="{FF2B5EF4-FFF2-40B4-BE49-F238E27FC236}">
              <a16:creationId xmlns:a16="http://schemas.microsoft.com/office/drawing/2014/main" id="{BB888ED1-401C-4609-BBA1-1CF6DC32A6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6" name="TextBox 11">
          <a:extLst>
            <a:ext uri="{FF2B5EF4-FFF2-40B4-BE49-F238E27FC236}">
              <a16:creationId xmlns:a16="http://schemas.microsoft.com/office/drawing/2014/main" id="{5F8B3DE3-79EA-475F-8288-2586CF27B5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7" name="TextBox 12">
          <a:extLst>
            <a:ext uri="{FF2B5EF4-FFF2-40B4-BE49-F238E27FC236}">
              <a16:creationId xmlns:a16="http://schemas.microsoft.com/office/drawing/2014/main" id="{933F9E01-6CAE-42D2-BD6D-3876651EAF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8" name="TextBox 1945">
          <a:extLst>
            <a:ext uri="{FF2B5EF4-FFF2-40B4-BE49-F238E27FC236}">
              <a16:creationId xmlns:a16="http://schemas.microsoft.com/office/drawing/2014/main" id="{D2E91CB2-DD47-4B98-9518-1318FDA57BE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59" name="TextBox 1946">
          <a:extLst>
            <a:ext uri="{FF2B5EF4-FFF2-40B4-BE49-F238E27FC236}">
              <a16:creationId xmlns:a16="http://schemas.microsoft.com/office/drawing/2014/main" id="{784FAAE0-EA22-46C2-8839-56AC5D5042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0" name="TextBox 1">
          <a:extLst>
            <a:ext uri="{FF2B5EF4-FFF2-40B4-BE49-F238E27FC236}">
              <a16:creationId xmlns:a16="http://schemas.microsoft.com/office/drawing/2014/main" id="{0D9ABF8E-FFC1-4785-96FB-64805F5328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1" name="TextBox 3">
          <a:extLst>
            <a:ext uri="{FF2B5EF4-FFF2-40B4-BE49-F238E27FC236}">
              <a16:creationId xmlns:a16="http://schemas.microsoft.com/office/drawing/2014/main" id="{27A552ED-C5FA-4030-AB3B-1403BBF792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2" name="TextBox 1949">
          <a:extLst>
            <a:ext uri="{FF2B5EF4-FFF2-40B4-BE49-F238E27FC236}">
              <a16:creationId xmlns:a16="http://schemas.microsoft.com/office/drawing/2014/main" id="{A4CA2484-BFF8-483D-BC9F-29A5B27361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3" name="TextBox 1950">
          <a:extLst>
            <a:ext uri="{FF2B5EF4-FFF2-40B4-BE49-F238E27FC236}">
              <a16:creationId xmlns:a16="http://schemas.microsoft.com/office/drawing/2014/main" id="{F1D7B8E9-7096-458F-89DB-C46FB83B70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4" name="TextBox 1951">
          <a:extLst>
            <a:ext uri="{FF2B5EF4-FFF2-40B4-BE49-F238E27FC236}">
              <a16:creationId xmlns:a16="http://schemas.microsoft.com/office/drawing/2014/main" id="{24478D88-B918-49AB-A754-6ED55C9D4D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5" name="TextBox 1952">
          <a:extLst>
            <a:ext uri="{FF2B5EF4-FFF2-40B4-BE49-F238E27FC236}">
              <a16:creationId xmlns:a16="http://schemas.microsoft.com/office/drawing/2014/main" id="{01F76E03-7CC5-4E49-9CA4-241EF01D03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6" name="TextBox 15">
          <a:extLst>
            <a:ext uri="{FF2B5EF4-FFF2-40B4-BE49-F238E27FC236}">
              <a16:creationId xmlns:a16="http://schemas.microsoft.com/office/drawing/2014/main" id="{E7037FB2-8537-450A-B0A1-B4B4551970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7" name="TextBox 16">
          <a:extLst>
            <a:ext uri="{FF2B5EF4-FFF2-40B4-BE49-F238E27FC236}">
              <a16:creationId xmlns:a16="http://schemas.microsoft.com/office/drawing/2014/main" id="{1B65EBCC-AD35-4566-8FC3-EE1F9B1F00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8" name="TextBox 17">
          <a:extLst>
            <a:ext uri="{FF2B5EF4-FFF2-40B4-BE49-F238E27FC236}">
              <a16:creationId xmlns:a16="http://schemas.microsoft.com/office/drawing/2014/main" id="{0E4E9762-CD1C-4558-8250-8E8A14150D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69" name="TextBox 18">
          <a:extLst>
            <a:ext uri="{FF2B5EF4-FFF2-40B4-BE49-F238E27FC236}">
              <a16:creationId xmlns:a16="http://schemas.microsoft.com/office/drawing/2014/main" id="{B8FD34D8-C685-4CB7-8B2E-7D5AB0A8FA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0" name="TextBox 1957">
          <a:extLst>
            <a:ext uri="{FF2B5EF4-FFF2-40B4-BE49-F238E27FC236}">
              <a16:creationId xmlns:a16="http://schemas.microsoft.com/office/drawing/2014/main" id="{86BE1B26-D7C6-4B7A-8F0F-D5AB0D2D7A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1" name="TextBox 1958">
          <a:extLst>
            <a:ext uri="{FF2B5EF4-FFF2-40B4-BE49-F238E27FC236}">
              <a16:creationId xmlns:a16="http://schemas.microsoft.com/office/drawing/2014/main" id="{DBC0959C-9E8C-43F9-B4B7-68D9700C09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2" name="TextBox 1">
          <a:extLst>
            <a:ext uri="{FF2B5EF4-FFF2-40B4-BE49-F238E27FC236}">
              <a16:creationId xmlns:a16="http://schemas.microsoft.com/office/drawing/2014/main" id="{DA6E5A9A-D7E9-4FA3-B303-EF4ADBC803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3" name="TextBox 3">
          <a:extLst>
            <a:ext uri="{FF2B5EF4-FFF2-40B4-BE49-F238E27FC236}">
              <a16:creationId xmlns:a16="http://schemas.microsoft.com/office/drawing/2014/main" id="{AD94CF16-1B29-42D5-8B7C-8072DE1F3D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4" name="TextBox 1961">
          <a:extLst>
            <a:ext uri="{FF2B5EF4-FFF2-40B4-BE49-F238E27FC236}">
              <a16:creationId xmlns:a16="http://schemas.microsoft.com/office/drawing/2014/main" id="{9779322E-D9BA-448C-9FCD-F5AC28E405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5" name="TextBox 1962">
          <a:extLst>
            <a:ext uri="{FF2B5EF4-FFF2-40B4-BE49-F238E27FC236}">
              <a16:creationId xmlns:a16="http://schemas.microsoft.com/office/drawing/2014/main" id="{749DE35E-9D5E-4291-BC06-B255DCF6BE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6" name="TextBox 1963">
          <a:extLst>
            <a:ext uri="{FF2B5EF4-FFF2-40B4-BE49-F238E27FC236}">
              <a16:creationId xmlns:a16="http://schemas.microsoft.com/office/drawing/2014/main" id="{CC00C301-80F9-4100-B411-4A043D34FC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7" name="TextBox 1964">
          <a:extLst>
            <a:ext uri="{FF2B5EF4-FFF2-40B4-BE49-F238E27FC236}">
              <a16:creationId xmlns:a16="http://schemas.microsoft.com/office/drawing/2014/main" id="{42D3AD0D-EB12-4620-8DB1-647168047D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8" name="TextBox 1965">
          <a:extLst>
            <a:ext uri="{FF2B5EF4-FFF2-40B4-BE49-F238E27FC236}">
              <a16:creationId xmlns:a16="http://schemas.microsoft.com/office/drawing/2014/main" id="{C401CE1A-4D75-43C2-B244-17CE4B1ED6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79" name="TextBox 1966">
          <a:extLst>
            <a:ext uri="{FF2B5EF4-FFF2-40B4-BE49-F238E27FC236}">
              <a16:creationId xmlns:a16="http://schemas.microsoft.com/office/drawing/2014/main" id="{D8CCC5A6-5EEC-49B6-B1B4-4B20F51171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0" name="TextBox 1967">
          <a:extLst>
            <a:ext uri="{FF2B5EF4-FFF2-40B4-BE49-F238E27FC236}">
              <a16:creationId xmlns:a16="http://schemas.microsoft.com/office/drawing/2014/main" id="{8C728E1F-607F-4F74-BB1F-A98E97B71B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1" name="TextBox 1968">
          <a:extLst>
            <a:ext uri="{FF2B5EF4-FFF2-40B4-BE49-F238E27FC236}">
              <a16:creationId xmlns:a16="http://schemas.microsoft.com/office/drawing/2014/main" id="{377500DF-EBB1-4199-B443-4864102EA1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2" name="TextBox 1969">
          <a:extLst>
            <a:ext uri="{FF2B5EF4-FFF2-40B4-BE49-F238E27FC236}">
              <a16:creationId xmlns:a16="http://schemas.microsoft.com/office/drawing/2014/main" id="{C6198570-333A-418C-B060-47F2AA5B6F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3" name="TextBox 1970">
          <a:extLst>
            <a:ext uri="{FF2B5EF4-FFF2-40B4-BE49-F238E27FC236}">
              <a16:creationId xmlns:a16="http://schemas.microsoft.com/office/drawing/2014/main" id="{0B7F587B-E7A9-48DD-AE22-0F55691975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4" name="TextBox 1971">
          <a:extLst>
            <a:ext uri="{FF2B5EF4-FFF2-40B4-BE49-F238E27FC236}">
              <a16:creationId xmlns:a16="http://schemas.microsoft.com/office/drawing/2014/main" id="{2DD64392-EAB5-4E36-BFFE-4652632450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5" name="TextBox 1972">
          <a:extLst>
            <a:ext uri="{FF2B5EF4-FFF2-40B4-BE49-F238E27FC236}">
              <a16:creationId xmlns:a16="http://schemas.microsoft.com/office/drawing/2014/main" id="{FD859CF2-A341-4AB2-955D-5C5A6CF1FD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6" name="TextBox 2">
          <a:extLst>
            <a:ext uri="{FF2B5EF4-FFF2-40B4-BE49-F238E27FC236}">
              <a16:creationId xmlns:a16="http://schemas.microsoft.com/office/drawing/2014/main" id="{58A4479F-020F-4B72-95E6-60FFC75525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7" name="TextBox 4">
          <a:extLst>
            <a:ext uri="{FF2B5EF4-FFF2-40B4-BE49-F238E27FC236}">
              <a16:creationId xmlns:a16="http://schemas.microsoft.com/office/drawing/2014/main" id="{C799066A-D20C-4D1F-96C1-2E4BC1A8D1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8" name="TextBox 5">
          <a:extLst>
            <a:ext uri="{FF2B5EF4-FFF2-40B4-BE49-F238E27FC236}">
              <a16:creationId xmlns:a16="http://schemas.microsoft.com/office/drawing/2014/main" id="{C9EAF44E-FC47-45F5-8ADF-6013605DCFC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89" name="TextBox 6">
          <a:extLst>
            <a:ext uri="{FF2B5EF4-FFF2-40B4-BE49-F238E27FC236}">
              <a16:creationId xmlns:a16="http://schemas.microsoft.com/office/drawing/2014/main" id="{2F699DEC-C78D-43E6-A81C-625D3E70FC1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0" name="TextBox 7">
          <a:extLst>
            <a:ext uri="{FF2B5EF4-FFF2-40B4-BE49-F238E27FC236}">
              <a16:creationId xmlns:a16="http://schemas.microsoft.com/office/drawing/2014/main" id="{29149366-EBF2-4D82-B97E-1B47C4DAB5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1" name="TextBox 8">
          <a:extLst>
            <a:ext uri="{FF2B5EF4-FFF2-40B4-BE49-F238E27FC236}">
              <a16:creationId xmlns:a16="http://schemas.microsoft.com/office/drawing/2014/main" id="{89C55711-2566-4E25-9D92-3BC56802B8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2" name="TextBox 11">
          <a:extLst>
            <a:ext uri="{FF2B5EF4-FFF2-40B4-BE49-F238E27FC236}">
              <a16:creationId xmlns:a16="http://schemas.microsoft.com/office/drawing/2014/main" id="{CAEFE158-E733-471E-8A7E-2BA3ACE12F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3" name="TextBox 12">
          <a:extLst>
            <a:ext uri="{FF2B5EF4-FFF2-40B4-BE49-F238E27FC236}">
              <a16:creationId xmlns:a16="http://schemas.microsoft.com/office/drawing/2014/main" id="{B308E8B8-EE09-4688-B7AB-FEB539689A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4" name="TextBox 1981">
          <a:extLst>
            <a:ext uri="{FF2B5EF4-FFF2-40B4-BE49-F238E27FC236}">
              <a16:creationId xmlns:a16="http://schemas.microsoft.com/office/drawing/2014/main" id="{ACC27F31-966C-40F1-BA56-92759CD863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5" name="TextBox 1982">
          <a:extLst>
            <a:ext uri="{FF2B5EF4-FFF2-40B4-BE49-F238E27FC236}">
              <a16:creationId xmlns:a16="http://schemas.microsoft.com/office/drawing/2014/main" id="{377902BA-75B2-4C6D-88DB-13D128B154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6" name="TextBox 1">
          <a:extLst>
            <a:ext uri="{FF2B5EF4-FFF2-40B4-BE49-F238E27FC236}">
              <a16:creationId xmlns:a16="http://schemas.microsoft.com/office/drawing/2014/main" id="{CFCEBC1A-719F-4204-BF87-5D6B79177C7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7" name="TextBox 3">
          <a:extLst>
            <a:ext uri="{FF2B5EF4-FFF2-40B4-BE49-F238E27FC236}">
              <a16:creationId xmlns:a16="http://schemas.microsoft.com/office/drawing/2014/main" id="{FC6ED06A-E842-409A-9ECC-A9FA0482C4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8" name="TextBox 1985">
          <a:extLst>
            <a:ext uri="{FF2B5EF4-FFF2-40B4-BE49-F238E27FC236}">
              <a16:creationId xmlns:a16="http://schemas.microsoft.com/office/drawing/2014/main" id="{5DE41774-C1FB-469A-BAF8-CDE603F1EE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399" name="TextBox 1986">
          <a:extLst>
            <a:ext uri="{FF2B5EF4-FFF2-40B4-BE49-F238E27FC236}">
              <a16:creationId xmlns:a16="http://schemas.microsoft.com/office/drawing/2014/main" id="{DB48741A-D6D6-42E0-BAAE-2920153E11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0" name="TextBox 1987">
          <a:extLst>
            <a:ext uri="{FF2B5EF4-FFF2-40B4-BE49-F238E27FC236}">
              <a16:creationId xmlns:a16="http://schemas.microsoft.com/office/drawing/2014/main" id="{C4A1786D-C377-4BBC-BE5A-B8CEFC56EED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1" name="TextBox 1988">
          <a:extLst>
            <a:ext uri="{FF2B5EF4-FFF2-40B4-BE49-F238E27FC236}">
              <a16:creationId xmlns:a16="http://schemas.microsoft.com/office/drawing/2014/main" id="{18FA47A8-092E-43A7-9BE2-3CF7C31186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2" name="TextBox 13">
          <a:extLst>
            <a:ext uri="{FF2B5EF4-FFF2-40B4-BE49-F238E27FC236}">
              <a16:creationId xmlns:a16="http://schemas.microsoft.com/office/drawing/2014/main" id="{D56F5C0A-8C2B-4807-84B8-C6F89478E2C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3" name="TextBox 14">
          <a:extLst>
            <a:ext uri="{FF2B5EF4-FFF2-40B4-BE49-F238E27FC236}">
              <a16:creationId xmlns:a16="http://schemas.microsoft.com/office/drawing/2014/main" id="{B61DEFE4-69E4-4BE6-A300-79973EE1CA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4" name="TextBox 1991">
          <a:extLst>
            <a:ext uri="{FF2B5EF4-FFF2-40B4-BE49-F238E27FC236}">
              <a16:creationId xmlns:a16="http://schemas.microsoft.com/office/drawing/2014/main" id="{90FF807E-4990-41F8-8D99-932324E35C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5" name="TextBox 1992">
          <a:extLst>
            <a:ext uri="{FF2B5EF4-FFF2-40B4-BE49-F238E27FC236}">
              <a16:creationId xmlns:a16="http://schemas.microsoft.com/office/drawing/2014/main" id="{CE430FA7-51D1-48D8-9AEE-F5A001E060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6" name="TextBox 1993">
          <a:extLst>
            <a:ext uri="{FF2B5EF4-FFF2-40B4-BE49-F238E27FC236}">
              <a16:creationId xmlns:a16="http://schemas.microsoft.com/office/drawing/2014/main" id="{92344B49-D536-46AF-B8BA-A25160922A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7" name="TextBox 1994">
          <a:extLst>
            <a:ext uri="{FF2B5EF4-FFF2-40B4-BE49-F238E27FC236}">
              <a16:creationId xmlns:a16="http://schemas.microsoft.com/office/drawing/2014/main" id="{0D3C61D7-F07B-4A30-ABAF-B22C30AA72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8" name="TextBox 13">
          <a:extLst>
            <a:ext uri="{FF2B5EF4-FFF2-40B4-BE49-F238E27FC236}">
              <a16:creationId xmlns:a16="http://schemas.microsoft.com/office/drawing/2014/main" id="{63267ABB-8391-4E04-BD4C-AA0CCA8C8B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09" name="TextBox 14">
          <a:extLst>
            <a:ext uri="{FF2B5EF4-FFF2-40B4-BE49-F238E27FC236}">
              <a16:creationId xmlns:a16="http://schemas.microsoft.com/office/drawing/2014/main" id="{5055256F-D069-4333-949A-0ACCF27F94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0" name="TextBox 1997">
          <a:extLst>
            <a:ext uri="{FF2B5EF4-FFF2-40B4-BE49-F238E27FC236}">
              <a16:creationId xmlns:a16="http://schemas.microsoft.com/office/drawing/2014/main" id="{D486ACD4-E1D6-4BEA-B81A-24F6F02BB7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1" name="TextBox 1998">
          <a:extLst>
            <a:ext uri="{FF2B5EF4-FFF2-40B4-BE49-F238E27FC236}">
              <a16:creationId xmlns:a16="http://schemas.microsoft.com/office/drawing/2014/main" id="{35832075-6967-4A9C-8394-710F46280B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2" name="TextBox 1999">
          <a:extLst>
            <a:ext uri="{FF2B5EF4-FFF2-40B4-BE49-F238E27FC236}">
              <a16:creationId xmlns:a16="http://schemas.microsoft.com/office/drawing/2014/main" id="{96044426-B330-469D-A5EC-93F2EA38B5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3" name="TextBox 2000">
          <a:extLst>
            <a:ext uri="{FF2B5EF4-FFF2-40B4-BE49-F238E27FC236}">
              <a16:creationId xmlns:a16="http://schemas.microsoft.com/office/drawing/2014/main" id="{9A9C7F4D-B032-4FE4-A337-60569D040E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4" name="TextBox 13">
          <a:extLst>
            <a:ext uri="{FF2B5EF4-FFF2-40B4-BE49-F238E27FC236}">
              <a16:creationId xmlns:a16="http://schemas.microsoft.com/office/drawing/2014/main" id="{BFCB884C-96D7-49BE-A33F-3592684366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5" name="TextBox 14">
          <a:extLst>
            <a:ext uri="{FF2B5EF4-FFF2-40B4-BE49-F238E27FC236}">
              <a16:creationId xmlns:a16="http://schemas.microsoft.com/office/drawing/2014/main" id="{8C4B5750-0F76-4878-BF5C-70C634CE75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6" name="TextBox 2003">
          <a:extLst>
            <a:ext uri="{FF2B5EF4-FFF2-40B4-BE49-F238E27FC236}">
              <a16:creationId xmlns:a16="http://schemas.microsoft.com/office/drawing/2014/main" id="{0331B719-F17D-426F-9F0C-CC33E0A8E7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7" name="TextBox 2004">
          <a:extLst>
            <a:ext uri="{FF2B5EF4-FFF2-40B4-BE49-F238E27FC236}">
              <a16:creationId xmlns:a16="http://schemas.microsoft.com/office/drawing/2014/main" id="{BFA2CE55-4CE7-4392-8FD4-66C6A5C30F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8" name="TextBox 2005">
          <a:extLst>
            <a:ext uri="{FF2B5EF4-FFF2-40B4-BE49-F238E27FC236}">
              <a16:creationId xmlns:a16="http://schemas.microsoft.com/office/drawing/2014/main" id="{30925F1C-5E48-4A0C-BC10-8646DF6EB9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19" name="TextBox 2006">
          <a:extLst>
            <a:ext uri="{FF2B5EF4-FFF2-40B4-BE49-F238E27FC236}">
              <a16:creationId xmlns:a16="http://schemas.microsoft.com/office/drawing/2014/main" id="{AE026AD9-91C5-4730-B93C-3D1C118DCF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0" name="TextBox 13">
          <a:extLst>
            <a:ext uri="{FF2B5EF4-FFF2-40B4-BE49-F238E27FC236}">
              <a16:creationId xmlns:a16="http://schemas.microsoft.com/office/drawing/2014/main" id="{0157B871-93E1-460F-A339-42D4EC7F8D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1" name="TextBox 14">
          <a:extLst>
            <a:ext uri="{FF2B5EF4-FFF2-40B4-BE49-F238E27FC236}">
              <a16:creationId xmlns:a16="http://schemas.microsoft.com/office/drawing/2014/main" id="{678BD9CA-75B8-4B59-A648-D9B6E1BA7A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2" name="TextBox 2009">
          <a:extLst>
            <a:ext uri="{FF2B5EF4-FFF2-40B4-BE49-F238E27FC236}">
              <a16:creationId xmlns:a16="http://schemas.microsoft.com/office/drawing/2014/main" id="{B22EC829-6B45-42B3-BD13-84289BA3EE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3" name="TextBox 2010">
          <a:extLst>
            <a:ext uri="{FF2B5EF4-FFF2-40B4-BE49-F238E27FC236}">
              <a16:creationId xmlns:a16="http://schemas.microsoft.com/office/drawing/2014/main" id="{F68A837C-701F-45B2-B0FF-9E96A19D44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4" name="TextBox 2011">
          <a:extLst>
            <a:ext uri="{FF2B5EF4-FFF2-40B4-BE49-F238E27FC236}">
              <a16:creationId xmlns:a16="http://schemas.microsoft.com/office/drawing/2014/main" id="{A5606BD4-A475-4A4B-BAE6-2CA2157293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5" name="TextBox 2012">
          <a:extLst>
            <a:ext uri="{FF2B5EF4-FFF2-40B4-BE49-F238E27FC236}">
              <a16:creationId xmlns:a16="http://schemas.microsoft.com/office/drawing/2014/main" id="{2A6BDF69-3321-472D-AB63-D86A7D7DCD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6" name="TextBox 13">
          <a:extLst>
            <a:ext uri="{FF2B5EF4-FFF2-40B4-BE49-F238E27FC236}">
              <a16:creationId xmlns:a16="http://schemas.microsoft.com/office/drawing/2014/main" id="{C6ED7EDC-EF9D-4D38-A416-CC0773DFA9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7" name="TextBox 14">
          <a:extLst>
            <a:ext uri="{FF2B5EF4-FFF2-40B4-BE49-F238E27FC236}">
              <a16:creationId xmlns:a16="http://schemas.microsoft.com/office/drawing/2014/main" id="{7CE25405-62F9-4591-8A57-C0EE98A239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8" name="TextBox 15">
          <a:extLst>
            <a:ext uri="{FF2B5EF4-FFF2-40B4-BE49-F238E27FC236}">
              <a16:creationId xmlns:a16="http://schemas.microsoft.com/office/drawing/2014/main" id="{8804F783-15A4-4EA5-A267-A4B6862958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29" name="TextBox 16">
          <a:extLst>
            <a:ext uri="{FF2B5EF4-FFF2-40B4-BE49-F238E27FC236}">
              <a16:creationId xmlns:a16="http://schemas.microsoft.com/office/drawing/2014/main" id="{38436A73-5BFF-4A4E-B928-B90D482CE2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0" name="TextBox 17">
          <a:extLst>
            <a:ext uri="{FF2B5EF4-FFF2-40B4-BE49-F238E27FC236}">
              <a16:creationId xmlns:a16="http://schemas.microsoft.com/office/drawing/2014/main" id="{2F36A938-B596-4529-89E8-049781DD32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1" name="TextBox 18">
          <a:extLst>
            <a:ext uri="{FF2B5EF4-FFF2-40B4-BE49-F238E27FC236}">
              <a16:creationId xmlns:a16="http://schemas.microsoft.com/office/drawing/2014/main" id="{93DA6899-3E4A-4F53-8E32-11B8617E09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2" name="TextBox 15">
          <a:extLst>
            <a:ext uri="{FF2B5EF4-FFF2-40B4-BE49-F238E27FC236}">
              <a16:creationId xmlns:a16="http://schemas.microsoft.com/office/drawing/2014/main" id="{5137DD72-CAF8-4952-9FD2-F75D409D96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3" name="TextBox 16">
          <a:extLst>
            <a:ext uri="{FF2B5EF4-FFF2-40B4-BE49-F238E27FC236}">
              <a16:creationId xmlns:a16="http://schemas.microsoft.com/office/drawing/2014/main" id="{997A66C1-2145-4DE3-A5CB-B65CB34EAC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4" name="TextBox 17">
          <a:extLst>
            <a:ext uri="{FF2B5EF4-FFF2-40B4-BE49-F238E27FC236}">
              <a16:creationId xmlns:a16="http://schemas.microsoft.com/office/drawing/2014/main" id="{B019E4BB-6A07-4099-9120-38272189F0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5" name="TextBox 18">
          <a:extLst>
            <a:ext uri="{FF2B5EF4-FFF2-40B4-BE49-F238E27FC236}">
              <a16:creationId xmlns:a16="http://schemas.microsoft.com/office/drawing/2014/main" id="{E28875B2-6EAB-473A-B3C6-BD2666EBCB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6" name="TextBox 2023">
          <a:extLst>
            <a:ext uri="{FF2B5EF4-FFF2-40B4-BE49-F238E27FC236}">
              <a16:creationId xmlns:a16="http://schemas.microsoft.com/office/drawing/2014/main" id="{96F68837-A20D-4A2F-9759-739C6EDB53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7" name="TextBox 2024">
          <a:extLst>
            <a:ext uri="{FF2B5EF4-FFF2-40B4-BE49-F238E27FC236}">
              <a16:creationId xmlns:a16="http://schemas.microsoft.com/office/drawing/2014/main" id="{58DA39AA-4674-4A50-81B0-0A1EB2E611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8" name="TextBox 15">
          <a:extLst>
            <a:ext uri="{FF2B5EF4-FFF2-40B4-BE49-F238E27FC236}">
              <a16:creationId xmlns:a16="http://schemas.microsoft.com/office/drawing/2014/main" id="{FE7A8298-A65A-41A0-AA79-C0AF37EBE8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39" name="TextBox 16">
          <a:extLst>
            <a:ext uri="{FF2B5EF4-FFF2-40B4-BE49-F238E27FC236}">
              <a16:creationId xmlns:a16="http://schemas.microsoft.com/office/drawing/2014/main" id="{63721A25-D47A-4606-A934-A135141AB2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0" name="TextBox 17">
          <a:extLst>
            <a:ext uri="{FF2B5EF4-FFF2-40B4-BE49-F238E27FC236}">
              <a16:creationId xmlns:a16="http://schemas.microsoft.com/office/drawing/2014/main" id="{B3818A7B-B497-4641-9E66-71F9C1D8E9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1" name="TextBox 18">
          <a:extLst>
            <a:ext uri="{FF2B5EF4-FFF2-40B4-BE49-F238E27FC236}">
              <a16:creationId xmlns:a16="http://schemas.microsoft.com/office/drawing/2014/main" id="{A13E4DE5-5E39-4B1A-9700-54162DC03E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2" name="TextBox 15">
          <a:extLst>
            <a:ext uri="{FF2B5EF4-FFF2-40B4-BE49-F238E27FC236}">
              <a16:creationId xmlns:a16="http://schemas.microsoft.com/office/drawing/2014/main" id="{7F5056E5-64EF-401B-8236-EA445E5A9A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3" name="TextBox 16">
          <a:extLst>
            <a:ext uri="{FF2B5EF4-FFF2-40B4-BE49-F238E27FC236}">
              <a16:creationId xmlns:a16="http://schemas.microsoft.com/office/drawing/2014/main" id="{018B3BDE-A3BC-44E0-998F-75094BE118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4" name="TextBox 17">
          <a:extLst>
            <a:ext uri="{FF2B5EF4-FFF2-40B4-BE49-F238E27FC236}">
              <a16:creationId xmlns:a16="http://schemas.microsoft.com/office/drawing/2014/main" id="{CBBAEE7F-41A2-4A3F-ADDA-A1568BB0D0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5" name="TextBox 18">
          <a:extLst>
            <a:ext uri="{FF2B5EF4-FFF2-40B4-BE49-F238E27FC236}">
              <a16:creationId xmlns:a16="http://schemas.microsoft.com/office/drawing/2014/main" id="{75DB0871-8807-4072-89C7-F7C264DE3D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6" name="TextBox 2033">
          <a:extLst>
            <a:ext uri="{FF2B5EF4-FFF2-40B4-BE49-F238E27FC236}">
              <a16:creationId xmlns:a16="http://schemas.microsoft.com/office/drawing/2014/main" id="{9689AAB7-BB80-46D9-AECD-62826500F2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7" name="TextBox 2034">
          <a:extLst>
            <a:ext uri="{FF2B5EF4-FFF2-40B4-BE49-F238E27FC236}">
              <a16:creationId xmlns:a16="http://schemas.microsoft.com/office/drawing/2014/main" id="{DD54E13C-2F7B-404D-A021-D053AFDC5A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8" name="TextBox 2035">
          <a:extLst>
            <a:ext uri="{FF2B5EF4-FFF2-40B4-BE49-F238E27FC236}">
              <a16:creationId xmlns:a16="http://schemas.microsoft.com/office/drawing/2014/main" id="{B1231BC1-EB5D-4773-8066-099A619E5BF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49" name="TextBox 2036">
          <a:extLst>
            <a:ext uri="{FF2B5EF4-FFF2-40B4-BE49-F238E27FC236}">
              <a16:creationId xmlns:a16="http://schemas.microsoft.com/office/drawing/2014/main" id="{49E6D53D-F183-4CBF-8AA3-05A1D95966E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0" name="TextBox 1">
          <a:extLst>
            <a:ext uri="{FF2B5EF4-FFF2-40B4-BE49-F238E27FC236}">
              <a16:creationId xmlns:a16="http://schemas.microsoft.com/office/drawing/2014/main" id="{751B462A-F342-4311-8E1C-067B0FFAEF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1" name="TextBox 3">
          <a:extLst>
            <a:ext uri="{FF2B5EF4-FFF2-40B4-BE49-F238E27FC236}">
              <a16:creationId xmlns:a16="http://schemas.microsoft.com/office/drawing/2014/main" id="{D79972FD-5783-466B-ABF8-DEC24B3DD4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2" name="TextBox 2039">
          <a:extLst>
            <a:ext uri="{FF2B5EF4-FFF2-40B4-BE49-F238E27FC236}">
              <a16:creationId xmlns:a16="http://schemas.microsoft.com/office/drawing/2014/main" id="{13BED69B-1E65-46C4-9FFE-AC92A0E91F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3" name="TextBox 2040">
          <a:extLst>
            <a:ext uri="{FF2B5EF4-FFF2-40B4-BE49-F238E27FC236}">
              <a16:creationId xmlns:a16="http://schemas.microsoft.com/office/drawing/2014/main" id="{152D2B51-B098-4951-B95C-296FF1CD46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4" name="TextBox 2041">
          <a:extLst>
            <a:ext uri="{FF2B5EF4-FFF2-40B4-BE49-F238E27FC236}">
              <a16:creationId xmlns:a16="http://schemas.microsoft.com/office/drawing/2014/main" id="{4C02786E-5933-4D36-B42D-FD50AB09AF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5" name="TextBox 2042">
          <a:extLst>
            <a:ext uri="{FF2B5EF4-FFF2-40B4-BE49-F238E27FC236}">
              <a16:creationId xmlns:a16="http://schemas.microsoft.com/office/drawing/2014/main" id="{493DF2F5-04E7-48D3-9B15-A2EBD0030B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6" name="TextBox 2043">
          <a:extLst>
            <a:ext uri="{FF2B5EF4-FFF2-40B4-BE49-F238E27FC236}">
              <a16:creationId xmlns:a16="http://schemas.microsoft.com/office/drawing/2014/main" id="{4F898416-7B82-4746-9551-96882CF7B6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7" name="TextBox 2044">
          <a:extLst>
            <a:ext uri="{FF2B5EF4-FFF2-40B4-BE49-F238E27FC236}">
              <a16:creationId xmlns:a16="http://schemas.microsoft.com/office/drawing/2014/main" id="{9285B0CE-045B-4A41-8E71-ADA764F3F9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8" name="TextBox 2045">
          <a:extLst>
            <a:ext uri="{FF2B5EF4-FFF2-40B4-BE49-F238E27FC236}">
              <a16:creationId xmlns:a16="http://schemas.microsoft.com/office/drawing/2014/main" id="{CF48A213-21ED-4F6F-AF2F-4FC153761D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59" name="TextBox 2046">
          <a:extLst>
            <a:ext uri="{FF2B5EF4-FFF2-40B4-BE49-F238E27FC236}">
              <a16:creationId xmlns:a16="http://schemas.microsoft.com/office/drawing/2014/main" id="{7066FECB-4E08-4B91-8A0F-4771BABB39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0" name="TextBox 2047">
          <a:extLst>
            <a:ext uri="{FF2B5EF4-FFF2-40B4-BE49-F238E27FC236}">
              <a16:creationId xmlns:a16="http://schemas.microsoft.com/office/drawing/2014/main" id="{6C7745CD-D259-4A48-AF20-95D0B02CB4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1" name="TextBox 2048">
          <a:extLst>
            <a:ext uri="{FF2B5EF4-FFF2-40B4-BE49-F238E27FC236}">
              <a16:creationId xmlns:a16="http://schemas.microsoft.com/office/drawing/2014/main" id="{A6F2C12E-89E4-46ED-A3CF-7C16C10D9C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2" name="TextBox 1">
          <a:extLst>
            <a:ext uri="{FF2B5EF4-FFF2-40B4-BE49-F238E27FC236}">
              <a16:creationId xmlns:a16="http://schemas.microsoft.com/office/drawing/2014/main" id="{F3CE2F54-9FA4-4187-A545-CBE7544D8B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3" name="TextBox 3">
          <a:extLst>
            <a:ext uri="{FF2B5EF4-FFF2-40B4-BE49-F238E27FC236}">
              <a16:creationId xmlns:a16="http://schemas.microsoft.com/office/drawing/2014/main" id="{1D0D6D27-6A73-48D6-8F29-D16475CBF3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4" name="TextBox 2051">
          <a:extLst>
            <a:ext uri="{FF2B5EF4-FFF2-40B4-BE49-F238E27FC236}">
              <a16:creationId xmlns:a16="http://schemas.microsoft.com/office/drawing/2014/main" id="{4185B7DC-C1FA-4176-94C0-38E5DA434F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5" name="TextBox 2052">
          <a:extLst>
            <a:ext uri="{FF2B5EF4-FFF2-40B4-BE49-F238E27FC236}">
              <a16:creationId xmlns:a16="http://schemas.microsoft.com/office/drawing/2014/main" id="{3B72FF31-B46D-4312-A7B4-8E6F66F9FF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6" name="TextBox 2053">
          <a:extLst>
            <a:ext uri="{FF2B5EF4-FFF2-40B4-BE49-F238E27FC236}">
              <a16:creationId xmlns:a16="http://schemas.microsoft.com/office/drawing/2014/main" id="{36111CFE-07F1-488B-91A8-DA0AD6185F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7" name="TextBox 2054">
          <a:extLst>
            <a:ext uri="{FF2B5EF4-FFF2-40B4-BE49-F238E27FC236}">
              <a16:creationId xmlns:a16="http://schemas.microsoft.com/office/drawing/2014/main" id="{34FF70C7-27BD-4531-8F7E-738FB36079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8" name="TextBox 2055">
          <a:extLst>
            <a:ext uri="{FF2B5EF4-FFF2-40B4-BE49-F238E27FC236}">
              <a16:creationId xmlns:a16="http://schemas.microsoft.com/office/drawing/2014/main" id="{B33AD19B-89D8-4EBA-91FA-2573A9CCED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69" name="TextBox 2056">
          <a:extLst>
            <a:ext uri="{FF2B5EF4-FFF2-40B4-BE49-F238E27FC236}">
              <a16:creationId xmlns:a16="http://schemas.microsoft.com/office/drawing/2014/main" id="{5FA09A3E-8A62-4ECE-860F-A8236A9A7F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0" name="TextBox 1">
          <a:extLst>
            <a:ext uri="{FF2B5EF4-FFF2-40B4-BE49-F238E27FC236}">
              <a16:creationId xmlns:a16="http://schemas.microsoft.com/office/drawing/2014/main" id="{564B4F4D-5DB8-4EBC-BBF9-77C2CAF31F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1" name="TextBox 3">
          <a:extLst>
            <a:ext uri="{FF2B5EF4-FFF2-40B4-BE49-F238E27FC236}">
              <a16:creationId xmlns:a16="http://schemas.microsoft.com/office/drawing/2014/main" id="{10445D26-DD01-4E9E-BCB0-FD3641860E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2" name="TextBox 2059">
          <a:extLst>
            <a:ext uri="{FF2B5EF4-FFF2-40B4-BE49-F238E27FC236}">
              <a16:creationId xmlns:a16="http://schemas.microsoft.com/office/drawing/2014/main" id="{1D0504DB-C616-4297-A315-CB949FC3F6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3" name="TextBox 2060">
          <a:extLst>
            <a:ext uri="{FF2B5EF4-FFF2-40B4-BE49-F238E27FC236}">
              <a16:creationId xmlns:a16="http://schemas.microsoft.com/office/drawing/2014/main" id="{7B058822-E521-4C86-87E2-C6DF46EA9D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4" name="TextBox 2061">
          <a:extLst>
            <a:ext uri="{FF2B5EF4-FFF2-40B4-BE49-F238E27FC236}">
              <a16:creationId xmlns:a16="http://schemas.microsoft.com/office/drawing/2014/main" id="{2DD93E83-0908-44FF-9BD7-48F0A337E6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5" name="TextBox 2062">
          <a:extLst>
            <a:ext uri="{FF2B5EF4-FFF2-40B4-BE49-F238E27FC236}">
              <a16:creationId xmlns:a16="http://schemas.microsoft.com/office/drawing/2014/main" id="{BF80FC80-0565-435A-AB6F-31F6FE7097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6" name="TextBox 2063">
          <a:extLst>
            <a:ext uri="{FF2B5EF4-FFF2-40B4-BE49-F238E27FC236}">
              <a16:creationId xmlns:a16="http://schemas.microsoft.com/office/drawing/2014/main" id="{733BC2BF-B294-47D6-8022-8114B11A72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7" name="TextBox 2064">
          <a:extLst>
            <a:ext uri="{FF2B5EF4-FFF2-40B4-BE49-F238E27FC236}">
              <a16:creationId xmlns:a16="http://schemas.microsoft.com/office/drawing/2014/main" id="{1C37E821-1898-43C1-AAA6-692FB5596F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8" name="TextBox 2065">
          <a:extLst>
            <a:ext uri="{FF2B5EF4-FFF2-40B4-BE49-F238E27FC236}">
              <a16:creationId xmlns:a16="http://schemas.microsoft.com/office/drawing/2014/main" id="{955DBEDA-91A0-45AE-9C78-F3745755CA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79" name="TextBox 2066">
          <a:extLst>
            <a:ext uri="{FF2B5EF4-FFF2-40B4-BE49-F238E27FC236}">
              <a16:creationId xmlns:a16="http://schemas.microsoft.com/office/drawing/2014/main" id="{EC91B422-BBF6-4005-A8A5-2AE8996304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0" name="TextBox 15">
          <a:extLst>
            <a:ext uri="{FF2B5EF4-FFF2-40B4-BE49-F238E27FC236}">
              <a16:creationId xmlns:a16="http://schemas.microsoft.com/office/drawing/2014/main" id="{65DE3C98-5269-4C6A-A9C0-DEF632C023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1" name="TextBox 16">
          <a:extLst>
            <a:ext uri="{FF2B5EF4-FFF2-40B4-BE49-F238E27FC236}">
              <a16:creationId xmlns:a16="http://schemas.microsoft.com/office/drawing/2014/main" id="{08F7749E-B10F-4A80-BBF5-9C5F131AAE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2" name="TextBox 17">
          <a:extLst>
            <a:ext uri="{FF2B5EF4-FFF2-40B4-BE49-F238E27FC236}">
              <a16:creationId xmlns:a16="http://schemas.microsoft.com/office/drawing/2014/main" id="{E756A9A8-233A-461A-8E00-475711A5AE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3" name="TextBox 18">
          <a:extLst>
            <a:ext uri="{FF2B5EF4-FFF2-40B4-BE49-F238E27FC236}">
              <a16:creationId xmlns:a16="http://schemas.microsoft.com/office/drawing/2014/main" id="{7C8D4189-6706-4D32-A85C-BA49AABEC3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4" name="TextBox 2071">
          <a:extLst>
            <a:ext uri="{FF2B5EF4-FFF2-40B4-BE49-F238E27FC236}">
              <a16:creationId xmlns:a16="http://schemas.microsoft.com/office/drawing/2014/main" id="{4ABAABDE-A980-4FE5-96F0-8C9D4A4D64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5" name="TextBox 2072">
          <a:extLst>
            <a:ext uri="{FF2B5EF4-FFF2-40B4-BE49-F238E27FC236}">
              <a16:creationId xmlns:a16="http://schemas.microsoft.com/office/drawing/2014/main" id="{92FCAAD1-C48F-4BB5-A62E-17C5A1253A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6" name="TextBox 1">
          <a:extLst>
            <a:ext uri="{FF2B5EF4-FFF2-40B4-BE49-F238E27FC236}">
              <a16:creationId xmlns:a16="http://schemas.microsoft.com/office/drawing/2014/main" id="{F5E93349-20DD-4289-A424-62F9871C4B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7" name="TextBox 3">
          <a:extLst>
            <a:ext uri="{FF2B5EF4-FFF2-40B4-BE49-F238E27FC236}">
              <a16:creationId xmlns:a16="http://schemas.microsoft.com/office/drawing/2014/main" id="{8109DBFF-EE31-485E-A48E-033FD1849A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8" name="TextBox 2075">
          <a:extLst>
            <a:ext uri="{FF2B5EF4-FFF2-40B4-BE49-F238E27FC236}">
              <a16:creationId xmlns:a16="http://schemas.microsoft.com/office/drawing/2014/main" id="{970D59B5-F1FB-4AE9-8E28-319573FAC6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89" name="TextBox 2076">
          <a:extLst>
            <a:ext uri="{FF2B5EF4-FFF2-40B4-BE49-F238E27FC236}">
              <a16:creationId xmlns:a16="http://schemas.microsoft.com/office/drawing/2014/main" id="{A3BCFE68-12BA-4C67-BEB8-A9096C7675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0" name="TextBox 2077">
          <a:extLst>
            <a:ext uri="{FF2B5EF4-FFF2-40B4-BE49-F238E27FC236}">
              <a16:creationId xmlns:a16="http://schemas.microsoft.com/office/drawing/2014/main" id="{E6AC42AC-CC2A-4CF3-84C5-5A8F48E3BA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1" name="TextBox 2078">
          <a:extLst>
            <a:ext uri="{FF2B5EF4-FFF2-40B4-BE49-F238E27FC236}">
              <a16:creationId xmlns:a16="http://schemas.microsoft.com/office/drawing/2014/main" id="{FA523A01-38BC-46AC-B26A-2B7F5E77EB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2" name="TextBox 2079">
          <a:extLst>
            <a:ext uri="{FF2B5EF4-FFF2-40B4-BE49-F238E27FC236}">
              <a16:creationId xmlns:a16="http://schemas.microsoft.com/office/drawing/2014/main" id="{1EBE81B0-2F13-489C-B0F1-6EDF1952E70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3" name="TextBox 2080">
          <a:extLst>
            <a:ext uri="{FF2B5EF4-FFF2-40B4-BE49-F238E27FC236}">
              <a16:creationId xmlns:a16="http://schemas.microsoft.com/office/drawing/2014/main" id="{89879A7D-F179-4717-8074-8674D9D214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4" name="TextBox 2081">
          <a:extLst>
            <a:ext uri="{FF2B5EF4-FFF2-40B4-BE49-F238E27FC236}">
              <a16:creationId xmlns:a16="http://schemas.microsoft.com/office/drawing/2014/main" id="{0719C125-BD7E-4418-B0D4-1C7D3023F4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5" name="TextBox 2082">
          <a:extLst>
            <a:ext uri="{FF2B5EF4-FFF2-40B4-BE49-F238E27FC236}">
              <a16:creationId xmlns:a16="http://schemas.microsoft.com/office/drawing/2014/main" id="{5871E2E2-C18E-4FC1-AEB6-2994D554CC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6" name="TextBox 2083">
          <a:extLst>
            <a:ext uri="{FF2B5EF4-FFF2-40B4-BE49-F238E27FC236}">
              <a16:creationId xmlns:a16="http://schemas.microsoft.com/office/drawing/2014/main" id="{EA6A55E8-4060-4EFD-A0B3-7984AACEA3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7" name="TextBox 2084">
          <a:extLst>
            <a:ext uri="{FF2B5EF4-FFF2-40B4-BE49-F238E27FC236}">
              <a16:creationId xmlns:a16="http://schemas.microsoft.com/office/drawing/2014/main" id="{9B95B85F-8956-43FF-9BF4-5B1F3FF408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8" name="TextBox 13">
          <a:extLst>
            <a:ext uri="{FF2B5EF4-FFF2-40B4-BE49-F238E27FC236}">
              <a16:creationId xmlns:a16="http://schemas.microsoft.com/office/drawing/2014/main" id="{9E995B5C-2E1B-49A9-8AC3-D9EB84C7902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499" name="TextBox 14">
          <a:extLst>
            <a:ext uri="{FF2B5EF4-FFF2-40B4-BE49-F238E27FC236}">
              <a16:creationId xmlns:a16="http://schemas.microsoft.com/office/drawing/2014/main" id="{D1623ACD-EC1B-4F01-8A67-6EB8DAB40D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0" name="TextBox 2087">
          <a:extLst>
            <a:ext uri="{FF2B5EF4-FFF2-40B4-BE49-F238E27FC236}">
              <a16:creationId xmlns:a16="http://schemas.microsoft.com/office/drawing/2014/main" id="{30E12865-C1C8-4EAB-BF62-4518573DDE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1" name="TextBox 2088">
          <a:extLst>
            <a:ext uri="{FF2B5EF4-FFF2-40B4-BE49-F238E27FC236}">
              <a16:creationId xmlns:a16="http://schemas.microsoft.com/office/drawing/2014/main" id="{9FDAA461-F160-429F-B335-F4DD7F8D67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2" name="TextBox 2089">
          <a:extLst>
            <a:ext uri="{FF2B5EF4-FFF2-40B4-BE49-F238E27FC236}">
              <a16:creationId xmlns:a16="http://schemas.microsoft.com/office/drawing/2014/main" id="{9F761EAD-DF9D-4B4B-BD3A-D74CB370F0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3" name="TextBox 2090">
          <a:extLst>
            <a:ext uri="{FF2B5EF4-FFF2-40B4-BE49-F238E27FC236}">
              <a16:creationId xmlns:a16="http://schemas.microsoft.com/office/drawing/2014/main" id="{70668BF1-9DC5-4D94-8FA3-DC5B5F979F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4" name="TextBox 15">
          <a:extLst>
            <a:ext uri="{FF2B5EF4-FFF2-40B4-BE49-F238E27FC236}">
              <a16:creationId xmlns:a16="http://schemas.microsoft.com/office/drawing/2014/main" id="{1CAC527A-C408-4494-B8D5-A5E58DCF31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5" name="TextBox 16">
          <a:extLst>
            <a:ext uri="{FF2B5EF4-FFF2-40B4-BE49-F238E27FC236}">
              <a16:creationId xmlns:a16="http://schemas.microsoft.com/office/drawing/2014/main" id="{978299E1-1962-4088-9560-8D6414BA7F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6" name="TextBox 17">
          <a:extLst>
            <a:ext uri="{FF2B5EF4-FFF2-40B4-BE49-F238E27FC236}">
              <a16:creationId xmlns:a16="http://schemas.microsoft.com/office/drawing/2014/main" id="{75039D9D-AC59-410C-8A4A-5A0BDB1A62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7" name="TextBox 18">
          <a:extLst>
            <a:ext uri="{FF2B5EF4-FFF2-40B4-BE49-F238E27FC236}">
              <a16:creationId xmlns:a16="http://schemas.microsoft.com/office/drawing/2014/main" id="{74085ED2-4D37-4665-B8B0-FB5B698D97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8" name="TextBox 2095">
          <a:extLst>
            <a:ext uri="{FF2B5EF4-FFF2-40B4-BE49-F238E27FC236}">
              <a16:creationId xmlns:a16="http://schemas.microsoft.com/office/drawing/2014/main" id="{9AD8A408-FDE8-4EEC-8AFB-4A9D1E0413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09" name="TextBox 2096">
          <a:extLst>
            <a:ext uri="{FF2B5EF4-FFF2-40B4-BE49-F238E27FC236}">
              <a16:creationId xmlns:a16="http://schemas.microsoft.com/office/drawing/2014/main" id="{3BA1AA32-9817-4367-97B3-1CB5400848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0" name="TextBox 1">
          <a:extLst>
            <a:ext uri="{FF2B5EF4-FFF2-40B4-BE49-F238E27FC236}">
              <a16:creationId xmlns:a16="http://schemas.microsoft.com/office/drawing/2014/main" id="{2A2D3D82-3910-43F1-B08B-EACB48DCA4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1" name="TextBox 3">
          <a:extLst>
            <a:ext uri="{FF2B5EF4-FFF2-40B4-BE49-F238E27FC236}">
              <a16:creationId xmlns:a16="http://schemas.microsoft.com/office/drawing/2014/main" id="{EA2667A9-C975-482B-83E7-216E2D7EFD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2" name="TextBox 2099">
          <a:extLst>
            <a:ext uri="{FF2B5EF4-FFF2-40B4-BE49-F238E27FC236}">
              <a16:creationId xmlns:a16="http://schemas.microsoft.com/office/drawing/2014/main" id="{FB743BB8-AA4E-4288-8ECF-110BDD947F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3" name="TextBox 2100">
          <a:extLst>
            <a:ext uri="{FF2B5EF4-FFF2-40B4-BE49-F238E27FC236}">
              <a16:creationId xmlns:a16="http://schemas.microsoft.com/office/drawing/2014/main" id="{86005412-8F8F-44C8-B657-1633BC3D2F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4" name="TextBox 2101">
          <a:extLst>
            <a:ext uri="{FF2B5EF4-FFF2-40B4-BE49-F238E27FC236}">
              <a16:creationId xmlns:a16="http://schemas.microsoft.com/office/drawing/2014/main" id="{349030A5-B529-4F3F-B9D2-7B507DC6E0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5" name="TextBox 2102">
          <a:extLst>
            <a:ext uri="{FF2B5EF4-FFF2-40B4-BE49-F238E27FC236}">
              <a16:creationId xmlns:a16="http://schemas.microsoft.com/office/drawing/2014/main" id="{CAF261FF-74EE-44DE-9919-7F38776688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6" name="TextBox 2103">
          <a:extLst>
            <a:ext uri="{FF2B5EF4-FFF2-40B4-BE49-F238E27FC236}">
              <a16:creationId xmlns:a16="http://schemas.microsoft.com/office/drawing/2014/main" id="{2C1F6535-3C1C-4069-811B-CFADB46328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7" name="TextBox 2104">
          <a:extLst>
            <a:ext uri="{FF2B5EF4-FFF2-40B4-BE49-F238E27FC236}">
              <a16:creationId xmlns:a16="http://schemas.microsoft.com/office/drawing/2014/main" id="{23B8772E-318F-4222-8B1A-783C23195C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8" name="TextBox 2105">
          <a:extLst>
            <a:ext uri="{FF2B5EF4-FFF2-40B4-BE49-F238E27FC236}">
              <a16:creationId xmlns:a16="http://schemas.microsoft.com/office/drawing/2014/main" id="{F3367B1C-5CA6-4D77-8847-DCD6AEC929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19" name="TextBox 2106">
          <a:extLst>
            <a:ext uri="{FF2B5EF4-FFF2-40B4-BE49-F238E27FC236}">
              <a16:creationId xmlns:a16="http://schemas.microsoft.com/office/drawing/2014/main" id="{50FA0A62-0062-49F1-9B54-B3C81AD399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0" name="TextBox 2107">
          <a:extLst>
            <a:ext uri="{FF2B5EF4-FFF2-40B4-BE49-F238E27FC236}">
              <a16:creationId xmlns:a16="http://schemas.microsoft.com/office/drawing/2014/main" id="{01CD407E-9A3E-41FA-8FD9-DBA2194002D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1" name="TextBox 2108">
          <a:extLst>
            <a:ext uri="{FF2B5EF4-FFF2-40B4-BE49-F238E27FC236}">
              <a16:creationId xmlns:a16="http://schemas.microsoft.com/office/drawing/2014/main" id="{0A74588E-036A-42C6-AD84-CC165AAB42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2" name="TextBox 13">
          <a:extLst>
            <a:ext uri="{FF2B5EF4-FFF2-40B4-BE49-F238E27FC236}">
              <a16:creationId xmlns:a16="http://schemas.microsoft.com/office/drawing/2014/main" id="{54381C76-A771-4A4B-8389-3CDD7B6F9E7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3" name="TextBox 14">
          <a:extLst>
            <a:ext uri="{FF2B5EF4-FFF2-40B4-BE49-F238E27FC236}">
              <a16:creationId xmlns:a16="http://schemas.microsoft.com/office/drawing/2014/main" id="{0E492BEF-2185-413B-AFD6-EBE7E1308E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4" name="TextBox 2111">
          <a:extLst>
            <a:ext uri="{FF2B5EF4-FFF2-40B4-BE49-F238E27FC236}">
              <a16:creationId xmlns:a16="http://schemas.microsoft.com/office/drawing/2014/main" id="{255513E7-6CE4-4A33-8570-A2D63958A8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5" name="TextBox 2112">
          <a:extLst>
            <a:ext uri="{FF2B5EF4-FFF2-40B4-BE49-F238E27FC236}">
              <a16:creationId xmlns:a16="http://schemas.microsoft.com/office/drawing/2014/main" id="{9F7B4D91-499F-4F04-B776-BAEDA75E53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6" name="TextBox 2113">
          <a:extLst>
            <a:ext uri="{FF2B5EF4-FFF2-40B4-BE49-F238E27FC236}">
              <a16:creationId xmlns:a16="http://schemas.microsoft.com/office/drawing/2014/main" id="{DD96C087-993E-47D7-9AB9-F9DC88CEEE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7" name="TextBox 2114">
          <a:extLst>
            <a:ext uri="{FF2B5EF4-FFF2-40B4-BE49-F238E27FC236}">
              <a16:creationId xmlns:a16="http://schemas.microsoft.com/office/drawing/2014/main" id="{C32151A9-8CBF-4FD7-8354-57B0E8AB1F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8" name="TextBox 15">
          <a:extLst>
            <a:ext uri="{FF2B5EF4-FFF2-40B4-BE49-F238E27FC236}">
              <a16:creationId xmlns:a16="http://schemas.microsoft.com/office/drawing/2014/main" id="{769CE70F-D79B-42C3-BA63-C45E29F06E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29" name="TextBox 16">
          <a:extLst>
            <a:ext uri="{FF2B5EF4-FFF2-40B4-BE49-F238E27FC236}">
              <a16:creationId xmlns:a16="http://schemas.microsoft.com/office/drawing/2014/main" id="{21C2CE41-7B61-4922-A9D3-1D1C734B49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0" name="TextBox 17">
          <a:extLst>
            <a:ext uri="{FF2B5EF4-FFF2-40B4-BE49-F238E27FC236}">
              <a16:creationId xmlns:a16="http://schemas.microsoft.com/office/drawing/2014/main" id="{9D2CEC34-45E0-40FD-9FBB-B2D094FB1E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1" name="TextBox 18">
          <a:extLst>
            <a:ext uri="{FF2B5EF4-FFF2-40B4-BE49-F238E27FC236}">
              <a16:creationId xmlns:a16="http://schemas.microsoft.com/office/drawing/2014/main" id="{36B1B59B-ABB1-484D-AB77-7D219805E6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2" name="TextBox 2119">
          <a:extLst>
            <a:ext uri="{FF2B5EF4-FFF2-40B4-BE49-F238E27FC236}">
              <a16:creationId xmlns:a16="http://schemas.microsoft.com/office/drawing/2014/main" id="{BCA18642-CE64-4225-92C6-DE7C3DAE9A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3" name="TextBox 2120">
          <a:extLst>
            <a:ext uri="{FF2B5EF4-FFF2-40B4-BE49-F238E27FC236}">
              <a16:creationId xmlns:a16="http://schemas.microsoft.com/office/drawing/2014/main" id="{9256227E-DFDD-4236-91FF-8D03F1A131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4" name="TextBox 1">
          <a:extLst>
            <a:ext uri="{FF2B5EF4-FFF2-40B4-BE49-F238E27FC236}">
              <a16:creationId xmlns:a16="http://schemas.microsoft.com/office/drawing/2014/main" id="{C8BAE610-95E7-4C59-8931-428221F9D8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5" name="TextBox 3">
          <a:extLst>
            <a:ext uri="{FF2B5EF4-FFF2-40B4-BE49-F238E27FC236}">
              <a16:creationId xmlns:a16="http://schemas.microsoft.com/office/drawing/2014/main" id="{78106716-1A0D-40AD-ABF2-9F3EA42DA5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6" name="TextBox 2123">
          <a:extLst>
            <a:ext uri="{FF2B5EF4-FFF2-40B4-BE49-F238E27FC236}">
              <a16:creationId xmlns:a16="http://schemas.microsoft.com/office/drawing/2014/main" id="{B0FA2FE1-D269-4A70-83F4-DE134D8F5E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7" name="TextBox 2124">
          <a:extLst>
            <a:ext uri="{FF2B5EF4-FFF2-40B4-BE49-F238E27FC236}">
              <a16:creationId xmlns:a16="http://schemas.microsoft.com/office/drawing/2014/main" id="{3380AC43-5FA9-4E81-9478-52FE5893D2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8" name="TextBox 2125">
          <a:extLst>
            <a:ext uri="{FF2B5EF4-FFF2-40B4-BE49-F238E27FC236}">
              <a16:creationId xmlns:a16="http://schemas.microsoft.com/office/drawing/2014/main" id="{2A12B417-C249-424A-837F-21C8608E19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39" name="TextBox 2126">
          <a:extLst>
            <a:ext uri="{FF2B5EF4-FFF2-40B4-BE49-F238E27FC236}">
              <a16:creationId xmlns:a16="http://schemas.microsoft.com/office/drawing/2014/main" id="{B15A7E2E-34B4-43D6-87E6-0C6F434A4E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0" name="TextBox 2127">
          <a:extLst>
            <a:ext uri="{FF2B5EF4-FFF2-40B4-BE49-F238E27FC236}">
              <a16:creationId xmlns:a16="http://schemas.microsoft.com/office/drawing/2014/main" id="{BA7241A0-DE37-4BFF-9C8E-EA13EB0563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1" name="TextBox 2128">
          <a:extLst>
            <a:ext uri="{FF2B5EF4-FFF2-40B4-BE49-F238E27FC236}">
              <a16:creationId xmlns:a16="http://schemas.microsoft.com/office/drawing/2014/main" id="{40DA333A-BFE9-414D-8190-0FD9C92938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2" name="TextBox 2129">
          <a:extLst>
            <a:ext uri="{FF2B5EF4-FFF2-40B4-BE49-F238E27FC236}">
              <a16:creationId xmlns:a16="http://schemas.microsoft.com/office/drawing/2014/main" id="{3B314242-D9B7-40A4-B81C-0FF6145B71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3" name="TextBox 2130">
          <a:extLst>
            <a:ext uri="{FF2B5EF4-FFF2-40B4-BE49-F238E27FC236}">
              <a16:creationId xmlns:a16="http://schemas.microsoft.com/office/drawing/2014/main" id="{7CAB6158-30AD-4E5C-AD05-22DCD9B5A9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4" name="TextBox 2131">
          <a:extLst>
            <a:ext uri="{FF2B5EF4-FFF2-40B4-BE49-F238E27FC236}">
              <a16:creationId xmlns:a16="http://schemas.microsoft.com/office/drawing/2014/main" id="{D620735E-5031-4273-AD67-AD362D19A1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5" name="TextBox 2132">
          <a:extLst>
            <a:ext uri="{FF2B5EF4-FFF2-40B4-BE49-F238E27FC236}">
              <a16:creationId xmlns:a16="http://schemas.microsoft.com/office/drawing/2014/main" id="{A7EA254E-24A3-4F78-9F4A-BD57866F8E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6" name="TextBox 13">
          <a:extLst>
            <a:ext uri="{FF2B5EF4-FFF2-40B4-BE49-F238E27FC236}">
              <a16:creationId xmlns:a16="http://schemas.microsoft.com/office/drawing/2014/main" id="{98DBDD17-8187-4E3E-8426-A1495D40DA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7" name="TextBox 14">
          <a:extLst>
            <a:ext uri="{FF2B5EF4-FFF2-40B4-BE49-F238E27FC236}">
              <a16:creationId xmlns:a16="http://schemas.microsoft.com/office/drawing/2014/main" id="{DAFF9D76-6BC8-40DE-A909-758D62982E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8" name="TextBox 2135">
          <a:extLst>
            <a:ext uri="{FF2B5EF4-FFF2-40B4-BE49-F238E27FC236}">
              <a16:creationId xmlns:a16="http://schemas.microsoft.com/office/drawing/2014/main" id="{468DE345-7B3F-4EF4-9684-1E62559199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49" name="TextBox 2136">
          <a:extLst>
            <a:ext uri="{FF2B5EF4-FFF2-40B4-BE49-F238E27FC236}">
              <a16:creationId xmlns:a16="http://schemas.microsoft.com/office/drawing/2014/main" id="{3F568FF1-8D1F-47F7-A6BE-C4C8E6A35E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0" name="TextBox 2137">
          <a:extLst>
            <a:ext uri="{FF2B5EF4-FFF2-40B4-BE49-F238E27FC236}">
              <a16:creationId xmlns:a16="http://schemas.microsoft.com/office/drawing/2014/main" id="{10961EFE-8C6E-4210-A63C-6278A05245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1" name="TextBox 2138">
          <a:extLst>
            <a:ext uri="{FF2B5EF4-FFF2-40B4-BE49-F238E27FC236}">
              <a16:creationId xmlns:a16="http://schemas.microsoft.com/office/drawing/2014/main" id="{F7959328-12F7-4622-A389-1C06AC9395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2" name="TextBox 15">
          <a:extLst>
            <a:ext uri="{FF2B5EF4-FFF2-40B4-BE49-F238E27FC236}">
              <a16:creationId xmlns:a16="http://schemas.microsoft.com/office/drawing/2014/main" id="{5114DF6D-39C4-4E42-94FD-F474EAE339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3" name="TextBox 16">
          <a:extLst>
            <a:ext uri="{FF2B5EF4-FFF2-40B4-BE49-F238E27FC236}">
              <a16:creationId xmlns:a16="http://schemas.microsoft.com/office/drawing/2014/main" id="{A9E76283-4450-4657-96DC-16CFF6A650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4" name="TextBox 17">
          <a:extLst>
            <a:ext uri="{FF2B5EF4-FFF2-40B4-BE49-F238E27FC236}">
              <a16:creationId xmlns:a16="http://schemas.microsoft.com/office/drawing/2014/main" id="{D1C37498-33ED-4A8E-AD05-5A8AF93BD4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5" name="TextBox 18">
          <a:extLst>
            <a:ext uri="{FF2B5EF4-FFF2-40B4-BE49-F238E27FC236}">
              <a16:creationId xmlns:a16="http://schemas.microsoft.com/office/drawing/2014/main" id="{84DFD423-A3C1-4B4C-8B71-F74183DFE0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6" name="TextBox 2143">
          <a:extLst>
            <a:ext uri="{FF2B5EF4-FFF2-40B4-BE49-F238E27FC236}">
              <a16:creationId xmlns:a16="http://schemas.microsoft.com/office/drawing/2014/main" id="{00492938-B29A-442C-887E-2ACE3DF02E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7" name="TextBox 2144">
          <a:extLst>
            <a:ext uri="{FF2B5EF4-FFF2-40B4-BE49-F238E27FC236}">
              <a16:creationId xmlns:a16="http://schemas.microsoft.com/office/drawing/2014/main" id="{8E3A1842-5E36-4196-8966-7D8AB8CD1F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8" name="TextBox 1">
          <a:extLst>
            <a:ext uri="{FF2B5EF4-FFF2-40B4-BE49-F238E27FC236}">
              <a16:creationId xmlns:a16="http://schemas.microsoft.com/office/drawing/2014/main" id="{FCD39410-0BA8-4FDE-9129-C10581E00F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59" name="TextBox 3">
          <a:extLst>
            <a:ext uri="{FF2B5EF4-FFF2-40B4-BE49-F238E27FC236}">
              <a16:creationId xmlns:a16="http://schemas.microsoft.com/office/drawing/2014/main" id="{2DCAFE6B-CF46-4726-9F1E-1E1F6AFA91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0" name="TextBox 2147">
          <a:extLst>
            <a:ext uri="{FF2B5EF4-FFF2-40B4-BE49-F238E27FC236}">
              <a16:creationId xmlns:a16="http://schemas.microsoft.com/office/drawing/2014/main" id="{D786F824-101E-4CC0-B508-0AFA0D5253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1" name="TextBox 2148">
          <a:extLst>
            <a:ext uri="{FF2B5EF4-FFF2-40B4-BE49-F238E27FC236}">
              <a16:creationId xmlns:a16="http://schemas.microsoft.com/office/drawing/2014/main" id="{72D3D516-0DF8-41E5-83FF-B8FF5780CD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2" name="TextBox 2149">
          <a:extLst>
            <a:ext uri="{FF2B5EF4-FFF2-40B4-BE49-F238E27FC236}">
              <a16:creationId xmlns:a16="http://schemas.microsoft.com/office/drawing/2014/main" id="{C1331BA6-6056-434D-948D-A985C49CC4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3" name="TextBox 2150">
          <a:extLst>
            <a:ext uri="{FF2B5EF4-FFF2-40B4-BE49-F238E27FC236}">
              <a16:creationId xmlns:a16="http://schemas.microsoft.com/office/drawing/2014/main" id="{97A95440-219D-443C-93A6-92BD50F0BC7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4" name="TextBox 2151">
          <a:extLst>
            <a:ext uri="{FF2B5EF4-FFF2-40B4-BE49-F238E27FC236}">
              <a16:creationId xmlns:a16="http://schemas.microsoft.com/office/drawing/2014/main" id="{6FCEBEBC-C494-44BB-9BD4-B4B4E87E3F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5" name="TextBox 2152">
          <a:extLst>
            <a:ext uri="{FF2B5EF4-FFF2-40B4-BE49-F238E27FC236}">
              <a16:creationId xmlns:a16="http://schemas.microsoft.com/office/drawing/2014/main" id="{7D0A305F-9A65-4811-99A7-B33883E5F4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6" name="TextBox 2153">
          <a:extLst>
            <a:ext uri="{FF2B5EF4-FFF2-40B4-BE49-F238E27FC236}">
              <a16:creationId xmlns:a16="http://schemas.microsoft.com/office/drawing/2014/main" id="{B6F31BBE-678A-4381-9654-0DBFFA6DB3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7" name="TextBox 2154">
          <a:extLst>
            <a:ext uri="{FF2B5EF4-FFF2-40B4-BE49-F238E27FC236}">
              <a16:creationId xmlns:a16="http://schemas.microsoft.com/office/drawing/2014/main" id="{1F0503B4-A7B8-42DB-BA06-CE74AA998A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8" name="TextBox 2155">
          <a:extLst>
            <a:ext uri="{FF2B5EF4-FFF2-40B4-BE49-F238E27FC236}">
              <a16:creationId xmlns:a16="http://schemas.microsoft.com/office/drawing/2014/main" id="{7C76A989-734C-40B1-9E23-FFDBEA6452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69" name="TextBox 2156">
          <a:extLst>
            <a:ext uri="{FF2B5EF4-FFF2-40B4-BE49-F238E27FC236}">
              <a16:creationId xmlns:a16="http://schemas.microsoft.com/office/drawing/2014/main" id="{EB5F9285-621E-440F-880F-51953A7B71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0" name="TextBox 13">
          <a:extLst>
            <a:ext uri="{FF2B5EF4-FFF2-40B4-BE49-F238E27FC236}">
              <a16:creationId xmlns:a16="http://schemas.microsoft.com/office/drawing/2014/main" id="{25E44EC1-25A1-416D-832D-7E7D2FCA54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1" name="TextBox 14">
          <a:extLst>
            <a:ext uri="{FF2B5EF4-FFF2-40B4-BE49-F238E27FC236}">
              <a16:creationId xmlns:a16="http://schemas.microsoft.com/office/drawing/2014/main" id="{27583A73-993B-4B49-9ED2-88514AE0809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2" name="TextBox 2159">
          <a:extLst>
            <a:ext uri="{FF2B5EF4-FFF2-40B4-BE49-F238E27FC236}">
              <a16:creationId xmlns:a16="http://schemas.microsoft.com/office/drawing/2014/main" id="{A818E281-BB55-409D-8948-E08765466B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3" name="TextBox 2160">
          <a:extLst>
            <a:ext uri="{FF2B5EF4-FFF2-40B4-BE49-F238E27FC236}">
              <a16:creationId xmlns:a16="http://schemas.microsoft.com/office/drawing/2014/main" id="{C9020C95-AEEE-4610-BE71-F341E40BBD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4" name="TextBox 2161">
          <a:extLst>
            <a:ext uri="{FF2B5EF4-FFF2-40B4-BE49-F238E27FC236}">
              <a16:creationId xmlns:a16="http://schemas.microsoft.com/office/drawing/2014/main" id="{AD24E224-45D2-4DED-BB77-176E082921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5" name="TextBox 2162">
          <a:extLst>
            <a:ext uri="{FF2B5EF4-FFF2-40B4-BE49-F238E27FC236}">
              <a16:creationId xmlns:a16="http://schemas.microsoft.com/office/drawing/2014/main" id="{676E1C1E-358E-4596-8550-CEEF689563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6" name="TextBox 2163">
          <a:extLst>
            <a:ext uri="{FF2B5EF4-FFF2-40B4-BE49-F238E27FC236}">
              <a16:creationId xmlns:a16="http://schemas.microsoft.com/office/drawing/2014/main" id="{B5072A75-E312-45F0-A777-51DE93D60A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7" name="TextBox 2164">
          <a:extLst>
            <a:ext uri="{FF2B5EF4-FFF2-40B4-BE49-F238E27FC236}">
              <a16:creationId xmlns:a16="http://schemas.microsoft.com/office/drawing/2014/main" id="{2B5A87FC-AE59-4E26-982C-8B84F8FEE3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8" name="TextBox 5">
          <a:extLst>
            <a:ext uri="{FF2B5EF4-FFF2-40B4-BE49-F238E27FC236}">
              <a16:creationId xmlns:a16="http://schemas.microsoft.com/office/drawing/2014/main" id="{263946F6-D815-49F3-A316-056571C199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79" name="TextBox 6">
          <a:extLst>
            <a:ext uri="{FF2B5EF4-FFF2-40B4-BE49-F238E27FC236}">
              <a16:creationId xmlns:a16="http://schemas.microsoft.com/office/drawing/2014/main" id="{831830FE-20DF-4665-96BD-0B5FBE6BF9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0" name="TextBox 7">
          <a:extLst>
            <a:ext uri="{FF2B5EF4-FFF2-40B4-BE49-F238E27FC236}">
              <a16:creationId xmlns:a16="http://schemas.microsoft.com/office/drawing/2014/main" id="{00F5A27D-5B3D-433A-AF63-2891FAC827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1" name="TextBox 8">
          <a:extLst>
            <a:ext uri="{FF2B5EF4-FFF2-40B4-BE49-F238E27FC236}">
              <a16:creationId xmlns:a16="http://schemas.microsoft.com/office/drawing/2014/main" id="{F64ACC6D-620A-471C-BB65-4DE8926748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2" name="TextBox 2169">
          <a:extLst>
            <a:ext uri="{FF2B5EF4-FFF2-40B4-BE49-F238E27FC236}">
              <a16:creationId xmlns:a16="http://schemas.microsoft.com/office/drawing/2014/main" id="{D77B33F8-2495-4F10-BE5B-54A90C4028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3" name="TextBox 2170">
          <a:extLst>
            <a:ext uri="{FF2B5EF4-FFF2-40B4-BE49-F238E27FC236}">
              <a16:creationId xmlns:a16="http://schemas.microsoft.com/office/drawing/2014/main" id="{B6FA73D0-605D-4F6D-953A-6ED2325FCD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4" name="TextBox 1">
          <a:extLst>
            <a:ext uri="{FF2B5EF4-FFF2-40B4-BE49-F238E27FC236}">
              <a16:creationId xmlns:a16="http://schemas.microsoft.com/office/drawing/2014/main" id="{620603AA-853C-418E-A26D-CA806B96DE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5" name="TextBox 3">
          <a:extLst>
            <a:ext uri="{FF2B5EF4-FFF2-40B4-BE49-F238E27FC236}">
              <a16:creationId xmlns:a16="http://schemas.microsoft.com/office/drawing/2014/main" id="{68C6D686-D105-45A9-8B83-6959F4613E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6" name="TextBox 2173">
          <a:extLst>
            <a:ext uri="{FF2B5EF4-FFF2-40B4-BE49-F238E27FC236}">
              <a16:creationId xmlns:a16="http://schemas.microsoft.com/office/drawing/2014/main" id="{6AEEEA6B-3DA9-479D-9942-C66F4E4418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7" name="TextBox 2174">
          <a:extLst>
            <a:ext uri="{FF2B5EF4-FFF2-40B4-BE49-F238E27FC236}">
              <a16:creationId xmlns:a16="http://schemas.microsoft.com/office/drawing/2014/main" id="{BBB4A509-C4C5-4520-ACFA-EE17E76848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8" name="TextBox 2175">
          <a:extLst>
            <a:ext uri="{FF2B5EF4-FFF2-40B4-BE49-F238E27FC236}">
              <a16:creationId xmlns:a16="http://schemas.microsoft.com/office/drawing/2014/main" id="{BB3722E8-9A4F-4071-BDB2-694F04C3D70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89" name="TextBox 2176">
          <a:extLst>
            <a:ext uri="{FF2B5EF4-FFF2-40B4-BE49-F238E27FC236}">
              <a16:creationId xmlns:a16="http://schemas.microsoft.com/office/drawing/2014/main" id="{7020795A-AF36-4D12-ABB5-30279E9222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0" name="TextBox 2">
          <a:extLst>
            <a:ext uri="{FF2B5EF4-FFF2-40B4-BE49-F238E27FC236}">
              <a16:creationId xmlns:a16="http://schemas.microsoft.com/office/drawing/2014/main" id="{8985CB55-CAE0-49DC-A0C0-79041B7721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1" name="TextBox 4">
          <a:extLst>
            <a:ext uri="{FF2B5EF4-FFF2-40B4-BE49-F238E27FC236}">
              <a16:creationId xmlns:a16="http://schemas.microsoft.com/office/drawing/2014/main" id="{86F5BF49-E63E-4C64-AC55-8BE66B5F2C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2" name="TextBox 5">
          <a:extLst>
            <a:ext uri="{FF2B5EF4-FFF2-40B4-BE49-F238E27FC236}">
              <a16:creationId xmlns:a16="http://schemas.microsoft.com/office/drawing/2014/main" id="{702BAD94-0C93-4B8A-9C47-33EB4CB0A0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3" name="TextBox 6">
          <a:extLst>
            <a:ext uri="{FF2B5EF4-FFF2-40B4-BE49-F238E27FC236}">
              <a16:creationId xmlns:a16="http://schemas.microsoft.com/office/drawing/2014/main" id="{D35A70D5-2105-40D5-AE71-336EF122DB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4" name="TextBox 7">
          <a:extLst>
            <a:ext uri="{FF2B5EF4-FFF2-40B4-BE49-F238E27FC236}">
              <a16:creationId xmlns:a16="http://schemas.microsoft.com/office/drawing/2014/main" id="{4135B99A-0327-4B81-B336-152B0CA160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5" name="TextBox 8">
          <a:extLst>
            <a:ext uri="{FF2B5EF4-FFF2-40B4-BE49-F238E27FC236}">
              <a16:creationId xmlns:a16="http://schemas.microsoft.com/office/drawing/2014/main" id="{4E1B9297-2ABE-47EA-9E40-A4DD765EEE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6" name="TextBox 2183">
          <a:extLst>
            <a:ext uri="{FF2B5EF4-FFF2-40B4-BE49-F238E27FC236}">
              <a16:creationId xmlns:a16="http://schemas.microsoft.com/office/drawing/2014/main" id="{78A6A5CA-D984-4384-9A17-8A3C32567F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7" name="TextBox 2184">
          <a:extLst>
            <a:ext uri="{FF2B5EF4-FFF2-40B4-BE49-F238E27FC236}">
              <a16:creationId xmlns:a16="http://schemas.microsoft.com/office/drawing/2014/main" id="{9D56B814-EF43-4084-A0E6-A78BD4C683D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8" name="TextBox 2185">
          <a:extLst>
            <a:ext uri="{FF2B5EF4-FFF2-40B4-BE49-F238E27FC236}">
              <a16:creationId xmlns:a16="http://schemas.microsoft.com/office/drawing/2014/main" id="{4877D8FC-0FF9-4416-B8DD-91C7388671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599" name="TextBox 2186">
          <a:extLst>
            <a:ext uri="{FF2B5EF4-FFF2-40B4-BE49-F238E27FC236}">
              <a16:creationId xmlns:a16="http://schemas.microsoft.com/office/drawing/2014/main" id="{95D94286-F836-4038-8480-45B992E88B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0" name="TextBox 15">
          <a:extLst>
            <a:ext uri="{FF2B5EF4-FFF2-40B4-BE49-F238E27FC236}">
              <a16:creationId xmlns:a16="http://schemas.microsoft.com/office/drawing/2014/main" id="{5CCD00DA-C5FC-4BDC-9B73-6652C97BD2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1" name="TextBox 16">
          <a:extLst>
            <a:ext uri="{FF2B5EF4-FFF2-40B4-BE49-F238E27FC236}">
              <a16:creationId xmlns:a16="http://schemas.microsoft.com/office/drawing/2014/main" id="{D0781674-C093-4E87-A39F-F5327E8AFB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2" name="TextBox 17">
          <a:extLst>
            <a:ext uri="{FF2B5EF4-FFF2-40B4-BE49-F238E27FC236}">
              <a16:creationId xmlns:a16="http://schemas.microsoft.com/office/drawing/2014/main" id="{BA8BF5EC-7085-49BE-B14C-579A514C4E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3" name="TextBox 18">
          <a:extLst>
            <a:ext uri="{FF2B5EF4-FFF2-40B4-BE49-F238E27FC236}">
              <a16:creationId xmlns:a16="http://schemas.microsoft.com/office/drawing/2014/main" id="{A6882094-39B1-48A4-B91F-4399CDF02C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4" name="TextBox 2191">
          <a:extLst>
            <a:ext uri="{FF2B5EF4-FFF2-40B4-BE49-F238E27FC236}">
              <a16:creationId xmlns:a16="http://schemas.microsoft.com/office/drawing/2014/main" id="{68ECE2B1-C5BB-4723-B710-710F97CA5E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5" name="TextBox 2192">
          <a:extLst>
            <a:ext uri="{FF2B5EF4-FFF2-40B4-BE49-F238E27FC236}">
              <a16:creationId xmlns:a16="http://schemas.microsoft.com/office/drawing/2014/main" id="{195082A9-BA39-4FF1-B175-778EA3D8E5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6" name="TextBox 1">
          <a:extLst>
            <a:ext uri="{FF2B5EF4-FFF2-40B4-BE49-F238E27FC236}">
              <a16:creationId xmlns:a16="http://schemas.microsoft.com/office/drawing/2014/main" id="{A69A5E37-2181-48B9-A0ED-B39A5FEA2E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7" name="TextBox 3">
          <a:extLst>
            <a:ext uri="{FF2B5EF4-FFF2-40B4-BE49-F238E27FC236}">
              <a16:creationId xmlns:a16="http://schemas.microsoft.com/office/drawing/2014/main" id="{792F08AB-56B4-4865-BD6E-6FF973133B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8" name="TextBox 2195">
          <a:extLst>
            <a:ext uri="{FF2B5EF4-FFF2-40B4-BE49-F238E27FC236}">
              <a16:creationId xmlns:a16="http://schemas.microsoft.com/office/drawing/2014/main" id="{E8F292D8-2C7B-47D0-A2BC-CBE1006D23E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09" name="TextBox 2196">
          <a:extLst>
            <a:ext uri="{FF2B5EF4-FFF2-40B4-BE49-F238E27FC236}">
              <a16:creationId xmlns:a16="http://schemas.microsoft.com/office/drawing/2014/main" id="{FA496DE1-C6F3-4E82-81BD-FD3A9D5C61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0" name="TextBox 2197">
          <a:extLst>
            <a:ext uri="{FF2B5EF4-FFF2-40B4-BE49-F238E27FC236}">
              <a16:creationId xmlns:a16="http://schemas.microsoft.com/office/drawing/2014/main" id="{E1CEB008-0E36-44EB-8E51-AD42E2F30B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1" name="TextBox 2198">
          <a:extLst>
            <a:ext uri="{FF2B5EF4-FFF2-40B4-BE49-F238E27FC236}">
              <a16:creationId xmlns:a16="http://schemas.microsoft.com/office/drawing/2014/main" id="{AE4646BB-EB2C-4C1C-A2F1-4C4A707541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2" name="TextBox 2199">
          <a:extLst>
            <a:ext uri="{FF2B5EF4-FFF2-40B4-BE49-F238E27FC236}">
              <a16:creationId xmlns:a16="http://schemas.microsoft.com/office/drawing/2014/main" id="{445DC796-330B-4942-8572-4ED6418E979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3" name="TextBox 2200">
          <a:extLst>
            <a:ext uri="{FF2B5EF4-FFF2-40B4-BE49-F238E27FC236}">
              <a16:creationId xmlns:a16="http://schemas.microsoft.com/office/drawing/2014/main" id="{E7125A4B-0C09-45C6-898E-78CCEBE437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4" name="TextBox 2201">
          <a:extLst>
            <a:ext uri="{FF2B5EF4-FFF2-40B4-BE49-F238E27FC236}">
              <a16:creationId xmlns:a16="http://schemas.microsoft.com/office/drawing/2014/main" id="{1080CE80-FA11-4807-8EFC-C7681D38A2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5" name="TextBox 2202">
          <a:extLst>
            <a:ext uri="{FF2B5EF4-FFF2-40B4-BE49-F238E27FC236}">
              <a16:creationId xmlns:a16="http://schemas.microsoft.com/office/drawing/2014/main" id="{9828EC20-50F5-4E83-AB04-A3D00D8B456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6" name="TextBox 2203">
          <a:extLst>
            <a:ext uri="{FF2B5EF4-FFF2-40B4-BE49-F238E27FC236}">
              <a16:creationId xmlns:a16="http://schemas.microsoft.com/office/drawing/2014/main" id="{2B4145BA-1167-4125-9B92-15D621A2B7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7" name="TextBox 2204">
          <a:extLst>
            <a:ext uri="{FF2B5EF4-FFF2-40B4-BE49-F238E27FC236}">
              <a16:creationId xmlns:a16="http://schemas.microsoft.com/office/drawing/2014/main" id="{DD27417B-E18A-4EC8-9D41-7FAEEFC351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8" name="TextBox 13">
          <a:extLst>
            <a:ext uri="{FF2B5EF4-FFF2-40B4-BE49-F238E27FC236}">
              <a16:creationId xmlns:a16="http://schemas.microsoft.com/office/drawing/2014/main" id="{F92AEA58-021B-4029-84F6-236FE21980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19" name="TextBox 14">
          <a:extLst>
            <a:ext uri="{FF2B5EF4-FFF2-40B4-BE49-F238E27FC236}">
              <a16:creationId xmlns:a16="http://schemas.microsoft.com/office/drawing/2014/main" id="{CE8165C8-4DAB-4B65-874A-BB1AE974E0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0" name="TextBox 2207">
          <a:extLst>
            <a:ext uri="{FF2B5EF4-FFF2-40B4-BE49-F238E27FC236}">
              <a16:creationId xmlns:a16="http://schemas.microsoft.com/office/drawing/2014/main" id="{98F7AB61-0CDE-4C0A-9991-B6267AA1EA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1" name="TextBox 2208">
          <a:extLst>
            <a:ext uri="{FF2B5EF4-FFF2-40B4-BE49-F238E27FC236}">
              <a16:creationId xmlns:a16="http://schemas.microsoft.com/office/drawing/2014/main" id="{F2BAD1ED-F197-4501-84EC-3BB98BB201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2" name="TextBox 2209">
          <a:extLst>
            <a:ext uri="{FF2B5EF4-FFF2-40B4-BE49-F238E27FC236}">
              <a16:creationId xmlns:a16="http://schemas.microsoft.com/office/drawing/2014/main" id="{E340C2FA-4F6B-4A57-BE06-BDA360EAE37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3" name="TextBox 2210">
          <a:extLst>
            <a:ext uri="{FF2B5EF4-FFF2-40B4-BE49-F238E27FC236}">
              <a16:creationId xmlns:a16="http://schemas.microsoft.com/office/drawing/2014/main" id="{0E444962-089C-4956-BAD1-6AD2F91CC5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4" name="TextBox 15">
          <a:extLst>
            <a:ext uri="{FF2B5EF4-FFF2-40B4-BE49-F238E27FC236}">
              <a16:creationId xmlns:a16="http://schemas.microsoft.com/office/drawing/2014/main" id="{5678128A-E651-44A9-B46D-E59A649BC1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5" name="TextBox 16">
          <a:extLst>
            <a:ext uri="{FF2B5EF4-FFF2-40B4-BE49-F238E27FC236}">
              <a16:creationId xmlns:a16="http://schemas.microsoft.com/office/drawing/2014/main" id="{512BD13D-CBAE-49AD-9F0A-8CF997E495E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6" name="TextBox 17">
          <a:extLst>
            <a:ext uri="{FF2B5EF4-FFF2-40B4-BE49-F238E27FC236}">
              <a16:creationId xmlns:a16="http://schemas.microsoft.com/office/drawing/2014/main" id="{2F67BBD2-42F0-4B98-B3C9-5D7AADBC94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7" name="TextBox 18">
          <a:extLst>
            <a:ext uri="{FF2B5EF4-FFF2-40B4-BE49-F238E27FC236}">
              <a16:creationId xmlns:a16="http://schemas.microsoft.com/office/drawing/2014/main" id="{12EB7E09-3F34-425A-9725-B136F7EEF1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8" name="TextBox 2215">
          <a:extLst>
            <a:ext uri="{FF2B5EF4-FFF2-40B4-BE49-F238E27FC236}">
              <a16:creationId xmlns:a16="http://schemas.microsoft.com/office/drawing/2014/main" id="{42C5EAD4-1E7B-4087-81FF-47535F1E1E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29" name="TextBox 2216">
          <a:extLst>
            <a:ext uri="{FF2B5EF4-FFF2-40B4-BE49-F238E27FC236}">
              <a16:creationId xmlns:a16="http://schemas.microsoft.com/office/drawing/2014/main" id="{A177BEE7-79D0-44B2-9136-153F1E2ACB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0" name="TextBox 1">
          <a:extLst>
            <a:ext uri="{FF2B5EF4-FFF2-40B4-BE49-F238E27FC236}">
              <a16:creationId xmlns:a16="http://schemas.microsoft.com/office/drawing/2014/main" id="{58744659-6AA8-454F-8DDB-5A143DB094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1" name="TextBox 3">
          <a:extLst>
            <a:ext uri="{FF2B5EF4-FFF2-40B4-BE49-F238E27FC236}">
              <a16:creationId xmlns:a16="http://schemas.microsoft.com/office/drawing/2014/main" id="{7E7ABF67-A12B-4081-80DD-941B7CE3D5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2" name="TextBox 2219">
          <a:extLst>
            <a:ext uri="{FF2B5EF4-FFF2-40B4-BE49-F238E27FC236}">
              <a16:creationId xmlns:a16="http://schemas.microsoft.com/office/drawing/2014/main" id="{353A49A8-995D-47B2-965C-6246287DF7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3" name="TextBox 2220">
          <a:extLst>
            <a:ext uri="{FF2B5EF4-FFF2-40B4-BE49-F238E27FC236}">
              <a16:creationId xmlns:a16="http://schemas.microsoft.com/office/drawing/2014/main" id="{CB2D5EEB-B7CA-4BF6-96E9-02167C8FE1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4" name="TextBox 2221">
          <a:extLst>
            <a:ext uri="{FF2B5EF4-FFF2-40B4-BE49-F238E27FC236}">
              <a16:creationId xmlns:a16="http://schemas.microsoft.com/office/drawing/2014/main" id="{C64CD828-E733-4ACA-8199-F5B4E063B6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5" name="TextBox 2222">
          <a:extLst>
            <a:ext uri="{FF2B5EF4-FFF2-40B4-BE49-F238E27FC236}">
              <a16:creationId xmlns:a16="http://schemas.microsoft.com/office/drawing/2014/main" id="{D8EA83B4-32E4-415A-B6C2-FE62F5DD22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6" name="TextBox 2223">
          <a:extLst>
            <a:ext uri="{FF2B5EF4-FFF2-40B4-BE49-F238E27FC236}">
              <a16:creationId xmlns:a16="http://schemas.microsoft.com/office/drawing/2014/main" id="{A04DD9FD-483A-4BE4-8233-5865A1FAD6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7" name="TextBox 2224">
          <a:extLst>
            <a:ext uri="{FF2B5EF4-FFF2-40B4-BE49-F238E27FC236}">
              <a16:creationId xmlns:a16="http://schemas.microsoft.com/office/drawing/2014/main" id="{5D086AC1-86D8-4251-8641-4376F8E433E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8" name="TextBox 2225">
          <a:extLst>
            <a:ext uri="{FF2B5EF4-FFF2-40B4-BE49-F238E27FC236}">
              <a16:creationId xmlns:a16="http://schemas.microsoft.com/office/drawing/2014/main" id="{AC6D4C4B-69DC-4AE5-8498-AFAD0ACD31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39" name="TextBox 2226">
          <a:extLst>
            <a:ext uri="{FF2B5EF4-FFF2-40B4-BE49-F238E27FC236}">
              <a16:creationId xmlns:a16="http://schemas.microsoft.com/office/drawing/2014/main" id="{BFBA9E77-101F-496B-AFA6-D69BA6FF9E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0" name="TextBox 2227">
          <a:extLst>
            <a:ext uri="{FF2B5EF4-FFF2-40B4-BE49-F238E27FC236}">
              <a16:creationId xmlns:a16="http://schemas.microsoft.com/office/drawing/2014/main" id="{D02CB4DF-B8E8-4B61-A80F-A25672A697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1" name="TextBox 2228">
          <a:extLst>
            <a:ext uri="{FF2B5EF4-FFF2-40B4-BE49-F238E27FC236}">
              <a16:creationId xmlns:a16="http://schemas.microsoft.com/office/drawing/2014/main" id="{6C3BBBC5-1334-49EB-B135-6109FB554B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2" name="TextBox 13">
          <a:extLst>
            <a:ext uri="{FF2B5EF4-FFF2-40B4-BE49-F238E27FC236}">
              <a16:creationId xmlns:a16="http://schemas.microsoft.com/office/drawing/2014/main" id="{32877001-3069-4B57-9B79-EC4DA719E3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3" name="TextBox 14">
          <a:extLst>
            <a:ext uri="{FF2B5EF4-FFF2-40B4-BE49-F238E27FC236}">
              <a16:creationId xmlns:a16="http://schemas.microsoft.com/office/drawing/2014/main" id="{5A074278-9662-445A-945A-96E5DA83F4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4" name="TextBox 2231">
          <a:extLst>
            <a:ext uri="{FF2B5EF4-FFF2-40B4-BE49-F238E27FC236}">
              <a16:creationId xmlns:a16="http://schemas.microsoft.com/office/drawing/2014/main" id="{703AD766-63A4-409A-B1C7-0600696CED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5" name="TextBox 2232">
          <a:extLst>
            <a:ext uri="{FF2B5EF4-FFF2-40B4-BE49-F238E27FC236}">
              <a16:creationId xmlns:a16="http://schemas.microsoft.com/office/drawing/2014/main" id="{E4A2C066-18BD-41EF-90F1-43E56FD4CC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6" name="TextBox 2233">
          <a:extLst>
            <a:ext uri="{FF2B5EF4-FFF2-40B4-BE49-F238E27FC236}">
              <a16:creationId xmlns:a16="http://schemas.microsoft.com/office/drawing/2014/main" id="{D3919484-B7AE-4139-B33C-F468B48EF8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7" name="TextBox 2234">
          <a:extLst>
            <a:ext uri="{FF2B5EF4-FFF2-40B4-BE49-F238E27FC236}">
              <a16:creationId xmlns:a16="http://schemas.microsoft.com/office/drawing/2014/main" id="{D2208647-0BC2-41AA-BCCC-523B314D3B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8" name="TextBox 15">
          <a:extLst>
            <a:ext uri="{FF2B5EF4-FFF2-40B4-BE49-F238E27FC236}">
              <a16:creationId xmlns:a16="http://schemas.microsoft.com/office/drawing/2014/main" id="{D9D4C0BD-A819-4161-A835-B23048FB3D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49" name="TextBox 16">
          <a:extLst>
            <a:ext uri="{FF2B5EF4-FFF2-40B4-BE49-F238E27FC236}">
              <a16:creationId xmlns:a16="http://schemas.microsoft.com/office/drawing/2014/main" id="{FA1818F1-2EAE-45CC-B084-90C9AE9E7D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0" name="TextBox 17">
          <a:extLst>
            <a:ext uri="{FF2B5EF4-FFF2-40B4-BE49-F238E27FC236}">
              <a16:creationId xmlns:a16="http://schemas.microsoft.com/office/drawing/2014/main" id="{4965ABFB-5D24-407E-AF43-D975AEC1A4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1" name="TextBox 18">
          <a:extLst>
            <a:ext uri="{FF2B5EF4-FFF2-40B4-BE49-F238E27FC236}">
              <a16:creationId xmlns:a16="http://schemas.microsoft.com/office/drawing/2014/main" id="{F237818B-CE37-4EFB-8E24-4ECC9E5CBB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2" name="TextBox 2239">
          <a:extLst>
            <a:ext uri="{FF2B5EF4-FFF2-40B4-BE49-F238E27FC236}">
              <a16:creationId xmlns:a16="http://schemas.microsoft.com/office/drawing/2014/main" id="{AECA71A4-CADB-4E5C-A5DB-C2C0811CE1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3" name="TextBox 2240">
          <a:extLst>
            <a:ext uri="{FF2B5EF4-FFF2-40B4-BE49-F238E27FC236}">
              <a16:creationId xmlns:a16="http://schemas.microsoft.com/office/drawing/2014/main" id="{75A21089-CE95-46DC-A285-3F4457DE88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4" name="TextBox 1">
          <a:extLst>
            <a:ext uri="{FF2B5EF4-FFF2-40B4-BE49-F238E27FC236}">
              <a16:creationId xmlns:a16="http://schemas.microsoft.com/office/drawing/2014/main" id="{3F6CCCAF-98F9-4C0F-91FB-F53E394220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5" name="TextBox 3">
          <a:extLst>
            <a:ext uri="{FF2B5EF4-FFF2-40B4-BE49-F238E27FC236}">
              <a16:creationId xmlns:a16="http://schemas.microsoft.com/office/drawing/2014/main" id="{B2C96337-901C-4605-8692-D2AC6E593A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6" name="TextBox 2243">
          <a:extLst>
            <a:ext uri="{FF2B5EF4-FFF2-40B4-BE49-F238E27FC236}">
              <a16:creationId xmlns:a16="http://schemas.microsoft.com/office/drawing/2014/main" id="{ABA3275B-2D1B-45CE-82FE-0A374479FF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7" name="TextBox 2244">
          <a:extLst>
            <a:ext uri="{FF2B5EF4-FFF2-40B4-BE49-F238E27FC236}">
              <a16:creationId xmlns:a16="http://schemas.microsoft.com/office/drawing/2014/main" id="{66EB9301-1EE2-4C61-8A0A-452C428574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8" name="TextBox 2245">
          <a:extLst>
            <a:ext uri="{FF2B5EF4-FFF2-40B4-BE49-F238E27FC236}">
              <a16:creationId xmlns:a16="http://schemas.microsoft.com/office/drawing/2014/main" id="{8295864A-9E97-4BAA-80A7-9EC2908F0F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59" name="TextBox 2246">
          <a:extLst>
            <a:ext uri="{FF2B5EF4-FFF2-40B4-BE49-F238E27FC236}">
              <a16:creationId xmlns:a16="http://schemas.microsoft.com/office/drawing/2014/main" id="{D006D889-F0CC-4C61-9048-7126C9D0BC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0" name="TextBox 2247">
          <a:extLst>
            <a:ext uri="{FF2B5EF4-FFF2-40B4-BE49-F238E27FC236}">
              <a16:creationId xmlns:a16="http://schemas.microsoft.com/office/drawing/2014/main" id="{6D203C62-40ED-491C-9F7A-D6C5549897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1" name="TextBox 2248">
          <a:extLst>
            <a:ext uri="{FF2B5EF4-FFF2-40B4-BE49-F238E27FC236}">
              <a16:creationId xmlns:a16="http://schemas.microsoft.com/office/drawing/2014/main" id="{FC84C8C8-7D65-4E88-B525-8B755E6B82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2" name="TextBox 2249">
          <a:extLst>
            <a:ext uri="{FF2B5EF4-FFF2-40B4-BE49-F238E27FC236}">
              <a16:creationId xmlns:a16="http://schemas.microsoft.com/office/drawing/2014/main" id="{C079B147-D326-4CD4-9416-75366433C2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3" name="TextBox 2250">
          <a:extLst>
            <a:ext uri="{FF2B5EF4-FFF2-40B4-BE49-F238E27FC236}">
              <a16:creationId xmlns:a16="http://schemas.microsoft.com/office/drawing/2014/main" id="{39DF7D22-BC1A-4DE6-BF33-8A21FB7821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4" name="TextBox 2251">
          <a:extLst>
            <a:ext uri="{FF2B5EF4-FFF2-40B4-BE49-F238E27FC236}">
              <a16:creationId xmlns:a16="http://schemas.microsoft.com/office/drawing/2014/main" id="{BF7BE652-042B-4474-AE74-A0CF08F95A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5" name="TextBox 2252">
          <a:extLst>
            <a:ext uri="{FF2B5EF4-FFF2-40B4-BE49-F238E27FC236}">
              <a16:creationId xmlns:a16="http://schemas.microsoft.com/office/drawing/2014/main" id="{1D303AE5-E11C-4337-B5A2-66F98D8578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6" name="TextBox 13">
          <a:extLst>
            <a:ext uri="{FF2B5EF4-FFF2-40B4-BE49-F238E27FC236}">
              <a16:creationId xmlns:a16="http://schemas.microsoft.com/office/drawing/2014/main" id="{0397D801-334F-4604-B22E-D94BB6E2DE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7" name="TextBox 14">
          <a:extLst>
            <a:ext uri="{FF2B5EF4-FFF2-40B4-BE49-F238E27FC236}">
              <a16:creationId xmlns:a16="http://schemas.microsoft.com/office/drawing/2014/main" id="{CE41BF9E-A2A1-4580-992F-117803F5B7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8" name="TextBox 2255">
          <a:extLst>
            <a:ext uri="{FF2B5EF4-FFF2-40B4-BE49-F238E27FC236}">
              <a16:creationId xmlns:a16="http://schemas.microsoft.com/office/drawing/2014/main" id="{78EAE224-4068-4FAB-976D-D3EA6D5445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69" name="TextBox 2256">
          <a:extLst>
            <a:ext uri="{FF2B5EF4-FFF2-40B4-BE49-F238E27FC236}">
              <a16:creationId xmlns:a16="http://schemas.microsoft.com/office/drawing/2014/main" id="{39E66051-4873-43D7-9EA4-F453E1440C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0" name="TextBox 2257">
          <a:extLst>
            <a:ext uri="{FF2B5EF4-FFF2-40B4-BE49-F238E27FC236}">
              <a16:creationId xmlns:a16="http://schemas.microsoft.com/office/drawing/2014/main" id="{B5421B2A-0591-4A31-988B-F6BC3751EB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1" name="TextBox 2258">
          <a:extLst>
            <a:ext uri="{FF2B5EF4-FFF2-40B4-BE49-F238E27FC236}">
              <a16:creationId xmlns:a16="http://schemas.microsoft.com/office/drawing/2014/main" id="{710067A9-C29A-428C-BE01-5A71AFE5DF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2" name="TextBox 15">
          <a:extLst>
            <a:ext uri="{FF2B5EF4-FFF2-40B4-BE49-F238E27FC236}">
              <a16:creationId xmlns:a16="http://schemas.microsoft.com/office/drawing/2014/main" id="{EA4CBC9E-B588-4447-9534-E0C6F07992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3" name="TextBox 16">
          <a:extLst>
            <a:ext uri="{FF2B5EF4-FFF2-40B4-BE49-F238E27FC236}">
              <a16:creationId xmlns:a16="http://schemas.microsoft.com/office/drawing/2014/main" id="{9A5F3BF7-13C4-4D11-B0FE-C5A9D5414A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4" name="TextBox 17">
          <a:extLst>
            <a:ext uri="{FF2B5EF4-FFF2-40B4-BE49-F238E27FC236}">
              <a16:creationId xmlns:a16="http://schemas.microsoft.com/office/drawing/2014/main" id="{55F3118F-DFF5-4DE6-9FCC-6D912988F6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5" name="TextBox 18">
          <a:extLst>
            <a:ext uri="{FF2B5EF4-FFF2-40B4-BE49-F238E27FC236}">
              <a16:creationId xmlns:a16="http://schemas.microsoft.com/office/drawing/2014/main" id="{6C8CCE78-63AC-41F3-A578-F52040C158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6" name="TextBox 2263">
          <a:extLst>
            <a:ext uri="{FF2B5EF4-FFF2-40B4-BE49-F238E27FC236}">
              <a16:creationId xmlns:a16="http://schemas.microsoft.com/office/drawing/2014/main" id="{915A4DBA-6B28-422F-A680-1034758744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7" name="TextBox 2264">
          <a:extLst>
            <a:ext uri="{FF2B5EF4-FFF2-40B4-BE49-F238E27FC236}">
              <a16:creationId xmlns:a16="http://schemas.microsoft.com/office/drawing/2014/main" id="{53692678-1B52-4DE6-838C-EA320A88BA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8" name="TextBox 1">
          <a:extLst>
            <a:ext uri="{FF2B5EF4-FFF2-40B4-BE49-F238E27FC236}">
              <a16:creationId xmlns:a16="http://schemas.microsoft.com/office/drawing/2014/main" id="{E55762A3-8111-46DB-A84C-9D80640A70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79" name="TextBox 3">
          <a:extLst>
            <a:ext uri="{FF2B5EF4-FFF2-40B4-BE49-F238E27FC236}">
              <a16:creationId xmlns:a16="http://schemas.microsoft.com/office/drawing/2014/main" id="{997F3188-65A4-4B41-B644-577A16299E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0" name="TextBox 2267">
          <a:extLst>
            <a:ext uri="{FF2B5EF4-FFF2-40B4-BE49-F238E27FC236}">
              <a16:creationId xmlns:a16="http://schemas.microsoft.com/office/drawing/2014/main" id="{EC28575B-DD23-4083-87B4-19BC695CEE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1" name="TextBox 2268">
          <a:extLst>
            <a:ext uri="{FF2B5EF4-FFF2-40B4-BE49-F238E27FC236}">
              <a16:creationId xmlns:a16="http://schemas.microsoft.com/office/drawing/2014/main" id="{0CA7043E-5954-4E6B-9F93-B15D3C8AA1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2" name="TextBox 2269">
          <a:extLst>
            <a:ext uri="{FF2B5EF4-FFF2-40B4-BE49-F238E27FC236}">
              <a16:creationId xmlns:a16="http://schemas.microsoft.com/office/drawing/2014/main" id="{0781FBC4-8105-4EC2-8273-93B4B9E123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3" name="TextBox 2270">
          <a:extLst>
            <a:ext uri="{FF2B5EF4-FFF2-40B4-BE49-F238E27FC236}">
              <a16:creationId xmlns:a16="http://schemas.microsoft.com/office/drawing/2014/main" id="{A49F1DD3-7C84-4D4B-B01E-83628073B0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4" name="TextBox 2271">
          <a:extLst>
            <a:ext uri="{FF2B5EF4-FFF2-40B4-BE49-F238E27FC236}">
              <a16:creationId xmlns:a16="http://schemas.microsoft.com/office/drawing/2014/main" id="{4CAF55D3-3123-4C1D-B2AB-7DCC9D0FBB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5" name="TextBox 2272">
          <a:extLst>
            <a:ext uri="{FF2B5EF4-FFF2-40B4-BE49-F238E27FC236}">
              <a16:creationId xmlns:a16="http://schemas.microsoft.com/office/drawing/2014/main" id="{B3426035-D92F-494F-B484-84B0594CFC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6" name="TextBox 2273">
          <a:extLst>
            <a:ext uri="{FF2B5EF4-FFF2-40B4-BE49-F238E27FC236}">
              <a16:creationId xmlns:a16="http://schemas.microsoft.com/office/drawing/2014/main" id="{88788354-FBA1-48EA-B400-8434B6C0FD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7" name="TextBox 2274">
          <a:extLst>
            <a:ext uri="{FF2B5EF4-FFF2-40B4-BE49-F238E27FC236}">
              <a16:creationId xmlns:a16="http://schemas.microsoft.com/office/drawing/2014/main" id="{F91C621F-3834-4726-97EC-C4BA3CB2C7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8" name="TextBox 2275">
          <a:extLst>
            <a:ext uri="{FF2B5EF4-FFF2-40B4-BE49-F238E27FC236}">
              <a16:creationId xmlns:a16="http://schemas.microsoft.com/office/drawing/2014/main" id="{18AFE7BF-C0DE-4772-AFE1-C071AFD8C9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89" name="TextBox 2276">
          <a:extLst>
            <a:ext uri="{FF2B5EF4-FFF2-40B4-BE49-F238E27FC236}">
              <a16:creationId xmlns:a16="http://schemas.microsoft.com/office/drawing/2014/main" id="{70AD94C5-3F15-464C-962C-DECF20299A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0" name="TextBox 13">
          <a:extLst>
            <a:ext uri="{FF2B5EF4-FFF2-40B4-BE49-F238E27FC236}">
              <a16:creationId xmlns:a16="http://schemas.microsoft.com/office/drawing/2014/main" id="{3A76301B-CBEB-4D2C-91FF-9B3C247CEA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1" name="TextBox 14">
          <a:extLst>
            <a:ext uri="{FF2B5EF4-FFF2-40B4-BE49-F238E27FC236}">
              <a16:creationId xmlns:a16="http://schemas.microsoft.com/office/drawing/2014/main" id="{FC160102-FA0F-45CE-8BB7-AE00C55502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2" name="TextBox 2279">
          <a:extLst>
            <a:ext uri="{FF2B5EF4-FFF2-40B4-BE49-F238E27FC236}">
              <a16:creationId xmlns:a16="http://schemas.microsoft.com/office/drawing/2014/main" id="{11F1F44E-4FC1-4CD2-B37F-7F63B1D64E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3" name="TextBox 2280">
          <a:extLst>
            <a:ext uri="{FF2B5EF4-FFF2-40B4-BE49-F238E27FC236}">
              <a16:creationId xmlns:a16="http://schemas.microsoft.com/office/drawing/2014/main" id="{9B6685D2-DCCD-4235-B61C-5A5ECC0AAE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4" name="TextBox 2281">
          <a:extLst>
            <a:ext uri="{FF2B5EF4-FFF2-40B4-BE49-F238E27FC236}">
              <a16:creationId xmlns:a16="http://schemas.microsoft.com/office/drawing/2014/main" id="{1EBF81D6-4284-4CAF-A3F7-67956F6B4F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5" name="TextBox 2282">
          <a:extLst>
            <a:ext uri="{FF2B5EF4-FFF2-40B4-BE49-F238E27FC236}">
              <a16:creationId xmlns:a16="http://schemas.microsoft.com/office/drawing/2014/main" id="{F2BC16E2-4141-4928-A923-173A049454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6" name="TextBox 15">
          <a:extLst>
            <a:ext uri="{FF2B5EF4-FFF2-40B4-BE49-F238E27FC236}">
              <a16:creationId xmlns:a16="http://schemas.microsoft.com/office/drawing/2014/main" id="{C8F06AA2-8EDF-4D9C-9F22-3CBAB9E6B6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7" name="TextBox 16">
          <a:extLst>
            <a:ext uri="{FF2B5EF4-FFF2-40B4-BE49-F238E27FC236}">
              <a16:creationId xmlns:a16="http://schemas.microsoft.com/office/drawing/2014/main" id="{C2996EDF-6282-49B3-85E2-5DAFBD3D85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8" name="TextBox 17">
          <a:extLst>
            <a:ext uri="{FF2B5EF4-FFF2-40B4-BE49-F238E27FC236}">
              <a16:creationId xmlns:a16="http://schemas.microsoft.com/office/drawing/2014/main" id="{71C33D1D-ED02-469E-AF80-BDDB565A43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699" name="TextBox 18">
          <a:extLst>
            <a:ext uri="{FF2B5EF4-FFF2-40B4-BE49-F238E27FC236}">
              <a16:creationId xmlns:a16="http://schemas.microsoft.com/office/drawing/2014/main" id="{E1917070-CF04-47FE-96D8-411FE5AE71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0" name="TextBox 2287">
          <a:extLst>
            <a:ext uri="{FF2B5EF4-FFF2-40B4-BE49-F238E27FC236}">
              <a16:creationId xmlns:a16="http://schemas.microsoft.com/office/drawing/2014/main" id="{5BBE34C4-4BE6-4423-8D12-B4C644267A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1" name="TextBox 2288">
          <a:extLst>
            <a:ext uri="{FF2B5EF4-FFF2-40B4-BE49-F238E27FC236}">
              <a16:creationId xmlns:a16="http://schemas.microsoft.com/office/drawing/2014/main" id="{23D32CBF-C5FA-43AB-8536-56CAC766A13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2" name="TextBox 1">
          <a:extLst>
            <a:ext uri="{FF2B5EF4-FFF2-40B4-BE49-F238E27FC236}">
              <a16:creationId xmlns:a16="http://schemas.microsoft.com/office/drawing/2014/main" id="{F17E12A0-FE04-4129-8159-C69E3F6D53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3" name="TextBox 3">
          <a:extLst>
            <a:ext uri="{FF2B5EF4-FFF2-40B4-BE49-F238E27FC236}">
              <a16:creationId xmlns:a16="http://schemas.microsoft.com/office/drawing/2014/main" id="{367653E3-B18E-4C7B-A039-C7D49A254D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4" name="TextBox 2291">
          <a:extLst>
            <a:ext uri="{FF2B5EF4-FFF2-40B4-BE49-F238E27FC236}">
              <a16:creationId xmlns:a16="http://schemas.microsoft.com/office/drawing/2014/main" id="{E59870BC-06D6-49C6-B253-E78EAE76CA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5" name="TextBox 2292">
          <a:extLst>
            <a:ext uri="{FF2B5EF4-FFF2-40B4-BE49-F238E27FC236}">
              <a16:creationId xmlns:a16="http://schemas.microsoft.com/office/drawing/2014/main" id="{39A7AC74-A9CA-4E48-9141-0C7143D0A03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6" name="TextBox 2293">
          <a:extLst>
            <a:ext uri="{FF2B5EF4-FFF2-40B4-BE49-F238E27FC236}">
              <a16:creationId xmlns:a16="http://schemas.microsoft.com/office/drawing/2014/main" id="{FDE09A5B-CE22-4C9C-A91D-FA9F82FEBC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7" name="TextBox 2294">
          <a:extLst>
            <a:ext uri="{FF2B5EF4-FFF2-40B4-BE49-F238E27FC236}">
              <a16:creationId xmlns:a16="http://schemas.microsoft.com/office/drawing/2014/main" id="{39FF672C-01EF-4E03-86EC-0B07E90EF5E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8" name="TextBox 2295">
          <a:extLst>
            <a:ext uri="{FF2B5EF4-FFF2-40B4-BE49-F238E27FC236}">
              <a16:creationId xmlns:a16="http://schemas.microsoft.com/office/drawing/2014/main" id="{FA1DA950-F740-4151-B998-1CA458D266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09" name="TextBox 2296">
          <a:extLst>
            <a:ext uri="{FF2B5EF4-FFF2-40B4-BE49-F238E27FC236}">
              <a16:creationId xmlns:a16="http://schemas.microsoft.com/office/drawing/2014/main" id="{BE87ADC3-DA50-4334-8D93-30B06A6C381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0" name="TextBox 2297">
          <a:extLst>
            <a:ext uri="{FF2B5EF4-FFF2-40B4-BE49-F238E27FC236}">
              <a16:creationId xmlns:a16="http://schemas.microsoft.com/office/drawing/2014/main" id="{76EE90D8-064C-45D8-9FBC-7DA1DCC3BF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1" name="TextBox 2298">
          <a:extLst>
            <a:ext uri="{FF2B5EF4-FFF2-40B4-BE49-F238E27FC236}">
              <a16:creationId xmlns:a16="http://schemas.microsoft.com/office/drawing/2014/main" id="{C3627859-9308-436A-986C-2481E1E292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2" name="TextBox 2299">
          <a:extLst>
            <a:ext uri="{FF2B5EF4-FFF2-40B4-BE49-F238E27FC236}">
              <a16:creationId xmlns:a16="http://schemas.microsoft.com/office/drawing/2014/main" id="{BA5CEE7E-315B-4344-BE6A-089619497B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3" name="TextBox 2300">
          <a:extLst>
            <a:ext uri="{FF2B5EF4-FFF2-40B4-BE49-F238E27FC236}">
              <a16:creationId xmlns:a16="http://schemas.microsoft.com/office/drawing/2014/main" id="{B3843CA6-E77C-4FE5-827C-CECF2C0235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4" name="TextBox 13">
          <a:extLst>
            <a:ext uri="{FF2B5EF4-FFF2-40B4-BE49-F238E27FC236}">
              <a16:creationId xmlns:a16="http://schemas.microsoft.com/office/drawing/2014/main" id="{027FE543-94CD-4B76-BBB7-81FEE9A716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5" name="TextBox 14">
          <a:extLst>
            <a:ext uri="{FF2B5EF4-FFF2-40B4-BE49-F238E27FC236}">
              <a16:creationId xmlns:a16="http://schemas.microsoft.com/office/drawing/2014/main" id="{C5941ACD-8B12-4D3B-B3C5-A19CD5608E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6" name="TextBox 2303">
          <a:extLst>
            <a:ext uri="{FF2B5EF4-FFF2-40B4-BE49-F238E27FC236}">
              <a16:creationId xmlns:a16="http://schemas.microsoft.com/office/drawing/2014/main" id="{C7358310-C28C-44D8-BE00-9B0C32D18C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7" name="TextBox 2304">
          <a:extLst>
            <a:ext uri="{FF2B5EF4-FFF2-40B4-BE49-F238E27FC236}">
              <a16:creationId xmlns:a16="http://schemas.microsoft.com/office/drawing/2014/main" id="{C8BA1E37-D96C-4B61-8104-04BE3ED209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8" name="TextBox 2305">
          <a:extLst>
            <a:ext uri="{FF2B5EF4-FFF2-40B4-BE49-F238E27FC236}">
              <a16:creationId xmlns:a16="http://schemas.microsoft.com/office/drawing/2014/main" id="{4EC6F0C5-6DB3-43E4-A933-10479FCBF12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19" name="TextBox 2306">
          <a:extLst>
            <a:ext uri="{FF2B5EF4-FFF2-40B4-BE49-F238E27FC236}">
              <a16:creationId xmlns:a16="http://schemas.microsoft.com/office/drawing/2014/main" id="{83BDD33A-7F7D-4041-872E-D022F293AD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0" name="TextBox 15">
          <a:extLst>
            <a:ext uri="{FF2B5EF4-FFF2-40B4-BE49-F238E27FC236}">
              <a16:creationId xmlns:a16="http://schemas.microsoft.com/office/drawing/2014/main" id="{6FBDBEEB-53E5-40FE-9C63-355B231974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1" name="TextBox 16">
          <a:extLst>
            <a:ext uri="{FF2B5EF4-FFF2-40B4-BE49-F238E27FC236}">
              <a16:creationId xmlns:a16="http://schemas.microsoft.com/office/drawing/2014/main" id="{D6FFB12E-8275-48DB-8EEB-A747F3949F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2" name="TextBox 17">
          <a:extLst>
            <a:ext uri="{FF2B5EF4-FFF2-40B4-BE49-F238E27FC236}">
              <a16:creationId xmlns:a16="http://schemas.microsoft.com/office/drawing/2014/main" id="{9D911F51-5992-4AD7-9C65-937C316DFC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3" name="TextBox 18">
          <a:extLst>
            <a:ext uri="{FF2B5EF4-FFF2-40B4-BE49-F238E27FC236}">
              <a16:creationId xmlns:a16="http://schemas.microsoft.com/office/drawing/2014/main" id="{93F80DAF-9320-4478-8110-2876AB1687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4" name="TextBox 2311">
          <a:extLst>
            <a:ext uri="{FF2B5EF4-FFF2-40B4-BE49-F238E27FC236}">
              <a16:creationId xmlns:a16="http://schemas.microsoft.com/office/drawing/2014/main" id="{5B35F87B-F5D5-4AB6-91BE-68F89038B8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5" name="TextBox 2312">
          <a:extLst>
            <a:ext uri="{FF2B5EF4-FFF2-40B4-BE49-F238E27FC236}">
              <a16:creationId xmlns:a16="http://schemas.microsoft.com/office/drawing/2014/main" id="{1AB5133E-B4D2-4D48-9D12-1D6AF25242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6" name="TextBox 1">
          <a:extLst>
            <a:ext uri="{FF2B5EF4-FFF2-40B4-BE49-F238E27FC236}">
              <a16:creationId xmlns:a16="http://schemas.microsoft.com/office/drawing/2014/main" id="{A9F920A0-C3C3-4D1F-9D0E-0B7C10CB9E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7" name="TextBox 3">
          <a:extLst>
            <a:ext uri="{FF2B5EF4-FFF2-40B4-BE49-F238E27FC236}">
              <a16:creationId xmlns:a16="http://schemas.microsoft.com/office/drawing/2014/main" id="{B3610DA8-4C4D-4C91-BE7B-7CA148D682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8" name="TextBox 2315">
          <a:extLst>
            <a:ext uri="{FF2B5EF4-FFF2-40B4-BE49-F238E27FC236}">
              <a16:creationId xmlns:a16="http://schemas.microsoft.com/office/drawing/2014/main" id="{553FB6C2-70D0-4BCE-AB9E-E008F39D27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29" name="TextBox 2316">
          <a:extLst>
            <a:ext uri="{FF2B5EF4-FFF2-40B4-BE49-F238E27FC236}">
              <a16:creationId xmlns:a16="http://schemas.microsoft.com/office/drawing/2014/main" id="{27EBD9CA-D1AC-49FA-B531-BFEDC18B97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0" name="TextBox 2317">
          <a:extLst>
            <a:ext uri="{FF2B5EF4-FFF2-40B4-BE49-F238E27FC236}">
              <a16:creationId xmlns:a16="http://schemas.microsoft.com/office/drawing/2014/main" id="{C0074C3C-93D7-4F1F-917F-A2032D507E0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1" name="TextBox 2318">
          <a:extLst>
            <a:ext uri="{FF2B5EF4-FFF2-40B4-BE49-F238E27FC236}">
              <a16:creationId xmlns:a16="http://schemas.microsoft.com/office/drawing/2014/main" id="{DC4652BB-9957-4530-B43B-82D040F92A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2" name="TextBox 2319">
          <a:extLst>
            <a:ext uri="{FF2B5EF4-FFF2-40B4-BE49-F238E27FC236}">
              <a16:creationId xmlns:a16="http://schemas.microsoft.com/office/drawing/2014/main" id="{D6FCD069-4426-4039-89A0-42DF8E6E5A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3" name="TextBox 2320">
          <a:extLst>
            <a:ext uri="{FF2B5EF4-FFF2-40B4-BE49-F238E27FC236}">
              <a16:creationId xmlns:a16="http://schemas.microsoft.com/office/drawing/2014/main" id="{FA96D46C-88A7-4EBE-A085-F4C0E95E80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4" name="TextBox 2321">
          <a:extLst>
            <a:ext uri="{FF2B5EF4-FFF2-40B4-BE49-F238E27FC236}">
              <a16:creationId xmlns:a16="http://schemas.microsoft.com/office/drawing/2014/main" id="{C968B11F-2372-4B02-A236-F3E461C327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5" name="TextBox 2322">
          <a:extLst>
            <a:ext uri="{FF2B5EF4-FFF2-40B4-BE49-F238E27FC236}">
              <a16:creationId xmlns:a16="http://schemas.microsoft.com/office/drawing/2014/main" id="{DC6537A3-F166-43CD-966B-484E8240A2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6" name="TextBox 2323">
          <a:extLst>
            <a:ext uri="{FF2B5EF4-FFF2-40B4-BE49-F238E27FC236}">
              <a16:creationId xmlns:a16="http://schemas.microsoft.com/office/drawing/2014/main" id="{27AFAFDC-C03A-499E-BCC3-3D801BE36D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7" name="TextBox 2324">
          <a:extLst>
            <a:ext uri="{FF2B5EF4-FFF2-40B4-BE49-F238E27FC236}">
              <a16:creationId xmlns:a16="http://schemas.microsoft.com/office/drawing/2014/main" id="{F17FA861-530E-4518-9E15-BF8018AD14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8" name="TextBox 13">
          <a:extLst>
            <a:ext uri="{FF2B5EF4-FFF2-40B4-BE49-F238E27FC236}">
              <a16:creationId xmlns:a16="http://schemas.microsoft.com/office/drawing/2014/main" id="{74E0AB6F-2CB9-4BA0-927F-C11E153C6F2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39" name="TextBox 14">
          <a:extLst>
            <a:ext uri="{FF2B5EF4-FFF2-40B4-BE49-F238E27FC236}">
              <a16:creationId xmlns:a16="http://schemas.microsoft.com/office/drawing/2014/main" id="{C4EFF7A0-1BB3-43F6-97C3-77F6F3904C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0" name="TextBox 2327">
          <a:extLst>
            <a:ext uri="{FF2B5EF4-FFF2-40B4-BE49-F238E27FC236}">
              <a16:creationId xmlns:a16="http://schemas.microsoft.com/office/drawing/2014/main" id="{3D1C8489-B8C9-443D-B476-727FD057F7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1" name="TextBox 2328">
          <a:extLst>
            <a:ext uri="{FF2B5EF4-FFF2-40B4-BE49-F238E27FC236}">
              <a16:creationId xmlns:a16="http://schemas.microsoft.com/office/drawing/2014/main" id="{77DD5CAA-11CF-4DD2-A0EB-28FD50DEDF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2" name="TextBox 2329">
          <a:extLst>
            <a:ext uri="{FF2B5EF4-FFF2-40B4-BE49-F238E27FC236}">
              <a16:creationId xmlns:a16="http://schemas.microsoft.com/office/drawing/2014/main" id="{9FD5E730-2D4B-48EF-99CD-6B00D0D39B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3" name="TextBox 2330">
          <a:extLst>
            <a:ext uri="{FF2B5EF4-FFF2-40B4-BE49-F238E27FC236}">
              <a16:creationId xmlns:a16="http://schemas.microsoft.com/office/drawing/2014/main" id="{B80D73A9-7A32-42B2-A6DA-9EA6DD3F7E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4" name="TextBox 15">
          <a:extLst>
            <a:ext uri="{FF2B5EF4-FFF2-40B4-BE49-F238E27FC236}">
              <a16:creationId xmlns:a16="http://schemas.microsoft.com/office/drawing/2014/main" id="{6BC46160-ABA5-4517-A32F-851347AC0E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5" name="TextBox 16">
          <a:extLst>
            <a:ext uri="{FF2B5EF4-FFF2-40B4-BE49-F238E27FC236}">
              <a16:creationId xmlns:a16="http://schemas.microsoft.com/office/drawing/2014/main" id="{3523E8B9-BBA2-43DD-A83A-4DE1064D45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6" name="TextBox 17">
          <a:extLst>
            <a:ext uri="{FF2B5EF4-FFF2-40B4-BE49-F238E27FC236}">
              <a16:creationId xmlns:a16="http://schemas.microsoft.com/office/drawing/2014/main" id="{B2FB530E-A823-4920-82A8-A65427DB3A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7" name="TextBox 18">
          <a:extLst>
            <a:ext uri="{FF2B5EF4-FFF2-40B4-BE49-F238E27FC236}">
              <a16:creationId xmlns:a16="http://schemas.microsoft.com/office/drawing/2014/main" id="{9870C768-753A-4C2D-ADFB-FD68836CA6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8" name="TextBox 2335">
          <a:extLst>
            <a:ext uri="{FF2B5EF4-FFF2-40B4-BE49-F238E27FC236}">
              <a16:creationId xmlns:a16="http://schemas.microsoft.com/office/drawing/2014/main" id="{A3FB2D38-5882-458F-BD09-367CEC2B16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49" name="TextBox 2336">
          <a:extLst>
            <a:ext uri="{FF2B5EF4-FFF2-40B4-BE49-F238E27FC236}">
              <a16:creationId xmlns:a16="http://schemas.microsoft.com/office/drawing/2014/main" id="{84AC2A9B-A600-435A-BDF4-8762DC1775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0" name="TextBox 1">
          <a:extLst>
            <a:ext uri="{FF2B5EF4-FFF2-40B4-BE49-F238E27FC236}">
              <a16:creationId xmlns:a16="http://schemas.microsoft.com/office/drawing/2014/main" id="{5FFA8550-AFCC-4152-89AA-196E5FB6C9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1" name="TextBox 3">
          <a:extLst>
            <a:ext uri="{FF2B5EF4-FFF2-40B4-BE49-F238E27FC236}">
              <a16:creationId xmlns:a16="http://schemas.microsoft.com/office/drawing/2014/main" id="{F063B13B-50F4-4444-8570-7D844EFBB5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2" name="TextBox 2339">
          <a:extLst>
            <a:ext uri="{FF2B5EF4-FFF2-40B4-BE49-F238E27FC236}">
              <a16:creationId xmlns:a16="http://schemas.microsoft.com/office/drawing/2014/main" id="{B6F394FC-7A37-4E8F-9BD5-3B91F22485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3" name="TextBox 2340">
          <a:extLst>
            <a:ext uri="{FF2B5EF4-FFF2-40B4-BE49-F238E27FC236}">
              <a16:creationId xmlns:a16="http://schemas.microsoft.com/office/drawing/2014/main" id="{45520F88-91A3-444C-8244-2E7B503938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4" name="TextBox 2341">
          <a:extLst>
            <a:ext uri="{FF2B5EF4-FFF2-40B4-BE49-F238E27FC236}">
              <a16:creationId xmlns:a16="http://schemas.microsoft.com/office/drawing/2014/main" id="{1564F535-622E-4757-9F3F-23C9E685B1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5" name="TextBox 2342">
          <a:extLst>
            <a:ext uri="{FF2B5EF4-FFF2-40B4-BE49-F238E27FC236}">
              <a16:creationId xmlns:a16="http://schemas.microsoft.com/office/drawing/2014/main" id="{40429A5A-BA95-4175-AC37-D55CDB5B6F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6" name="TextBox 2343">
          <a:extLst>
            <a:ext uri="{FF2B5EF4-FFF2-40B4-BE49-F238E27FC236}">
              <a16:creationId xmlns:a16="http://schemas.microsoft.com/office/drawing/2014/main" id="{948869ED-CA9B-45E6-885C-D10B274751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7" name="TextBox 2344">
          <a:extLst>
            <a:ext uri="{FF2B5EF4-FFF2-40B4-BE49-F238E27FC236}">
              <a16:creationId xmlns:a16="http://schemas.microsoft.com/office/drawing/2014/main" id="{1EE20605-87EA-49D7-9D79-54BED8C328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8" name="TextBox 2345">
          <a:extLst>
            <a:ext uri="{FF2B5EF4-FFF2-40B4-BE49-F238E27FC236}">
              <a16:creationId xmlns:a16="http://schemas.microsoft.com/office/drawing/2014/main" id="{DDDC906A-DE4C-4DD9-9426-52FD15E597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59" name="TextBox 2346">
          <a:extLst>
            <a:ext uri="{FF2B5EF4-FFF2-40B4-BE49-F238E27FC236}">
              <a16:creationId xmlns:a16="http://schemas.microsoft.com/office/drawing/2014/main" id="{5AB0D942-8EAE-436E-B56F-FC282B381F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0" name="TextBox 2347">
          <a:extLst>
            <a:ext uri="{FF2B5EF4-FFF2-40B4-BE49-F238E27FC236}">
              <a16:creationId xmlns:a16="http://schemas.microsoft.com/office/drawing/2014/main" id="{68851CD1-D72D-4886-93E8-F5F1A6C6F9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1" name="TextBox 2348">
          <a:extLst>
            <a:ext uri="{FF2B5EF4-FFF2-40B4-BE49-F238E27FC236}">
              <a16:creationId xmlns:a16="http://schemas.microsoft.com/office/drawing/2014/main" id="{92FD6DAE-0E2C-4E61-BB54-96D967FE01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2" name="TextBox 13">
          <a:extLst>
            <a:ext uri="{FF2B5EF4-FFF2-40B4-BE49-F238E27FC236}">
              <a16:creationId xmlns:a16="http://schemas.microsoft.com/office/drawing/2014/main" id="{025FDF3D-6372-4F5A-9AF9-C931C5679D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3" name="TextBox 14">
          <a:extLst>
            <a:ext uri="{FF2B5EF4-FFF2-40B4-BE49-F238E27FC236}">
              <a16:creationId xmlns:a16="http://schemas.microsoft.com/office/drawing/2014/main" id="{4B8AB8B9-D511-4F3E-8B33-29C5964029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4" name="TextBox 2351">
          <a:extLst>
            <a:ext uri="{FF2B5EF4-FFF2-40B4-BE49-F238E27FC236}">
              <a16:creationId xmlns:a16="http://schemas.microsoft.com/office/drawing/2014/main" id="{77B63989-6AD3-4460-B18C-E84A7E991D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5" name="TextBox 2352">
          <a:extLst>
            <a:ext uri="{FF2B5EF4-FFF2-40B4-BE49-F238E27FC236}">
              <a16:creationId xmlns:a16="http://schemas.microsoft.com/office/drawing/2014/main" id="{5494A096-FDDA-441C-9C05-B013DAC24F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6" name="TextBox 2353">
          <a:extLst>
            <a:ext uri="{FF2B5EF4-FFF2-40B4-BE49-F238E27FC236}">
              <a16:creationId xmlns:a16="http://schemas.microsoft.com/office/drawing/2014/main" id="{D9BD05A0-5369-40E2-B19C-127A27F24A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7" name="TextBox 2354">
          <a:extLst>
            <a:ext uri="{FF2B5EF4-FFF2-40B4-BE49-F238E27FC236}">
              <a16:creationId xmlns:a16="http://schemas.microsoft.com/office/drawing/2014/main" id="{27C1A42D-0475-4761-BCBB-AE0F2896C30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8" name="TextBox 15">
          <a:extLst>
            <a:ext uri="{FF2B5EF4-FFF2-40B4-BE49-F238E27FC236}">
              <a16:creationId xmlns:a16="http://schemas.microsoft.com/office/drawing/2014/main" id="{2833E407-538A-46B6-874C-197E1919D7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69" name="TextBox 16">
          <a:extLst>
            <a:ext uri="{FF2B5EF4-FFF2-40B4-BE49-F238E27FC236}">
              <a16:creationId xmlns:a16="http://schemas.microsoft.com/office/drawing/2014/main" id="{EB113057-E453-4D44-9E84-2D3A67691F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0" name="TextBox 17">
          <a:extLst>
            <a:ext uri="{FF2B5EF4-FFF2-40B4-BE49-F238E27FC236}">
              <a16:creationId xmlns:a16="http://schemas.microsoft.com/office/drawing/2014/main" id="{9D62044C-184F-4EA1-AA00-8E5CE043AD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1" name="TextBox 18">
          <a:extLst>
            <a:ext uri="{FF2B5EF4-FFF2-40B4-BE49-F238E27FC236}">
              <a16:creationId xmlns:a16="http://schemas.microsoft.com/office/drawing/2014/main" id="{BB96F641-3C48-431D-A2FC-609BB477BA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2" name="TextBox 2359">
          <a:extLst>
            <a:ext uri="{FF2B5EF4-FFF2-40B4-BE49-F238E27FC236}">
              <a16:creationId xmlns:a16="http://schemas.microsoft.com/office/drawing/2014/main" id="{E050BC3E-155B-4782-9B51-25CC56DEC3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3" name="TextBox 2360">
          <a:extLst>
            <a:ext uri="{FF2B5EF4-FFF2-40B4-BE49-F238E27FC236}">
              <a16:creationId xmlns:a16="http://schemas.microsoft.com/office/drawing/2014/main" id="{7A94629C-AD41-4C65-81B9-42F7DE37FA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4" name="TextBox 1">
          <a:extLst>
            <a:ext uri="{FF2B5EF4-FFF2-40B4-BE49-F238E27FC236}">
              <a16:creationId xmlns:a16="http://schemas.microsoft.com/office/drawing/2014/main" id="{1A7B383B-482D-4B4A-907B-9514198015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5" name="TextBox 3">
          <a:extLst>
            <a:ext uri="{FF2B5EF4-FFF2-40B4-BE49-F238E27FC236}">
              <a16:creationId xmlns:a16="http://schemas.microsoft.com/office/drawing/2014/main" id="{44F49A7C-BC4B-4CCA-9115-E87304FE0F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6" name="TextBox 2363">
          <a:extLst>
            <a:ext uri="{FF2B5EF4-FFF2-40B4-BE49-F238E27FC236}">
              <a16:creationId xmlns:a16="http://schemas.microsoft.com/office/drawing/2014/main" id="{85A4EB90-0059-4B89-BB78-83B6F1F9EF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7" name="TextBox 2364">
          <a:extLst>
            <a:ext uri="{FF2B5EF4-FFF2-40B4-BE49-F238E27FC236}">
              <a16:creationId xmlns:a16="http://schemas.microsoft.com/office/drawing/2014/main" id="{91E089BD-CC3E-4D30-85F7-3CB8E6D5A6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8" name="TextBox 2365">
          <a:extLst>
            <a:ext uri="{FF2B5EF4-FFF2-40B4-BE49-F238E27FC236}">
              <a16:creationId xmlns:a16="http://schemas.microsoft.com/office/drawing/2014/main" id="{56ABF6C0-A9F6-444F-A6AF-389B689AF8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79" name="TextBox 2366">
          <a:extLst>
            <a:ext uri="{FF2B5EF4-FFF2-40B4-BE49-F238E27FC236}">
              <a16:creationId xmlns:a16="http://schemas.microsoft.com/office/drawing/2014/main" id="{739E7C90-C29D-4118-831C-0906ED64D1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0" name="TextBox 2367">
          <a:extLst>
            <a:ext uri="{FF2B5EF4-FFF2-40B4-BE49-F238E27FC236}">
              <a16:creationId xmlns:a16="http://schemas.microsoft.com/office/drawing/2014/main" id="{8CB3DF03-144F-4EDC-A1AC-2030EA3A89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1" name="TextBox 2368">
          <a:extLst>
            <a:ext uri="{FF2B5EF4-FFF2-40B4-BE49-F238E27FC236}">
              <a16:creationId xmlns:a16="http://schemas.microsoft.com/office/drawing/2014/main" id="{BA07CC32-CBCC-44CA-8DD7-9507443AC22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2" name="TextBox 2369">
          <a:extLst>
            <a:ext uri="{FF2B5EF4-FFF2-40B4-BE49-F238E27FC236}">
              <a16:creationId xmlns:a16="http://schemas.microsoft.com/office/drawing/2014/main" id="{8CA8BAEC-994B-4D0A-93A7-8EFA0D1F10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3" name="TextBox 2370">
          <a:extLst>
            <a:ext uri="{FF2B5EF4-FFF2-40B4-BE49-F238E27FC236}">
              <a16:creationId xmlns:a16="http://schemas.microsoft.com/office/drawing/2014/main" id="{74188577-659B-4F4B-9476-576B2975A4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4" name="TextBox 2371">
          <a:extLst>
            <a:ext uri="{FF2B5EF4-FFF2-40B4-BE49-F238E27FC236}">
              <a16:creationId xmlns:a16="http://schemas.microsoft.com/office/drawing/2014/main" id="{87A7D569-9B06-455F-86FB-8566017EF1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5" name="TextBox 2372">
          <a:extLst>
            <a:ext uri="{FF2B5EF4-FFF2-40B4-BE49-F238E27FC236}">
              <a16:creationId xmlns:a16="http://schemas.microsoft.com/office/drawing/2014/main" id="{511A282F-C57D-42C0-8C72-50B11D938A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6" name="TextBox 13">
          <a:extLst>
            <a:ext uri="{FF2B5EF4-FFF2-40B4-BE49-F238E27FC236}">
              <a16:creationId xmlns:a16="http://schemas.microsoft.com/office/drawing/2014/main" id="{8BA9B77C-7C5E-4B5E-833F-6FA94A5FBA0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7" name="TextBox 14">
          <a:extLst>
            <a:ext uri="{FF2B5EF4-FFF2-40B4-BE49-F238E27FC236}">
              <a16:creationId xmlns:a16="http://schemas.microsoft.com/office/drawing/2014/main" id="{B4CBD8A3-68C6-415A-BC74-B0D5EAD46C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8" name="TextBox 2375">
          <a:extLst>
            <a:ext uri="{FF2B5EF4-FFF2-40B4-BE49-F238E27FC236}">
              <a16:creationId xmlns:a16="http://schemas.microsoft.com/office/drawing/2014/main" id="{8AF138B6-92EE-4316-918A-7249C8488C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89" name="TextBox 2376">
          <a:extLst>
            <a:ext uri="{FF2B5EF4-FFF2-40B4-BE49-F238E27FC236}">
              <a16:creationId xmlns:a16="http://schemas.microsoft.com/office/drawing/2014/main" id="{6B87A5C3-1BBA-436E-B972-88076F4B1D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0" name="TextBox 2377">
          <a:extLst>
            <a:ext uri="{FF2B5EF4-FFF2-40B4-BE49-F238E27FC236}">
              <a16:creationId xmlns:a16="http://schemas.microsoft.com/office/drawing/2014/main" id="{A9367DC9-67D2-4261-9434-2BA2D76A9F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1" name="TextBox 2378">
          <a:extLst>
            <a:ext uri="{FF2B5EF4-FFF2-40B4-BE49-F238E27FC236}">
              <a16:creationId xmlns:a16="http://schemas.microsoft.com/office/drawing/2014/main" id="{B4FD12D9-3971-4453-BFC1-E10571AFB0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2" name="TextBox 15">
          <a:extLst>
            <a:ext uri="{FF2B5EF4-FFF2-40B4-BE49-F238E27FC236}">
              <a16:creationId xmlns:a16="http://schemas.microsoft.com/office/drawing/2014/main" id="{864F461D-2AF7-4EE2-B599-DBFF409EAD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3" name="TextBox 16">
          <a:extLst>
            <a:ext uri="{FF2B5EF4-FFF2-40B4-BE49-F238E27FC236}">
              <a16:creationId xmlns:a16="http://schemas.microsoft.com/office/drawing/2014/main" id="{39278801-7E1A-4D21-BCDF-AA5DBCDAA9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4" name="TextBox 17">
          <a:extLst>
            <a:ext uri="{FF2B5EF4-FFF2-40B4-BE49-F238E27FC236}">
              <a16:creationId xmlns:a16="http://schemas.microsoft.com/office/drawing/2014/main" id="{A51B5E50-44AA-4758-A3CF-F2F04F1736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5" name="TextBox 18">
          <a:extLst>
            <a:ext uri="{FF2B5EF4-FFF2-40B4-BE49-F238E27FC236}">
              <a16:creationId xmlns:a16="http://schemas.microsoft.com/office/drawing/2014/main" id="{C8DD02A3-1BD3-4F37-A575-85B483AAEB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6" name="TextBox 2383">
          <a:extLst>
            <a:ext uri="{FF2B5EF4-FFF2-40B4-BE49-F238E27FC236}">
              <a16:creationId xmlns:a16="http://schemas.microsoft.com/office/drawing/2014/main" id="{C1969EE8-24C3-46F5-ABCA-B06F5B078E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7" name="TextBox 2384">
          <a:extLst>
            <a:ext uri="{FF2B5EF4-FFF2-40B4-BE49-F238E27FC236}">
              <a16:creationId xmlns:a16="http://schemas.microsoft.com/office/drawing/2014/main" id="{A967B137-6472-4AD4-8833-CC38A4D591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8" name="TextBox 1">
          <a:extLst>
            <a:ext uri="{FF2B5EF4-FFF2-40B4-BE49-F238E27FC236}">
              <a16:creationId xmlns:a16="http://schemas.microsoft.com/office/drawing/2014/main" id="{4E3F1CC2-853D-4AB5-9AE3-79BE52A252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799" name="TextBox 3">
          <a:extLst>
            <a:ext uri="{FF2B5EF4-FFF2-40B4-BE49-F238E27FC236}">
              <a16:creationId xmlns:a16="http://schemas.microsoft.com/office/drawing/2014/main" id="{3E88BE94-908D-4FC3-8AF9-341448734A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0" name="TextBox 2387">
          <a:extLst>
            <a:ext uri="{FF2B5EF4-FFF2-40B4-BE49-F238E27FC236}">
              <a16:creationId xmlns:a16="http://schemas.microsoft.com/office/drawing/2014/main" id="{9B2822C2-F95C-4E8A-9F3C-31B77F78D3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1" name="TextBox 2388">
          <a:extLst>
            <a:ext uri="{FF2B5EF4-FFF2-40B4-BE49-F238E27FC236}">
              <a16:creationId xmlns:a16="http://schemas.microsoft.com/office/drawing/2014/main" id="{09E3D872-7148-4AF8-BB07-01E1452A5E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2" name="TextBox 2389">
          <a:extLst>
            <a:ext uri="{FF2B5EF4-FFF2-40B4-BE49-F238E27FC236}">
              <a16:creationId xmlns:a16="http://schemas.microsoft.com/office/drawing/2014/main" id="{09BC2F80-28E2-47D7-B4C6-8D60BF1FA5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3" name="TextBox 2390">
          <a:extLst>
            <a:ext uri="{FF2B5EF4-FFF2-40B4-BE49-F238E27FC236}">
              <a16:creationId xmlns:a16="http://schemas.microsoft.com/office/drawing/2014/main" id="{59060A8F-25F6-42B6-81C9-C1F7EA61B8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4" name="TextBox 2391">
          <a:extLst>
            <a:ext uri="{FF2B5EF4-FFF2-40B4-BE49-F238E27FC236}">
              <a16:creationId xmlns:a16="http://schemas.microsoft.com/office/drawing/2014/main" id="{6641B6B3-7DA1-44F6-801C-7D8D26E2FA0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5" name="TextBox 2392">
          <a:extLst>
            <a:ext uri="{FF2B5EF4-FFF2-40B4-BE49-F238E27FC236}">
              <a16:creationId xmlns:a16="http://schemas.microsoft.com/office/drawing/2014/main" id="{596F6272-75C1-48B0-A074-35355A8EAA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6" name="TextBox 2393">
          <a:extLst>
            <a:ext uri="{FF2B5EF4-FFF2-40B4-BE49-F238E27FC236}">
              <a16:creationId xmlns:a16="http://schemas.microsoft.com/office/drawing/2014/main" id="{48C10917-AB1C-4B9C-A4AA-4D169F4D80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7" name="TextBox 2394">
          <a:extLst>
            <a:ext uri="{FF2B5EF4-FFF2-40B4-BE49-F238E27FC236}">
              <a16:creationId xmlns:a16="http://schemas.microsoft.com/office/drawing/2014/main" id="{2B271126-41F7-4749-A1DB-9ECEF0D46D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8" name="TextBox 2395">
          <a:extLst>
            <a:ext uri="{FF2B5EF4-FFF2-40B4-BE49-F238E27FC236}">
              <a16:creationId xmlns:a16="http://schemas.microsoft.com/office/drawing/2014/main" id="{23CF3617-1EFD-4C53-B4C3-A24E4A4805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09" name="TextBox 2396">
          <a:extLst>
            <a:ext uri="{FF2B5EF4-FFF2-40B4-BE49-F238E27FC236}">
              <a16:creationId xmlns:a16="http://schemas.microsoft.com/office/drawing/2014/main" id="{7BE23A2A-1C5C-4097-A13E-17727214B4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0" name="TextBox 13">
          <a:extLst>
            <a:ext uri="{FF2B5EF4-FFF2-40B4-BE49-F238E27FC236}">
              <a16:creationId xmlns:a16="http://schemas.microsoft.com/office/drawing/2014/main" id="{543056B6-A20F-4C0E-B64C-96E7F24C52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1" name="TextBox 14">
          <a:extLst>
            <a:ext uri="{FF2B5EF4-FFF2-40B4-BE49-F238E27FC236}">
              <a16:creationId xmlns:a16="http://schemas.microsoft.com/office/drawing/2014/main" id="{89215C9C-6AF5-42CA-86C4-85BB224815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2" name="TextBox 2399">
          <a:extLst>
            <a:ext uri="{FF2B5EF4-FFF2-40B4-BE49-F238E27FC236}">
              <a16:creationId xmlns:a16="http://schemas.microsoft.com/office/drawing/2014/main" id="{9935AFEA-16C0-4EDA-B8FF-1DFE1F973A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3" name="TextBox 2400">
          <a:extLst>
            <a:ext uri="{FF2B5EF4-FFF2-40B4-BE49-F238E27FC236}">
              <a16:creationId xmlns:a16="http://schemas.microsoft.com/office/drawing/2014/main" id="{45DFA7E1-99C5-4591-AD12-6239EEA497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4" name="TextBox 2401">
          <a:extLst>
            <a:ext uri="{FF2B5EF4-FFF2-40B4-BE49-F238E27FC236}">
              <a16:creationId xmlns:a16="http://schemas.microsoft.com/office/drawing/2014/main" id="{C7E83979-96BF-404B-BDE0-0216E3F868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5" name="TextBox 2402">
          <a:extLst>
            <a:ext uri="{FF2B5EF4-FFF2-40B4-BE49-F238E27FC236}">
              <a16:creationId xmlns:a16="http://schemas.microsoft.com/office/drawing/2014/main" id="{947313D7-5184-41B5-A719-263A7E98400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6" name="TextBox 15">
          <a:extLst>
            <a:ext uri="{FF2B5EF4-FFF2-40B4-BE49-F238E27FC236}">
              <a16:creationId xmlns:a16="http://schemas.microsoft.com/office/drawing/2014/main" id="{26191DE6-B8AB-4F19-8884-9FD5BA5457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7" name="TextBox 16">
          <a:extLst>
            <a:ext uri="{FF2B5EF4-FFF2-40B4-BE49-F238E27FC236}">
              <a16:creationId xmlns:a16="http://schemas.microsoft.com/office/drawing/2014/main" id="{706A7D7E-B47D-4E5A-B198-A50103C8CD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8" name="TextBox 17">
          <a:extLst>
            <a:ext uri="{FF2B5EF4-FFF2-40B4-BE49-F238E27FC236}">
              <a16:creationId xmlns:a16="http://schemas.microsoft.com/office/drawing/2014/main" id="{181EBC0C-B41E-4E79-B4CE-CF17A933B5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19" name="TextBox 18">
          <a:extLst>
            <a:ext uri="{FF2B5EF4-FFF2-40B4-BE49-F238E27FC236}">
              <a16:creationId xmlns:a16="http://schemas.microsoft.com/office/drawing/2014/main" id="{1D883E1D-D316-4BB8-96E5-1A0DFE7E64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0" name="TextBox 2407">
          <a:extLst>
            <a:ext uri="{FF2B5EF4-FFF2-40B4-BE49-F238E27FC236}">
              <a16:creationId xmlns:a16="http://schemas.microsoft.com/office/drawing/2014/main" id="{ACB9EEFD-56F7-458D-9F3F-3384A6668E7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1" name="TextBox 2408">
          <a:extLst>
            <a:ext uri="{FF2B5EF4-FFF2-40B4-BE49-F238E27FC236}">
              <a16:creationId xmlns:a16="http://schemas.microsoft.com/office/drawing/2014/main" id="{A90FFAE6-093D-4529-B4DF-C768C66C42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2" name="TextBox 1">
          <a:extLst>
            <a:ext uri="{FF2B5EF4-FFF2-40B4-BE49-F238E27FC236}">
              <a16:creationId xmlns:a16="http://schemas.microsoft.com/office/drawing/2014/main" id="{B42323B0-5869-4F7C-ABE6-8BCF451DA9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3" name="TextBox 3">
          <a:extLst>
            <a:ext uri="{FF2B5EF4-FFF2-40B4-BE49-F238E27FC236}">
              <a16:creationId xmlns:a16="http://schemas.microsoft.com/office/drawing/2014/main" id="{0C0F388D-080D-42C2-B5FC-3B5A1488DB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4" name="TextBox 2411">
          <a:extLst>
            <a:ext uri="{FF2B5EF4-FFF2-40B4-BE49-F238E27FC236}">
              <a16:creationId xmlns:a16="http://schemas.microsoft.com/office/drawing/2014/main" id="{7ABA43E7-C806-4934-982D-226F6C64FA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5" name="TextBox 2412">
          <a:extLst>
            <a:ext uri="{FF2B5EF4-FFF2-40B4-BE49-F238E27FC236}">
              <a16:creationId xmlns:a16="http://schemas.microsoft.com/office/drawing/2014/main" id="{5DB7DB3C-9C5E-4E88-A1EA-3ACF67310C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6" name="TextBox 2413">
          <a:extLst>
            <a:ext uri="{FF2B5EF4-FFF2-40B4-BE49-F238E27FC236}">
              <a16:creationId xmlns:a16="http://schemas.microsoft.com/office/drawing/2014/main" id="{1C0B0839-7848-4B59-84A1-32FF0EDA74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7" name="TextBox 2414">
          <a:extLst>
            <a:ext uri="{FF2B5EF4-FFF2-40B4-BE49-F238E27FC236}">
              <a16:creationId xmlns:a16="http://schemas.microsoft.com/office/drawing/2014/main" id="{2B30557D-D658-4C30-A6A5-DF2B5F4EB2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8" name="TextBox 2415">
          <a:extLst>
            <a:ext uri="{FF2B5EF4-FFF2-40B4-BE49-F238E27FC236}">
              <a16:creationId xmlns:a16="http://schemas.microsoft.com/office/drawing/2014/main" id="{FD59ECF9-E05C-4829-9E43-7E747C69C1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29" name="TextBox 2416">
          <a:extLst>
            <a:ext uri="{FF2B5EF4-FFF2-40B4-BE49-F238E27FC236}">
              <a16:creationId xmlns:a16="http://schemas.microsoft.com/office/drawing/2014/main" id="{A4CBD718-6870-422B-8DC6-4CE20739A9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0" name="TextBox 2417">
          <a:extLst>
            <a:ext uri="{FF2B5EF4-FFF2-40B4-BE49-F238E27FC236}">
              <a16:creationId xmlns:a16="http://schemas.microsoft.com/office/drawing/2014/main" id="{31450A06-5476-45FD-8F32-4BB25AC493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1" name="TextBox 2418">
          <a:extLst>
            <a:ext uri="{FF2B5EF4-FFF2-40B4-BE49-F238E27FC236}">
              <a16:creationId xmlns:a16="http://schemas.microsoft.com/office/drawing/2014/main" id="{BBF178F4-E10E-4E28-81FD-9009867122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2" name="TextBox 2419">
          <a:extLst>
            <a:ext uri="{FF2B5EF4-FFF2-40B4-BE49-F238E27FC236}">
              <a16:creationId xmlns:a16="http://schemas.microsoft.com/office/drawing/2014/main" id="{7DD5540B-6F72-4623-B2D9-013C570C46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3" name="TextBox 2420">
          <a:extLst>
            <a:ext uri="{FF2B5EF4-FFF2-40B4-BE49-F238E27FC236}">
              <a16:creationId xmlns:a16="http://schemas.microsoft.com/office/drawing/2014/main" id="{A886D1EE-05CE-4525-8C8B-9CF82FFD67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4" name="TextBox 13">
          <a:extLst>
            <a:ext uri="{FF2B5EF4-FFF2-40B4-BE49-F238E27FC236}">
              <a16:creationId xmlns:a16="http://schemas.microsoft.com/office/drawing/2014/main" id="{844159EE-B159-43A7-9EC8-5AC0B02E5A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5" name="TextBox 14">
          <a:extLst>
            <a:ext uri="{FF2B5EF4-FFF2-40B4-BE49-F238E27FC236}">
              <a16:creationId xmlns:a16="http://schemas.microsoft.com/office/drawing/2014/main" id="{571B626D-3EEB-41DB-9D58-843A457C70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6" name="TextBox 2423">
          <a:extLst>
            <a:ext uri="{FF2B5EF4-FFF2-40B4-BE49-F238E27FC236}">
              <a16:creationId xmlns:a16="http://schemas.microsoft.com/office/drawing/2014/main" id="{729CDFF8-6ACC-4BAF-99BC-F39312BE33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7" name="TextBox 2424">
          <a:extLst>
            <a:ext uri="{FF2B5EF4-FFF2-40B4-BE49-F238E27FC236}">
              <a16:creationId xmlns:a16="http://schemas.microsoft.com/office/drawing/2014/main" id="{678ADE5E-85E1-455D-82BB-23D36B25E0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8" name="TextBox 2425">
          <a:extLst>
            <a:ext uri="{FF2B5EF4-FFF2-40B4-BE49-F238E27FC236}">
              <a16:creationId xmlns:a16="http://schemas.microsoft.com/office/drawing/2014/main" id="{C0237B92-BB0C-48B7-A036-65C42F4E2F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39" name="TextBox 2426">
          <a:extLst>
            <a:ext uri="{FF2B5EF4-FFF2-40B4-BE49-F238E27FC236}">
              <a16:creationId xmlns:a16="http://schemas.microsoft.com/office/drawing/2014/main" id="{EAF3196C-D72B-4B8D-B1E8-01FBC78271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0" name="TextBox 15">
          <a:extLst>
            <a:ext uri="{FF2B5EF4-FFF2-40B4-BE49-F238E27FC236}">
              <a16:creationId xmlns:a16="http://schemas.microsoft.com/office/drawing/2014/main" id="{4A03E843-7C46-4884-BA87-D48BA9C297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1" name="TextBox 16">
          <a:extLst>
            <a:ext uri="{FF2B5EF4-FFF2-40B4-BE49-F238E27FC236}">
              <a16:creationId xmlns:a16="http://schemas.microsoft.com/office/drawing/2014/main" id="{E82FA6B6-991D-4AD1-9435-EE3FF115B1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2" name="TextBox 17">
          <a:extLst>
            <a:ext uri="{FF2B5EF4-FFF2-40B4-BE49-F238E27FC236}">
              <a16:creationId xmlns:a16="http://schemas.microsoft.com/office/drawing/2014/main" id="{62C61209-0067-412A-8524-7CE4850F0D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3" name="TextBox 18">
          <a:extLst>
            <a:ext uri="{FF2B5EF4-FFF2-40B4-BE49-F238E27FC236}">
              <a16:creationId xmlns:a16="http://schemas.microsoft.com/office/drawing/2014/main" id="{41D8AA8B-AAEE-46B9-8912-6DEFB6AEEA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4" name="TextBox 2431">
          <a:extLst>
            <a:ext uri="{FF2B5EF4-FFF2-40B4-BE49-F238E27FC236}">
              <a16:creationId xmlns:a16="http://schemas.microsoft.com/office/drawing/2014/main" id="{A6A5E3A5-7F9F-4F8D-B853-B1055CC41F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5" name="TextBox 2432">
          <a:extLst>
            <a:ext uri="{FF2B5EF4-FFF2-40B4-BE49-F238E27FC236}">
              <a16:creationId xmlns:a16="http://schemas.microsoft.com/office/drawing/2014/main" id="{C1C91ABA-EBA3-45BD-8CA6-109CD5A8EF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6" name="TextBox 1">
          <a:extLst>
            <a:ext uri="{FF2B5EF4-FFF2-40B4-BE49-F238E27FC236}">
              <a16:creationId xmlns:a16="http://schemas.microsoft.com/office/drawing/2014/main" id="{5B35F360-7AF4-4376-8578-042B9DBE63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7" name="TextBox 3">
          <a:extLst>
            <a:ext uri="{FF2B5EF4-FFF2-40B4-BE49-F238E27FC236}">
              <a16:creationId xmlns:a16="http://schemas.microsoft.com/office/drawing/2014/main" id="{058AF4D8-6CB8-4DE5-BF65-CDAB8E22DD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8" name="TextBox 2435">
          <a:extLst>
            <a:ext uri="{FF2B5EF4-FFF2-40B4-BE49-F238E27FC236}">
              <a16:creationId xmlns:a16="http://schemas.microsoft.com/office/drawing/2014/main" id="{D27AC9E6-FD32-42F3-B7FD-5689071124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49" name="TextBox 2436">
          <a:extLst>
            <a:ext uri="{FF2B5EF4-FFF2-40B4-BE49-F238E27FC236}">
              <a16:creationId xmlns:a16="http://schemas.microsoft.com/office/drawing/2014/main" id="{D72B58AA-8A90-4A6F-84E3-17E50647662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0" name="TextBox 2437">
          <a:extLst>
            <a:ext uri="{FF2B5EF4-FFF2-40B4-BE49-F238E27FC236}">
              <a16:creationId xmlns:a16="http://schemas.microsoft.com/office/drawing/2014/main" id="{81235A06-E941-4891-B6A0-35B67CC5F8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1" name="TextBox 2438">
          <a:extLst>
            <a:ext uri="{FF2B5EF4-FFF2-40B4-BE49-F238E27FC236}">
              <a16:creationId xmlns:a16="http://schemas.microsoft.com/office/drawing/2014/main" id="{23547914-B1C4-4A3D-9E8D-3970EB6830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2" name="TextBox 2439">
          <a:extLst>
            <a:ext uri="{FF2B5EF4-FFF2-40B4-BE49-F238E27FC236}">
              <a16:creationId xmlns:a16="http://schemas.microsoft.com/office/drawing/2014/main" id="{E146D084-9526-4644-AB53-248C1E42FE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3" name="TextBox 2440">
          <a:extLst>
            <a:ext uri="{FF2B5EF4-FFF2-40B4-BE49-F238E27FC236}">
              <a16:creationId xmlns:a16="http://schemas.microsoft.com/office/drawing/2014/main" id="{ADC7A663-43F3-411D-A784-A301167ECF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4" name="TextBox 2441">
          <a:extLst>
            <a:ext uri="{FF2B5EF4-FFF2-40B4-BE49-F238E27FC236}">
              <a16:creationId xmlns:a16="http://schemas.microsoft.com/office/drawing/2014/main" id="{01746B45-10C5-401B-8868-BBB70F97F5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5" name="TextBox 2442">
          <a:extLst>
            <a:ext uri="{FF2B5EF4-FFF2-40B4-BE49-F238E27FC236}">
              <a16:creationId xmlns:a16="http://schemas.microsoft.com/office/drawing/2014/main" id="{F8010300-9894-4405-A3F8-FB6F8975478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6" name="TextBox 2443">
          <a:extLst>
            <a:ext uri="{FF2B5EF4-FFF2-40B4-BE49-F238E27FC236}">
              <a16:creationId xmlns:a16="http://schemas.microsoft.com/office/drawing/2014/main" id="{C964D2E8-C1B8-48AD-B57C-001703701A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7" name="TextBox 2444">
          <a:extLst>
            <a:ext uri="{FF2B5EF4-FFF2-40B4-BE49-F238E27FC236}">
              <a16:creationId xmlns:a16="http://schemas.microsoft.com/office/drawing/2014/main" id="{834A34D9-BEEC-4C47-AB69-F188404288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8" name="TextBox 13">
          <a:extLst>
            <a:ext uri="{FF2B5EF4-FFF2-40B4-BE49-F238E27FC236}">
              <a16:creationId xmlns:a16="http://schemas.microsoft.com/office/drawing/2014/main" id="{83B54918-4C20-4E28-A11F-F229D60CFC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59" name="TextBox 14">
          <a:extLst>
            <a:ext uri="{FF2B5EF4-FFF2-40B4-BE49-F238E27FC236}">
              <a16:creationId xmlns:a16="http://schemas.microsoft.com/office/drawing/2014/main" id="{38DC63A6-E0D3-460A-9B63-2F29A3C027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0" name="TextBox 2447">
          <a:extLst>
            <a:ext uri="{FF2B5EF4-FFF2-40B4-BE49-F238E27FC236}">
              <a16:creationId xmlns:a16="http://schemas.microsoft.com/office/drawing/2014/main" id="{A74A0482-A2FB-49C7-93BE-C8F0129586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1" name="TextBox 2448">
          <a:extLst>
            <a:ext uri="{FF2B5EF4-FFF2-40B4-BE49-F238E27FC236}">
              <a16:creationId xmlns:a16="http://schemas.microsoft.com/office/drawing/2014/main" id="{4E757A0B-B85B-4CC5-8519-8F75C03056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2" name="TextBox 2449">
          <a:extLst>
            <a:ext uri="{FF2B5EF4-FFF2-40B4-BE49-F238E27FC236}">
              <a16:creationId xmlns:a16="http://schemas.microsoft.com/office/drawing/2014/main" id="{86EF502C-3201-4378-ABCD-493652902B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3" name="TextBox 2450">
          <a:extLst>
            <a:ext uri="{FF2B5EF4-FFF2-40B4-BE49-F238E27FC236}">
              <a16:creationId xmlns:a16="http://schemas.microsoft.com/office/drawing/2014/main" id="{2F25A4E5-5A60-424A-A857-810C868ADE2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4" name="TextBox 15">
          <a:extLst>
            <a:ext uri="{FF2B5EF4-FFF2-40B4-BE49-F238E27FC236}">
              <a16:creationId xmlns:a16="http://schemas.microsoft.com/office/drawing/2014/main" id="{08C490D8-43FD-436F-B031-1F7FD09872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5" name="TextBox 16">
          <a:extLst>
            <a:ext uri="{FF2B5EF4-FFF2-40B4-BE49-F238E27FC236}">
              <a16:creationId xmlns:a16="http://schemas.microsoft.com/office/drawing/2014/main" id="{4BEB2715-4622-4358-906F-711BCCE6BA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6" name="TextBox 17">
          <a:extLst>
            <a:ext uri="{FF2B5EF4-FFF2-40B4-BE49-F238E27FC236}">
              <a16:creationId xmlns:a16="http://schemas.microsoft.com/office/drawing/2014/main" id="{318A6C4C-859B-41FC-BD94-5875493107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7" name="TextBox 18">
          <a:extLst>
            <a:ext uri="{FF2B5EF4-FFF2-40B4-BE49-F238E27FC236}">
              <a16:creationId xmlns:a16="http://schemas.microsoft.com/office/drawing/2014/main" id="{E40E395A-501D-4801-B0DE-AC0EF3AD80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8" name="TextBox 2455">
          <a:extLst>
            <a:ext uri="{FF2B5EF4-FFF2-40B4-BE49-F238E27FC236}">
              <a16:creationId xmlns:a16="http://schemas.microsoft.com/office/drawing/2014/main" id="{62C077CA-BF2C-49E4-A064-18B89E94D3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69" name="TextBox 2456">
          <a:extLst>
            <a:ext uri="{FF2B5EF4-FFF2-40B4-BE49-F238E27FC236}">
              <a16:creationId xmlns:a16="http://schemas.microsoft.com/office/drawing/2014/main" id="{E0B74894-66A1-4C2C-9AAF-8AB62396E6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0" name="TextBox 1">
          <a:extLst>
            <a:ext uri="{FF2B5EF4-FFF2-40B4-BE49-F238E27FC236}">
              <a16:creationId xmlns:a16="http://schemas.microsoft.com/office/drawing/2014/main" id="{1E964E70-4A03-4A70-9277-432F031810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1" name="TextBox 3">
          <a:extLst>
            <a:ext uri="{FF2B5EF4-FFF2-40B4-BE49-F238E27FC236}">
              <a16:creationId xmlns:a16="http://schemas.microsoft.com/office/drawing/2014/main" id="{12627CCD-FCD8-4FF7-8EB2-3FA4F6C590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2" name="TextBox 2459">
          <a:extLst>
            <a:ext uri="{FF2B5EF4-FFF2-40B4-BE49-F238E27FC236}">
              <a16:creationId xmlns:a16="http://schemas.microsoft.com/office/drawing/2014/main" id="{90C9D30F-F000-4478-8B01-799EAF2534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3" name="TextBox 2460">
          <a:extLst>
            <a:ext uri="{FF2B5EF4-FFF2-40B4-BE49-F238E27FC236}">
              <a16:creationId xmlns:a16="http://schemas.microsoft.com/office/drawing/2014/main" id="{C4A6E1C2-3F47-4D98-A3D8-E438508D3CD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4" name="TextBox 2461">
          <a:extLst>
            <a:ext uri="{FF2B5EF4-FFF2-40B4-BE49-F238E27FC236}">
              <a16:creationId xmlns:a16="http://schemas.microsoft.com/office/drawing/2014/main" id="{B7D99812-1630-4F50-8CF9-59CA4165BA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5" name="TextBox 2462">
          <a:extLst>
            <a:ext uri="{FF2B5EF4-FFF2-40B4-BE49-F238E27FC236}">
              <a16:creationId xmlns:a16="http://schemas.microsoft.com/office/drawing/2014/main" id="{9679257A-2F60-426B-A754-1A330D036A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6" name="TextBox 2463">
          <a:extLst>
            <a:ext uri="{FF2B5EF4-FFF2-40B4-BE49-F238E27FC236}">
              <a16:creationId xmlns:a16="http://schemas.microsoft.com/office/drawing/2014/main" id="{517EA88D-FF74-4D8A-A930-BD6EDEB1ED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7" name="TextBox 2464">
          <a:extLst>
            <a:ext uri="{FF2B5EF4-FFF2-40B4-BE49-F238E27FC236}">
              <a16:creationId xmlns:a16="http://schemas.microsoft.com/office/drawing/2014/main" id="{44AAED39-FADE-4140-9C36-4044EFA24D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8" name="TextBox 2465">
          <a:extLst>
            <a:ext uri="{FF2B5EF4-FFF2-40B4-BE49-F238E27FC236}">
              <a16:creationId xmlns:a16="http://schemas.microsoft.com/office/drawing/2014/main" id="{1D887E66-A2DE-4A0F-862B-1F8F7F088C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79" name="TextBox 2466">
          <a:extLst>
            <a:ext uri="{FF2B5EF4-FFF2-40B4-BE49-F238E27FC236}">
              <a16:creationId xmlns:a16="http://schemas.microsoft.com/office/drawing/2014/main" id="{BE05CEE6-D1AA-4CF6-AB87-4B38DE0467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0" name="TextBox 2467">
          <a:extLst>
            <a:ext uri="{FF2B5EF4-FFF2-40B4-BE49-F238E27FC236}">
              <a16:creationId xmlns:a16="http://schemas.microsoft.com/office/drawing/2014/main" id="{ADD10E52-19A4-4E39-AF53-28DCC1F001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1" name="TextBox 2468">
          <a:extLst>
            <a:ext uri="{FF2B5EF4-FFF2-40B4-BE49-F238E27FC236}">
              <a16:creationId xmlns:a16="http://schemas.microsoft.com/office/drawing/2014/main" id="{E0E5B411-48A9-4442-8D1C-A37BAD541D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2" name="TextBox 13">
          <a:extLst>
            <a:ext uri="{FF2B5EF4-FFF2-40B4-BE49-F238E27FC236}">
              <a16:creationId xmlns:a16="http://schemas.microsoft.com/office/drawing/2014/main" id="{0246A935-C55C-4C7F-9373-CA76015E9F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3" name="TextBox 14">
          <a:extLst>
            <a:ext uri="{FF2B5EF4-FFF2-40B4-BE49-F238E27FC236}">
              <a16:creationId xmlns:a16="http://schemas.microsoft.com/office/drawing/2014/main" id="{BC379E38-0AED-44EF-A626-081FE2C66A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4" name="TextBox 2471">
          <a:extLst>
            <a:ext uri="{FF2B5EF4-FFF2-40B4-BE49-F238E27FC236}">
              <a16:creationId xmlns:a16="http://schemas.microsoft.com/office/drawing/2014/main" id="{E5284E76-826C-4B00-B139-CCCEEFABD3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5" name="TextBox 2472">
          <a:extLst>
            <a:ext uri="{FF2B5EF4-FFF2-40B4-BE49-F238E27FC236}">
              <a16:creationId xmlns:a16="http://schemas.microsoft.com/office/drawing/2014/main" id="{6C5431C4-6615-4068-AD70-8A0FBB42C8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6" name="TextBox 2473">
          <a:extLst>
            <a:ext uri="{FF2B5EF4-FFF2-40B4-BE49-F238E27FC236}">
              <a16:creationId xmlns:a16="http://schemas.microsoft.com/office/drawing/2014/main" id="{A997FB59-722E-4E7B-9E80-17F3B32762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7" name="TextBox 2474">
          <a:extLst>
            <a:ext uri="{FF2B5EF4-FFF2-40B4-BE49-F238E27FC236}">
              <a16:creationId xmlns:a16="http://schemas.microsoft.com/office/drawing/2014/main" id="{8449364A-85F6-4AC3-A8B1-F64CC0D24E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8" name="TextBox 15">
          <a:extLst>
            <a:ext uri="{FF2B5EF4-FFF2-40B4-BE49-F238E27FC236}">
              <a16:creationId xmlns:a16="http://schemas.microsoft.com/office/drawing/2014/main" id="{50DEB5FC-E898-40B2-8B0B-5E1785B549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89" name="TextBox 16">
          <a:extLst>
            <a:ext uri="{FF2B5EF4-FFF2-40B4-BE49-F238E27FC236}">
              <a16:creationId xmlns:a16="http://schemas.microsoft.com/office/drawing/2014/main" id="{FA949DAD-C9F2-4365-9255-D14726CF7D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0" name="TextBox 17">
          <a:extLst>
            <a:ext uri="{FF2B5EF4-FFF2-40B4-BE49-F238E27FC236}">
              <a16:creationId xmlns:a16="http://schemas.microsoft.com/office/drawing/2014/main" id="{57EF1915-CE6F-4D65-A3EC-31E7A30967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1" name="TextBox 18">
          <a:extLst>
            <a:ext uri="{FF2B5EF4-FFF2-40B4-BE49-F238E27FC236}">
              <a16:creationId xmlns:a16="http://schemas.microsoft.com/office/drawing/2014/main" id="{757E6E92-BAE0-4B84-979F-7673361D21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2" name="TextBox 2479">
          <a:extLst>
            <a:ext uri="{FF2B5EF4-FFF2-40B4-BE49-F238E27FC236}">
              <a16:creationId xmlns:a16="http://schemas.microsoft.com/office/drawing/2014/main" id="{DC260C59-3E58-4A44-A302-75BE50107D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3" name="TextBox 2480">
          <a:extLst>
            <a:ext uri="{FF2B5EF4-FFF2-40B4-BE49-F238E27FC236}">
              <a16:creationId xmlns:a16="http://schemas.microsoft.com/office/drawing/2014/main" id="{AC75B8E7-3686-45B1-AE9F-4926A74654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4" name="TextBox 1">
          <a:extLst>
            <a:ext uri="{FF2B5EF4-FFF2-40B4-BE49-F238E27FC236}">
              <a16:creationId xmlns:a16="http://schemas.microsoft.com/office/drawing/2014/main" id="{9AEF231C-8363-40F6-9007-D54535F812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5" name="TextBox 3">
          <a:extLst>
            <a:ext uri="{FF2B5EF4-FFF2-40B4-BE49-F238E27FC236}">
              <a16:creationId xmlns:a16="http://schemas.microsoft.com/office/drawing/2014/main" id="{DEF37BD1-F13F-4F64-82F3-834F9A0E6E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6" name="TextBox 2483">
          <a:extLst>
            <a:ext uri="{FF2B5EF4-FFF2-40B4-BE49-F238E27FC236}">
              <a16:creationId xmlns:a16="http://schemas.microsoft.com/office/drawing/2014/main" id="{AD242885-E9B2-475A-9E68-8F7E5A83508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7" name="TextBox 2484">
          <a:extLst>
            <a:ext uri="{FF2B5EF4-FFF2-40B4-BE49-F238E27FC236}">
              <a16:creationId xmlns:a16="http://schemas.microsoft.com/office/drawing/2014/main" id="{97059885-E5DE-43A8-AE07-0929115C70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8" name="TextBox 2485">
          <a:extLst>
            <a:ext uri="{FF2B5EF4-FFF2-40B4-BE49-F238E27FC236}">
              <a16:creationId xmlns:a16="http://schemas.microsoft.com/office/drawing/2014/main" id="{E99E5DD5-414B-45A4-A8D9-B25361315C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899" name="TextBox 2486">
          <a:extLst>
            <a:ext uri="{FF2B5EF4-FFF2-40B4-BE49-F238E27FC236}">
              <a16:creationId xmlns:a16="http://schemas.microsoft.com/office/drawing/2014/main" id="{A5FACAF5-61E6-4610-AFBC-2C5A2C0BDE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0" name="TextBox 2487">
          <a:extLst>
            <a:ext uri="{FF2B5EF4-FFF2-40B4-BE49-F238E27FC236}">
              <a16:creationId xmlns:a16="http://schemas.microsoft.com/office/drawing/2014/main" id="{A7DA0EFD-4E44-4FE9-B1E3-40B8D5E62D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1" name="TextBox 2488">
          <a:extLst>
            <a:ext uri="{FF2B5EF4-FFF2-40B4-BE49-F238E27FC236}">
              <a16:creationId xmlns:a16="http://schemas.microsoft.com/office/drawing/2014/main" id="{55947C6D-987B-4E0F-A525-1AAC8EB3D90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2" name="TextBox 2489">
          <a:extLst>
            <a:ext uri="{FF2B5EF4-FFF2-40B4-BE49-F238E27FC236}">
              <a16:creationId xmlns:a16="http://schemas.microsoft.com/office/drawing/2014/main" id="{5E85161E-B8C0-4655-BB5C-D2EDECBBDE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3" name="TextBox 2490">
          <a:extLst>
            <a:ext uri="{FF2B5EF4-FFF2-40B4-BE49-F238E27FC236}">
              <a16:creationId xmlns:a16="http://schemas.microsoft.com/office/drawing/2014/main" id="{5D23398B-C081-4474-A668-16BB5C0180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4" name="TextBox 2491">
          <a:extLst>
            <a:ext uri="{FF2B5EF4-FFF2-40B4-BE49-F238E27FC236}">
              <a16:creationId xmlns:a16="http://schemas.microsoft.com/office/drawing/2014/main" id="{7AE9A918-5E32-4B81-B95D-F23CA93245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5" name="TextBox 2492">
          <a:extLst>
            <a:ext uri="{FF2B5EF4-FFF2-40B4-BE49-F238E27FC236}">
              <a16:creationId xmlns:a16="http://schemas.microsoft.com/office/drawing/2014/main" id="{9D0E2B4D-C9AC-49D4-B3C3-C53425BBC3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6" name="TextBox 13">
          <a:extLst>
            <a:ext uri="{FF2B5EF4-FFF2-40B4-BE49-F238E27FC236}">
              <a16:creationId xmlns:a16="http://schemas.microsoft.com/office/drawing/2014/main" id="{E056DA27-9E1E-4A95-9343-2D304557676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7" name="TextBox 14">
          <a:extLst>
            <a:ext uri="{FF2B5EF4-FFF2-40B4-BE49-F238E27FC236}">
              <a16:creationId xmlns:a16="http://schemas.microsoft.com/office/drawing/2014/main" id="{52BF0967-C937-48DC-B226-D9F09384C6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8" name="TextBox 2495">
          <a:extLst>
            <a:ext uri="{FF2B5EF4-FFF2-40B4-BE49-F238E27FC236}">
              <a16:creationId xmlns:a16="http://schemas.microsoft.com/office/drawing/2014/main" id="{0B001F8D-8454-4C57-AA53-D91BC82DCA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09" name="TextBox 2496">
          <a:extLst>
            <a:ext uri="{FF2B5EF4-FFF2-40B4-BE49-F238E27FC236}">
              <a16:creationId xmlns:a16="http://schemas.microsoft.com/office/drawing/2014/main" id="{DD82FE47-C9FA-421C-A80F-CFD61E5EA2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0" name="TextBox 2497">
          <a:extLst>
            <a:ext uri="{FF2B5EF4-FFF2-40B4-BE49-F238E27FC236}">
              <a16:creationId xmlns:a16="http://schemas.microsoft.com/office/drawing/2014/main" id="{9A21D796-4A72-4D9F-92EF-3893075938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1" name="TextBox 2498">
          <a:extLst>
            <a:ext uri="{FF2B5EF4-FFF2-40B4-BE49-F238E27FC236}">
              <a16:creationId xmlns:a16="http://schemas.microsoft.com/office/drawing/2014/main" id="{E451ABCB-5F41-49C4-A986-EFFE34B4AA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2" name="TextBox 15">
          <a:extLst>
            <a:ext uri="{FF2B5EF4-FFF2-40B4-BE49-F238E27FC236}">
              <a16:creationId xmlns:a16="http://schemas.microsoft.com/office/drawing/2014/main" id="{0781B5B5-D094-4F3B-BE29-44F3653225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3" name="TextBox 16">
          <a:extLst>
            <a:ext uri="{FF2B5EF4-FFF2-40B4-BE49-F238E27FC236}">
              <a16:creationId xmlns:a16="http://schemas.microsoft.com/office/drawing/2014/main" id="{EE7DBAE4-8375-4723-8E69-386DC307D3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4" name="TextBox 17">
          <a:extLst>
            <a:ext uri="{FF2B5EF4-FFF2-40B4-BE49-F238E27FC236}">
              <a16:creationId xmlns:a16="http://schemas.microsoft.com/office/drawing/2014/main" id="{E5BE0D89-40DC-442C-8F2C-F0F1C474EF1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5" name="TextBox 18">
          <a:extLst>
            <a:ext uri="{FF2B5EF4-FFF2-40B4-BE49-F238E27FC236}">
              <a16:creationId xmlns:a16="http://schemas.microsoft.com/office/drawing/2014/main" id="{E5C22CA3-8533-483D-8682-18DAE3A025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6" name="TextBox 2503">
          <a:extLst>
            <a:ext uri="{FF2B5EF4-FFF2-40B4-BE49-F238E27FC236}">
              <a16:creationId xmlns:a16="http://schemas.microsoft.com/office/drawing/2014/main" id="{1FE3658F-54BB-455D-8ECE-7A73E76557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7" name="TextBox 2504">
          <a:extLst>
            <a:ext uri="{FF2B5EF4-FFF2-40B4-BE49-F238E27FC236}">
              <a16:creationId xmlns:a16="http://schemas.microsoft.com/office/drawing/2014/main" id="{F6736936-16E5-4D5F-B186-08AD45A8F3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8" name="TextBox 1">
          <a:extLst>
            <a:ext uri="{FF2B5EF4-FFF2-40B4-BE49-F238E27FC236}">
              <a16:creationId xmlns:a16="http://schemas.microsoft.com/office/drawing/2014/main" id="{4FFB0061-1D6B-497E-86D9-37BAA87E0E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19" name="TextBox 3">
          <a:extLst>
            <a:ext uri="{FF2B5EF4-FFF2-40B4-BE49-F238E27FC236}">
              <a16:creationId xmlns:a16="http://schemas.microsoft.com/office/drawing/2014/main" id="{9C872781-BC1B-44DE-9E61-5CC36B3422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0" name="TextBox 2507">
          <a:extLst>
            <a:ext uri="{FF2B5EF4-FFF2-40B4-BE49-F238E27FC236}">
              <a16:creationId xmlns:a16="http://schemas.microsoft.com/office/drawing/2014/main" id="{4CA971EC-2704-4776-8263-FADDA9CD24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1" name="TextBox 2508">
          <a:extLst>
            <a:ext uri="{FF2B5EF4-FFF2-40B4-BE49-F238E27FC236}">
              <a16:creationId xmlns:a16="http://schemas.microsoft.com/office/drawing/2014/main" id="{29198C96-B579-4A25-9923-65F5AB6B77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2" name="TextBox 2509">
          <a:extLst>
            <a:ext uri="{FF2B5EF4-FFF2-40B4-BE49-F238E27FC236}">
              <a16:creationId xmlns:a16="http://schemas.microsoft.com/office/drawing/2014/main" id="{CC1C8BFA-7B7A-4892-BDCC-7A2010BECD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3" name="TextBox 2510">
          <a:extLst>
            <a:ext uri="{FF2B5EF4-FFF2-40B4-BE49-F238E27FC236}">
              <a16:creationId xmlns:a16="http://schemas.microsoft.com/office/drawing/2014/main" id="{27478571-76BE-45D4-87EA-C45050F435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4" name="TextBox 2511">
          <a:extLst>
            <a:ext uri="{FF2B5EF4-FFF2-40B4-BE49-F238E27FC236}">
              <a16:creationId xmlns:a16="http://schemas.microsoft.com/office/drawing/2014/main" id="{2CDB3EFE-6567-4C1D-8513-0C0BBB36C9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5" name="TextBox 2512">
          <a:extLst>
            <a:ext uri="{FF2B5EF4-FFF2-40B4-BE49-F238E27FC236}">
              <a16:creationId xmlns:a16="http://schemas.microsoft.com/office/drawing/2014/main" id="{C6E28802-30BE-4E23-BEA3-7175F8D7F7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6" name="TextBox 2513">
          <a:extLst>
            <a:ext uri="{FF2B5EF4-FFF2-40B4-BE49-F238E27FC236}">
              <a16:creationId xmlns:a16="http://schemas.microsoft.com/office/drawing/2014/main" id="{BDD841B8-9BCB-4681-855F-8D3EA5EF7F7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7" name="TextBox 2514">
          <a:extLst>
            <a:ext uri="{FF2B5EF4-FFF2-40B4-BE49-F238E27FC236}">
              <a16:creationId xmlns:a16="http://schemas.microsoft.com/office/drawing/2014/main" id="{D21628E0-68ED-4843-8010-8BB310BE477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8" name="TextBox 2515">
          <a:extLst>
            <a:ext uri="{FF2B5EF4-FFF2-40B4-BE49-F238E27FC236}">
              <a16:creationId xmlns:a16="http://schemas.microsoft.com/office/drawing/2014/main" id="{749DE166-C988-4580-84BE-596EB6767A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29" name="TextBox 2516">
          <a:extLst>
            <a:ext uri="{FF2B5EF4-FFF2-40B4-BE49-F238E27FC236}">
              <a16:creationId xmlns:a16="http://schemas.microsoft.com/office/drawing/2014/main" id="{EDE7D859-089A-4143-8FF7-3F3A4988E9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0" name="TextBox 13">
          <a:extLst>
            <a:ext uri="{FF2B5EF4-FFF2-40B4-BE49-F238E27FC236}">
              <a16:creationId xmlns:a16="http://schemas.microsoft.com/office/drawing/2014/main" id="{5788D527-DEDB-4E18-A051-F6D7F1A908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1" name="TextBox 14">
          <a:extLst>
            <a:ext uri="{FF2B5EF4-FFF2-40B4-BE49-F238E27FC236}">
              <a16:creationId xmlns:a16="http://schemas.microsoft.com/office/drawing/2014/main" id="{F5291FCC-53E4-46E1-B8B1-01392692BF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2" name="TextBox 2519">
          <a:extLst>
            <a:ext uri="{FF2B5EF4-FFF2-40B4-BE49-F238E27FC236}">
              <a16:creationId xmlns:a16="http://schemas.microsoft.com/office/drawing/2014/main" id="{737FFA0A-4580-4D86-A9DF-20B47D3DD6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3" name="TextBox 2520">
          <a:extLst>
            <a:ext uri="{FF2B5EF4-FFF2-40B4-BE49-F238E27FC236}">
              <a16:creationId xmlns:a16="http://schemas.microsoft.com/office/drawing/2014/main" id="{A2FA8C39-0F17-4EE9-89C3-DF52222C47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4" name="TextBox 2521">
          <a:extLst>
            <a:ext uri="{FF2B5EF4-FFF2-40B4-BE49-F238E27FC236}">
              <a16:creationId xmlns:a16="http://schemas.microsoft.com/office/drawing/2014/main" id="{BF0D5BC5-D297-4DF9-B35C-1846D15DC8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5" name="TextBox 2522">
          <a:extLst>
            <a:ext uri="{FF2B5EF4-FFF2-40B4-BE49-F238E27FC236}">
              <a16:creationId xmlns:a16="http://schemas.microsoft.com/office/drawing/2014/main" id="{0ABF35F3-7D55-4422-AFA3-24A87BC574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6" name="TextBox 15">
          <a:extLst>
            <a:ext uri="{FF2B5EF4-FFF2-40B4-BE49-F238E27FC236}">
              <a16:creationId xmlns:a16="http://schemas.microsoft.com/office/drawing/2014/main" id="{670E8F24-1AAF-4DF7-BAC0-E96ADC19EE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7" name="TextBox 16">
          <a:extLst>
            <a:ext uri="{FF2B5EF4-FFF2-40B4-BE49-F238E27FC236}">
              <a16:creationId xmlns:a16="http://schemas.microsoft.com/office/drawing/2014/main" id="{4DFD3BA2-373A-4B65-9F87-09F471EAE3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8" name="TextBox 17">
          <a:extLst>
            <a:ext uri="{FF2B5EF4-FFF2-40B4-BE49-F238E27FC236}">
              <a16:creationId xmlns:a16="http://schemas.microsoft.com/office/drawing/2014/main" id="{306A52FD-AF87-4847-A8A3-F92A0BEDBB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39" name="TextBox 18">
          <a:extLst>
            <a:ext uri="{FF2B5EF4-FFF2-40B4-BE49-F238E27FC236}">
              <a16:creationId xmlns:a16="http://schemas.microsoft.com/office/drawing/2014/main" id="{9A960CFB-0193-462C-BC12-34F7B706DD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0" name="TextBox 2527">
          <a:extLst>
            <a:ext uri="{FF2B5EF4-FFF2-40B4-BE49-F238E27FC236}">
              <a16:creationId xmlns:a16="http://schemas.microsoft.com/office/drawing/2014/main" id="{31DCA783-1B05-465E-8845-B1BAE09FFB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1" name="TextBox 2528">
          <a:extLst>
            <a:ext uri="{FF2B5EF4-FFF2-40B4-BE49-F238E27FC236}">
              <a16:creationId xmlns:a16="http://schemas.microsoft.com/office/drawing/2014/main" id="{40AA3D5A-AC13-43C9-A250-BD926C72D8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2" name="TextBox 1">
          <a:extLst>
            <a:ext uri="{FF2B5EF4-FFF2-40B4-BE49-F238E27FC236}">
              <a16:creationId xmlns:a16="http://schemas.microsoft.com/office/drawing/2014/main" id="{6D0AE65C-802D-4FA6-8BCB-8C445277D9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3" name="TextBox 3">
          <a:extLst>
            <a:ext uri="{FF2B5EF4-FFF2-40B4-BE49-F238E27FC236}">
              <a16:creationId xmlns:a16="http://schemas.microsoft.com/office/drawing/2014/main" id="{8F3A741D-7FA8-4AFA-9DC9-BE7D10A741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4" name="TextBox 2531">
          <a:extLst>
            <a:ext uri="{FF2B5EF4-FFF2-40B4-BE49-F238E27FC236}">
              <a16:creationId xmlns:a16="http://schemas.microsoft.com/office/drawing/2014/main" id="{CC0062B4-3218-42F6-B862-6E7CA18A2C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5" name="TextBox 2532">
          <a:extLst>
            <a:ext uri="{FF2B5EF4-FFF2-40B4-BE49-F238E27FC236}">
              <a16:creationId xmlns:a16="http://schemas.microsoft.com/office/drawing/2014/main" id="{5F78AD3D-66B8-47BF-8D49-920529C0A21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6" name="TextBox 2533">
          <a:extLst>
            <a:ext uri="{FF2B5EF4-FFF2-40B4-BE49-F238E27FC236}">
              <a16:creationId xmlns:a16="http://schemas.microsoft.com/office/drawing/2014/main" id="{6A3B4EDB-9E3A-43B4-A590-2ACF233FEE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7" name="TextBox 2534">
          <a:extLst>
            <a:ext uri="{FF2B5EF4-FFF2-40B4-BE49-F238E27FC236}">
              <a16:creationId xmlns:a16="http://schemas.microsoft.com/office/drawing/2014/main" id="{5AE84992-92B2-4330-A23E-FABF2C62B8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8" name="TextBox 2535">
          <a:extLst>
            <a:ext uri="{FF2B5EF4-FFF2-40B4-BE49-F238E27FC236}">
              <a16:creationId xmlns:a16="http://schemas.microsoft.com/office/drawing/2014/main" id="{4BF398E3-5A76-431B-A046-CF02E18E8C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49" name="TextBox 2536">
          <a:extLst>
            <a:ext uri="{FF2B5EF4-FFF2-40B4-BE49-F238E27FC236}">
              <a16:creationId xmlns:a16="http://schemas.microsoft.com/office/drawing/2014/main" id="{887AE249-5E23-487F-AE77-EE55D071DD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0" name="TextBox 2537">
          <a:extLst>
            <a:ext uri="{FF2B5EF4-FFF2-40B4-BE49-F238E27FC236}">
              <a16:creationId xmlns:a16="http://schemas.microsoft.com/office/drawing/2014/main" id="{C6C17D9A-FC35-4FEF-9D67-CB3A333E4B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1" name="TextBox 2538">
          <a:extLst>
            <a:ext uri="{FF2B5EF4-FFF2-40B4-BE49-F238E27FC236}">
              <a16:creationId xmlns:a16="http://schemas.microsoft.com/office/drawing/2014/main" id="{5D43FBF3-DE2E-4A6A-85EF-13EC0521C1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2" name="TextBox 2539">
          <a:extLst>
            <a:ext uri="{FF2B5EF4-FFF2-40B4-BE49-F238E27FC236}">
              <a16:creationId xmlns:a16="http://schemas.microsoft.com/office/drawing/2014/main" id="{C8B2FA06-D20B-4F0B-AAA0-07BEDC2AE10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3" name="TextBox 2540">
          <a:extLst>
            <a:ext uri="{FF2B5EF4-FFF2-40B4-BE49-F238E27FC236}">
              <a16:creationId xmlns:a16="http://schemas.microsoft.com/office/drawing/2014/main" id="{F73B98BB-3D52-4ADC-96EA-0EFFB43505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4" name="TextBox 13">
          <a:extLst>
            <a:ext uri="{FF2B5EF4-FFF2-40B4-BE49-F238E27FC236}">
              <a16:creationId xmlns:a16="http://schemas.microsoft.com/office/drawing/2014/main" id="{E429407A-1C8E-4913-BE24-37C228227B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5" name="TextBox 14">
          <a:extLst>
            <a:ext uri="{FF2B5EF4-FFF2-40B4-BE49-F238E27FC236}">
              <a16:creationId xmlns:a16="http://schemas.microsoft.com/office/drawing/2014/main" id="{7DCDBF13-0D7F-4213-9FA5-0D4123ACC9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6" name="TextBox 2543">
          <a:extLst>
            <a:ext uri="{FF2B5EF4-FFF2-40B4-BE49-F238E27FC236}">
              <a16:creationId xmlns:a16="http://schemas.microsoft.com/office/drawing/2014/main" id="{EBC2FA6A-00A8-44E7-9F40-55DC7B272F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7" name="TextBox 2544">
          <a:extLst>
            <a:ext uri="{FF2B5EF4-FFF2-40B4-BE49-F238E27FC236}">
              <a16:creationId xmlns:a16="http://schemas.microsoft.com/office/drawing/2014/main" id="{3C90BEFB-64EE-4178-BADA-4A0DE4E77F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8" name="TextBox 2545">
          <a:extLst>
            <a:ext uri="{FF2B5EF4-FFF2-40B4-BE49-F238E27FC236}">
              <a16:creationId xmlns:a16="http://schemas.microsoft.com/office/drawing/2014/main" id="{899463DC-D159-48C9-B384-FAD8895FE1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59" name="TextBox 2546">
          <a:extLst>
            <a:ext uri="{FF2B5EF4-FFF2-40B4-BE49-F238E27FC236}">
              <a16:creationId xmlns:a16="http://schemas.microsoft.com/office/drawing/2014/main" id="{9C6FF97B-3BBC-45B7-A4DF-365D05D64A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0" name="TextBox 15">
          <a:extLst>
            <a:ext uri="{FF2B5EF4-FFF2-40B4-BE49-F238E27FC236}">
              <a16:creationId xmlns:a16="http://schemas.microsoft.com/office/drawing/2014/main" id="{2D60607C-FCE5-4BBF-A3D2-039E8A142D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1" name="TextBox 16">
          <a:extLst>
            <a:ext uri="{FF2B5EF4-FFF2-40B4-BE49-F238E27FC236}">
              <a16:creationId xmlns:a16="http://schemas.microsoft.com/office/drawing/2014/main" id="{D4A58956-64AD-4824-8976-F2997630BD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2" name="TextBox 17">
          <a:extLst>
            <a:ext uri="{FF2B5EF4-FFF2-40B4-BE49-F238E27FC236}">
              <a16:creationId xmlns:a16="http://schemas.microsoft.com/office/drawing/2014/main" id="{B9F2C080-1DDA-4C4D-8845-2E6AC2B516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3" name="TextBox 18">
          <a:extLst>
            <a:ext uri="{FF2B5EF4-FFF2-40B4-BE49-F238E27FC236}">
              <a16:creationId xmlns:a16="http://schemas.microsoft.com/office/drawing/2014/main" id="{F94155B5-4729-4E54-A420-E98E035EF8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4" name="TextBox 2551">
          <a:extLst>
            <a:ext uri="{FF2B5EF4-FFF2-40B4-BE49-F238E27FC236}">
              <a16:creationId xmlns:a16="http://schemas.microsoft.com/office/drawing/2014/main" id="{2F3CC78C-69C6-4729-8416-0A78511415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5" name="TextBox 2552">
          <a:extLst>
            <a:ext uri="{FF2B5EF4-FFF2-40B4-BE49-F238E27FC236}">
              <a16:creationId xmlns:a16="http://schemas.microsoft.com/office/drawing/2014/main" id="{3287DCE9-EF91-42EA-9408-70E09F774D0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6" name="TextBox 1">
          <a:extLst>
            <a:ext uri="{FF2B5EF4-FFF2-40B4-BE49-F238E27FC236}">
              <a16:creationId xmlns:a16="http://schemas.microsoft.com/office/drawing/2014/main" id="{16D3F81B-04BB-4AF2-851E-652C5C9BE2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7" name="TextBox 3">
          <a:extLst>
            <a:ext uri="{FF2B5EF4-FFF2-40B4-BE49-F238E27FC236}">
              <a16:creationId xmlns:a16="http://schemas.microsoft.com/office/drawing/2014/main" id="{AE14FD60-B4FD-4A88-9C1A-0AE346D92D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8" name="TextBox 2555">
          <a:extLst>
            <a:ext uri="{FF2B5EF4-FFF2-40B4-BE49-F238E27FC236}">
              <a16:creationId xmlns:a16="http://schemas.microsoft.com/office/drawing/2014/main" id="{9CC97907-BEC3-4F6B-A355-34F6056D3F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69" name="TextBox 2556">
          <a:extLst>
            <a:ext uri="{FF2B5EF4-FFF2-40B4-BE49-F238E27FC236}">
              <a16:creationId xmlns:a16="http://schemas.microsoft.com/office/drawing/2014/main" id="{A626FB36-294F-4621-95DC-44644BB60D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0" name="TextBox 2557">
          <a:extLst>
            <a:ext uri="{FF2B5EF4-FFF2-40B4-BE49-F238E27FC236}">
              <a16:creationId xmlns:a16="http://schemas.microsoft.com/office/drawing/2014/main" id="{C9029C8F-1586-47B7-8A48-1DC340307C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1" name="TextBox 2558">
          <a:extLst>
            <a:ext uri="{FF2B5EF4-FFF2-40B4-BE49-F238E27FC236}">
              <a16:creationId xmlns:a16="http://schemas.microsoft.com/office/drawing/2014/main" id="{EA566A07-5A60-4CC4-9C6D-653A2A43A9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2" name="TextBox 2559">
          <a:extLst>
            <a:ext uri="{FF2B5EF4-FFF2-40B4-BE49-F238E27FC236}">
              <a16:creationId xmlns:a16="http://schemas.microsoft.com/office/drawing/2014/main" id="{A06BF227-F8FC-4CCA-8F53-B662F6EBAE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3" name="TextBox 2560">
          <a:extLst>
            <a:ext uri="{FF2B5EF4-FFF2-40B4-BE49-F238E27FC236}">
              <a16:creationId xmlns:a16="http://schemas.microsoft.com/office/drawing/2014/main" id="{6D0CB67A-98D6-4CBB-900D-4755D0D40B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4" name="TextBox 2561">
          <a:extLst>
            <a:ext uri="{FF2B5EF4-FFF2-40B4-BE49-F238E27FC236}">
              <a16:creationId xmlns:a16="http://schemas.microsoft.com/office/drawing/2014/main" id="{6FF2FE79-BDBF-4389-B19D-DF8EE49EF86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5" name="TextBox 2562">
          <a:extLst>
            <a:ext uri="{FF2B5EF4-FFF2-40B4-BE49-F238E27FC236}">
              <a16:creationId xmlns:a16="http://schemas.microsoft.com/office/drawing/2014/main" id="{3F05717B-4C9F-4BB7-9774-41FD07D7E8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6" name="TextBox 2563">
          <a:extLst>
            <a:ext uri="{FF2B5EF4-FFF2-40B4-BE49-F238E27FC236}">
              <a16:creationId xmlns:a16="http://schemas.microsoft.com/office/drawing/2014/main" id="{5F10BE83-D82F-4284-B9B5-B07FAA12E0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7" name="TextBox 2564">
          <a:extLst>
            <a:ext uri="{FF2B5EF4-FFF2-40B4-BE49-F238E27FC236}">
              <a16:creationId xmlns:a16="http://schemas.microsoft.com/office/drawing/2014/main" id="{C405E64E-9726-4D20-84B8-41A677D190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8" name="TextBox 13">
          <a:extLst>
            <a:ext uri="{FF2B5EF4-FFF2-40B4-BE49-F238E27FC236}">
              <a16:creationId xmlns:a16="http://schemas.microsoft.com/office/drawing/2014/main" id="{195B5D04-8F29-4ED9-B1A8-62452C9ABF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79" name="TextBox 14">
          <a:extLst>
            <a:ext uri="{FF2B5EF4-FFF2-40B4-BE49-F238E27FC236}">
              <a16:creationId xmlns:a16="http://schemas.microsoft.com/office/drawing/2014/main" id="{8EFEF6C8-6EFF-4F9B-A2BB-162D490DE9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0" name="TextBox 2567">
          <a:extLst>
            <a:ext uri="{FF2B5EF4-FFF2-40B4-BE49-F238E27FC236}">
              <a16:creationId xmlns:a16="http://schemas.microsoft.com/office/drawing/2014/main" id="{71922EA2-2A8E-430F-B1CE-85BC1870A3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1" name="TextBox 2568">
          <a:extLst>
            <a:ext uri="{FF2B5EF4-FFF2-40B4-BE49-F238E27FC236}">
              <a16:creationId xmlns:a16="http://schemas.microsoft.com/office/drawing/2014/main" id="{44649F06-E724-40F4-A97A-7D234C5F0A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2" name="TextBox 2569">
          <a:extLst>
            <a:ext uri="{FF2B5EF4-FFF2-40B4-BE49-F238E27FC236}">
              <a16:creationId xmlns:a16="http://schemas.microsoft.com/office/drawing/2014/main" id="{A63C148F-7AC6-4ECE-A966-C4876E4558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3" name="TextBox 2570">
          <a:extLst>
            <a:ext uri="{FF2B5EF4-FFF2-40B4-BE49-F238E27FC236}">
              <a16:creationId xmlns:a16="http://schemas.microsoft.com/office/drawing/2014/main" id="{DD0D87C1-8864-4074-B7C9-DF70E68BD6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4" name="TextBox 15">
          <a:extLst>
            <a:ext uri="{FF2B5EF4-FFF2-40B4-BE49-F238E27FC236}">
              <a16:creationId xmlns:a16="http://schemas.microsoft.com/office/drawing/2014/main" id="{013BC4D7-7600-4E1E-9C74-0ADC8685F2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5" name="TextBox 16">
          <a:extLst>
            <a:ext uri="{FF2B5EF4-FFF2-40B4-BE49-F238E27FC236}">
              <a16:creationId xmlns:a16="http://schemas.microsoft.com/office/drawing/2014/main" id="{18D6CE68-CA05-436A-9327-2CE73F75E5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6" name="TextBox 17">
          <a:extLst>
            <a:ext uri="{FF2B5EF4-FFF2-40B4-BE49-F238E27FC236}">
              <a16:creationId xmlns:a16="http://schemas.microsoft.com/office/drawing/2014/main" id="{9053D7EA-272F-4CED-8128-B456B273FA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7" name="TextBox 18">
          <a:extLst>
            <a:ext uri="{FF2B5EF4-FFF2-40B4-BE49-F238E27FC236}">
              <a16:creationId xmlns:a16="http://schemas.microsoft.com/office/drawing/2014/main" id="{BDB8E854-A6E2-448F-A769-1B5AD23532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8" name="TextBox 2575">
          <a:extLst>
            <a:ext uri="{FF2B5EF4-FFF2-40B4-BE49-F238E27FC236}">
              <a16:creationId xmlns:a16="http://schemas.microsoft.com/office/drawing/2014/main" id="{FC377FE8-0C1A-41F5-A1A2-117A0DA3D8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89" name="TextBox 2576">
          <a:extLst>
            <a:ext uri="{FF2B5EF4-FFF2-40B4-BE49-F238E27FC236}">
              <a16:creationId xmlns:a16="http://schemas.microsoft.com/office/drawing/2014/main" id="{671C6B39-80D4-47B9-A3FF-E98AEB4F0C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0" name="TextBox 1">
          <a:extLst>
            <a:ext uri="{FF2B5EF4-FFF2-40B4-BE49-F238E27FC236}">
              <a16:creationId xmlns:a16="http://schemas.microsoft.com/office/drawing/2014/main" id="{B2674547-D18C-4A3D-BB95-3816CEDA30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1" name="TextBox 3">
          <a:extLst>
            <a:ext uri="{FF2B5EF4-FFF2-40B4-BE49-F238E27FC236}">
              <a16:creationId xmlns:a16="http://schemas.microsoft.com/office/drawing/2014/main" id="{7DBB2FB5-C6C0-41A1-A8C4-073B75A6BB8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2" name="TextBox 2579">
          <a:extLst>
            <a:ext uri="{FF2B5EF4-FFF2-40B4-BE49-F238E27FC236}">
              <a16:creationId xmlns:a16="http://schemas.microsoft.com/office/drawing/2014/main" id="{AC00D671-62B9-479A-B995-F18DD529A8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3" name="TextBox 2580">
          <a:extLst>
            <a:ext uri="{FF2B5EF4-FFF2-40B4-BE49-F238E27FC236}">
              <a16:creationId xmlns:a16="http://schemas.microsoft.com/office/drawing/2014/main" id="{9A45F06D-E576-4785-A4FC-F11F483388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4" name="TextBox 2581">
          <a:extLst>
            <a:ext uri="{FF2B5EF4-FFF2-40B4-BE49-F238E27FC236}">
              <a16:creationId xmlns:a16="http://schemas.microsoft.com/office/drawing/2014/main" id="{C8B85328-606C-459A-AE51-8739C951C5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5" name="TextBox 2582">
          <a:extLst>
            <a:ext uri="{FF2B5EF4-FFF2-40B4-BE49-F238E27FC236}">
              <a16:creationId xmlns:a16="http://schemas.microsoft.com/office/drawing/2014/main" id="{FC411D7D-3936-482C-A3EF-80AB0FAC1F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6" name="TextBox 2583">
          <a:extLst>
            <a:ext uri="{FF2B5EF4-FFF2-40B4-BE49-F238E27FC236}">
              <a16:creationId xmlns:a16="http://schemas.microsoft.com/office/drawing/2014/main" id="{7CE0D2D9-77E8-46AF-A099-5E063A5D28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7" name="TextBox 2584">
          <a:extLst>
            <a:ext uri="{FF2B5EF4-FFF2-40B4-BE49-F238E27FC236}">
              <a16:creationId xmlns:a16="http://schemas.microsoft.com/office/drawing/2014/main" id="{210EC175-CB61-482B-8D5E-C4C67B4AB59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8" name="TextBox 2585">
          <a:extLst>
            <a:ext uri="{FF2B5EF4-FFF2-40B4-BE49-F238E27FC236}">
              <a16:creationId xmlns:a16="http://schemas.microsoft.com/office/drawing/2014/main" id="{EEFE1DE2-1FFF-49A7-837D-BE513BD01D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4999" name="TextBox 2586">
          <a:extLst>
            <a:ext uri="{FF2B5EF4-FFF2-40B4-BE49-F238E27FC236}">
              <a16:creationId xmlns:a16="http://schemas.microsoft.com/office/drawing/2014/main" id="{195C2787-61C6-4541-8B01-569199BD8B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0" name="TextBox 2587">
          <a:extLst>
            <a:ext uri="{FF2B5EF4-FFF2-40B4-BE49-F238E27FC236}">
              <a16:creationId xmlns:a16="http://schemas.microsoft.com/office/drawing/2014/main" id="{021F03F2-3587-4967-A577-153A9365DE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1" name="TextBox 2588">
          <a:extLst>
            <a:ext uri="{FF2B5EF4-FFF2-40B4-BE49-F238E27FC236}">
              <a16:creationId xmlns:a16="http://schemas.microsoft.com/office/drawing/2014/main" id="{3F1D2D2D-5068-4FD2-90E5-119AB1539D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2" name="TextBox 13">
          <a:extLst>
            <a:ext uri="{FF2B5EF4-FFF2-40B4-BE49-F238E27FC236}">
              <a16:creationId xmlns:a16="http://schemas.microsoft.com/office/drawing/2014/main" id="{E7D798EA-E41F-4F98-9C26-D396F1266E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3" name="TextBox 14">
          <a:extLst>
            <a:ext uri="{FF2B5EF4-FFF2-40B4-BE49-F238E27FC236}">
              <a16:creationId xmlns:a16="http://schemas.microsoft.com/office/drawing/2014/main" id="{0EDF4782-98B4-4A53-98C3-6AFD73AB9E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4" name="TextBox 2591">
          <a:extLst>
            <a:ext uri="{FF2B5EF4-FFF2-40B4-BE49-F238E27FC236}">
              <a16:creationId xmlns:a16="http://schemas.microsoft.com/office/drawing/2014/main" id="{F45D8CED-F68D-41C6-9E83-D449F5D51F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5" name="TextBox 2592">
          <a:extLst>
            <a:ext uri="{FF2B5EF4-FFF2-40B4-BE49-F238E27FC236}">
              <a16:creationId xmlns:a16="http://schemas.microsoft.com/office/drawing/2014/main" id="{2AEB0223-A622-432E-B051-4CF9348E8CE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6" name="TextBox 2593">
          <a:extLst>
            <a:ext uri="{FF2B5EF4-FFF2-40B4-BE49-F238E27FC236}">
              <a16:creationId xmlns:a16="http://schemas.microsoft.com/office/drawing/2014/main" id="{49246D88-63E0-4F5F-B0B1-07BFC17FF5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7" name="TextBox 2594">
          <a:extLst>
            <a:ext uri="{FF2B5EF4-FFF2-40B4-BE49-F238E27FC236}">
              <a16:creationId xmlns:a16="http://schemas.microsoft.com/office/drawing/2014/main" id="{24CEA471-FB89-4776-95A4-8BB55BEAF8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8" name="TextBox 15">
          <a:extLst>
            <a:ext uri="{FF2B5EF4-FFF2-40B4-BE49-F238E27FC236}">
              <a16:creationId xmlns:a16="http://schemas.microsoft.com/office/drawing/2014/main" id="{3F760975-2A2E-4B6B-B257-6BB03F426F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09" name="TextBox 16">
          <a:extLst>
            <a:ext uri="{FF2B5EF4-FFF2-40B4-BE49-F238E27FC236}">
              <a16:creationId xmlns:a16="http://schemas.microsoft.com/office/drawing/2014/main" id="{CEACFC57-379A-461C-B351-BABB664AFD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0" name="TextBox 17">
          <a:extLst>
            <a:ext uri="{FF2B5EF4-FFF2-40B4-BE49-F238E27FC236}">
              <a16:creationId xmlns:a16="http://schemas.microsoft.com/office/drawing/2014/main" id="{39F2B4AE-7004-46D0-976E-642F261BF5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1" name="TextBox 18">
          <a:extLst>
            <a:ext uri="{FF2B5EF4-FFF2-40B4-BE49-F238E27FC236}">
              <a16:creationId xmlns:a16="http://schemas.microsoft.com/office/drawing/2014/main" id="{EFED99CE-FA43-434D-8D46-8E0439D7A2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2" name="TextBox 2599">
          <a:extLst>
            <a:ext uri="{FF2B5EF4-FFF2-40B4-BE49-F238E27FC236}">
              <a16:creationId xmlns:a16="http://schemas.microsoft.com/office/drawing/2014/main" id="{5E97D86A-AF52-428F-85C5-5CD9169E54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3" name="TextBox 2600">
          <a:extLst>
            <a:ext uri="{FF2B5EF4-FFF2-40B4-BE49-F238E27FC236}">
              <a16:creationId xmlns:a16="http://schemas.microsoft.com/office/drawing/2014/main" id="{BEBB8865-0847-4828-9E43-8CE86D7E6AC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4" name="TextBox 1">
          <a:extLst>
            <a:ext uri="{FF2B5EF4-FFF2-40B4-BE49-F238E27FC236}">
              <a16:creationId xmlns:a16="http://schemas.microsoft.com/office/drawing/2014/main" id="{FD8CE550-1560-4F83-A571-C1CCE62276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5" name="TextBox 3">
          <a:extLst>
            <a:ext uri="{FF2B5EF4-FFF2-40B4-BE49-F238E27FC236}">
              <a16:creationId xmlns:a16="http://schemas.microsoft.com/office/drawing/2014/main" id="{023E3AF7-4390-42CA-B317-B62A29566C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6" name="TextBox 2603">
          <a:extLst>
            <a:ext uri="{FF2B5EF4-FFF2-40B4-BE49-F238E27FC236}">
              <a16:creationId xmlns:a16="http://schemas.microsoft.com/office/drawing/2014/main" id="{D9499702-0F7C-4612-AAC3-F2D482F1C4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7" name="TextBox 2604">
          <a:extLst>
            <a:ext uri="{FF2B5EF4-FFF2-40B4-BE49-F238E27FC236}">
              <a16:creationId xmlns:a16="http://schemas.microsoft.com/office/drawing/2014/main" id="{CDCBE578-3FEE-4681-846F-70BB6BE134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8" name="TextBox 2605">
          <a:extLst>
            <a:ext uri="{FF2B5EF4-FFF2-40B4-BE49-F238E27FC236}">
              <a16:creationId xmlns:a16="http://schemas.microsoft.com/office/drawing/2014/main" id="{4B9D2EF7-B1A0-4F13-B941-A43CED852DB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19" name="TextBox 2606">
          <a:extLst>
            <a:ext uri="{FF2B5EF4-FFF2-40B4-BE49-F238E27FC236}">
              <a16:creationId xmlns:a16="http://schemas.microsoft.com/office/drawing/2014/main" id="{A931ED26-C0AF-482A-8E10-833395DD86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0" name="TextBox 2607">
          <a:extLst>
            <a:ext uri="{FF2B5EF4-FFF2-40B4-BE49-F238E27FC236}">
              <a16:creationId xmlns:a16="http://schemas.microsoft.com/office/drawing/2014/main" id="{485A365C-4CD7-4DB2-B20A-E354E4C3B3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1" name="TextBox 2608">
          <a:extLst>
            <a:ext uri="{FF2B5EF4-FFF2-40B4-BE49-F238E27FC236}">
              <a16:creationId xmlns:a16="http://schemas.microsoft.com/office/drawing/2014/main" id="{99218BC4-25A4-4E6E-9B7E-D4DF3982C7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2" name="TextBox 2609">
          <a:extLst>
            <a:ext uri="{FF2B5EF4-FFF2-40B4-BE49-F238E27FC236}">
              <a16:creationId xmlns:a16="http://schemas.microsoft.com/office/drawing/2014/main" id="{1E864C8D-810A-48DE-8D14-711528A8F5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3" name="TextBox 2610">
          <a:extLst>
            <a:ext uri="{FF2B5EF4-FFF2-40B4-BE49-F238E27FC236}">
              <a16:creationId xmlns:a16="http://schemas.microsoft.com/office/drawing/2014/main" id="{46759532-BADC-4099-BD00-7B4FEAAF82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4" name="TextBox 2611">
          <a:extLst>
            <a:ext uri="{FF2B5EF4-FFF2-40B4-BE49-F238E27FC236}">
              <a16:creationId xmlns:a16="http://schemas.microsoft.com/office/drawing/2014/main" id="{0FDF41B4-6E5D-47B9-BBC7-F85575994C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5" name="TextBox 2612">
          <a:extLst>
            <a:ext uri="{FF2B5EF4-FFF2-40B4-BE49-F238E27FC236}">
              <a16:creationId xmlns:a16="http://schemas.microsoft.com/office/drawing/2014/main" id="{A8FA3F42-2C57-4D2C-8DCA-C6F7F5008C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6" name="TextBox 13">
          <a:extLst>
            <a:ext uri="{FF2B5EF4-FFF2-40B4-BE49-F238E27FC236}">
              <a16:creationId xmlns:a16="http://schemas.microsoft.com/office/drawing/2014/main" id="{D733B4BF-276E-40C7-91A1-C66AA306D7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7" name="TextBox 14">
          <a:extLst>
            <a:ext uri="{FF2B5EF4-FFF2-40B4-BE49-F238E27FC236}">
              <a16:creationId xmlns:a16="http://schemas.microsoft.com/office/drawing/2014/main" id="{D83B89DA-BE73-453A-826E-7A0FD5318C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8" name="TextBox 2615">
          <a:extLst>
            <a:ext uri="{FF2B5EF4-FFF2-40B4-BE49-F238E27FC236}">
              <a16:creationId xmlns:a16="http://schemas.microsoft.com/office/drawing/2014/main" id="{ADF4DEC2-6620-416D-B015-5F26E2B8C4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29" name="TextBox 2616">
          <a:extLst>
            <a:ext uri="{FF2B5EF4-FFF2-40B4-BE49-F238E27FC236}">
              <a16:creationId xmlns:a16="http://schemas.microsoft.com/office/drawing/2014/main" id="{D8E486EB-A626-4F87-9116-3DDBC427F9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0" name="TextBox 2617">
          <a:extLst>
            <a:ext uri="{FF2B5EF4-FFF2-40B4-BE49-F238E27FC236}">
              <a16:creationId xmlns:a16="http://schemas.microsoft.com/office/drawing/2014/main" id="{E41AFE95-82EE-4638-8D2A-1F751B1F3B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1" name="TextBox 2618">
          <a:extLst>
            <a:ext uri="{FF2B5EF4-FFF2-40B4-BE49-F238E27FC236}">
              <a16:creationId xmlns:a16="http://schemas.microsoft.com/office/drawing/2014/main" id="{4AE31C1A-55E0-4C50-A80F-982A686476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2" name="TextBox 15">
          <a:extLst>
            <a:ext uri="{FF2B5EF4-FFF2-40B4-BE49-F238E27FC236}">
              <a16:creationId xmlns:a16="http://schemas.microsoft.com/office/drawing/2014/main" id="{7E13ABB2-02FE-4588-9076-AFC52203CC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3" name="TextBox 16">
          <a:extLst>
            <a:ext uri="{FF2B5EF4-FFF2-40B4-BE49-F238E27FC236}">
              <a16:creationId xmlns:a16="http://schemas.microsoft.com/office/drawing/2014/main" id="{0C8D6E53-EC9E-49F9-AAC4-890F6FC92B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4" name="TextBox 17">
          <a:extLst>
            <a:ext uri="{FF2B5EF4-FFF2-40B4-BE49-F238E27FC236}">
              <a16:creationId xmlns:a16="http://schemas.microsoft.com/office/drawing/2014/main" id="{AB1895FF-83F2-4E2F-8B78-094C1D95FD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5" name="TextBox 18">
          <a:extLst>
            <a:ext uri="{FF2B5EF4-FFF2-40B4-BE49-F238E27FC236}">
              <a16:creationId xmlns:a16="http://schemas.microsoft.com/office/drawing/2014/main" id="{133B99F0-B4CC-4A39-BF0D-625A64D885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6" name="TextBox 2623">
          <a:extLst>
            <a:ext uri="{FF2B5EF4-FFF2-40B4-BE49-F238E27FC236}">
              <a16:creationId xmlns:a16="http://schemas.microsoft.com/office/drawing/2014/main" id="{740F527F-54B5-4B99-B2F9-5650FCB66B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7" name="TextBox 2624">
          <a:extLst>
            <a:ext uri="{FF2B5EF4-FFF2-40B4-BE49-F238E27FC236}">
              <a16:creationId xmlns:a16="http://schemas.microsoft.com/office/drawing/2014/main" id="{A6C7947F-1974-4CE7-A35B-9137667443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8" name="TextBox 1">
          <a:extLst>
            <a:ext uri="{FF2B5EF4-FFF2-40B4-BE49-F238E27FC236}">
              <a16:creationId xmlns:a16="http://schemas.microsoft.com/office/drawing/2014/main" id="{98F3E983-DFCE-43E9-853E-9A9E46BC2C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39" name="TextBox 3">
          <a:extLst>
            <a:ext uri="{FF2B5EF4-FFF2-40B4-BE49-F238E27FC236}">
              <a16:creationId xmlns:a16="http://schemas.microsoft.com/office/drawing/2014/main" id="{E3D1AF06-3704-45DB-9040-11A912FBB4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0" name="TextBox 2627">
          <a:extLst>
            <a:ext uri="{FF2B5EF4-FFF2-40B4-BE49-F238E27FC236}">
              <a16:creationId xmlns:a16="http://schemas.microsoft.com/office/drawing/2014/main" id="{DD6307B0-7279-47BB-B941-802FCB674A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1" name="TextBox 2628">
          <a:extLst>
            <a:ext uri="{FF2B5EF4-FFF2-40B4-BE49-F238E27FC236}">
              <a16:creationId xmlns:a16="http://schemas.microsoft.com/office/drawing/2014/main" id="{16696104-43C7-42E2-85D8-25465753F9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2" name="TextBox 2629">
          <a:extLst>
            <a:ext uri="{FF2B5EF4-FFF2-40B4-BE49-F238E27FC236}">
              <a16:creationId xmlns:a16="http://schemas.microsoft.com/office/drawing/2014/main" id="{77486DB6-C549-4297-A8F6-C544CDF13E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3" name="TextBox 2630">
          <a:extLst>
            <a:ext uri="{FF2B5EF4-FFF2-40B4-BE49-F238E27FC236}">
              <a16:creationId xmlns:a16="http://schemas.microsoft.com/office/drawing/2014/main" id="{B2BF5517-55ED-4B92-8BD2-DBF32E6239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4" name="TextBox 2631">
          <a:extLst>
            <a:ext uri="{FF2B5EF4-FFF2-40B4-BE49-F238E27FC236}">
              <a16:creationId xmlns:a16="http://schemas.microsoft.com/office/drawing/2014/main" id="{A66A851A-A70E-4BBC-B544-B919C95D18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5" name="TextBox 2632">
          <a:extLst>
            <a:ext uri="{FF2B5EF4-FFF2-40B4-BE49-F238E27FC236}">
              <a16:creationId xmlns:a16="http://schemas.microsoft.com/office/drawing/2014/main" id="{E0C13B20-81D1-44FF-B2A7-1753B97A24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6" name="TextBox 2633">
          <a:extLst>
            <a:ext uri="{FF2B5EF4-FFF2-40B4-BE49-F238E27FC236}">
              <a16:creationId xmlns:a16="http://schemas.microsoft.com/office/drawing/2014/main" id="{A2401094-5C17-41F1-9A5C-64EFD2D60D2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7" name="TextBox 2634">
          <a:extLst>
            <a:ext uri="{FF2B5EF4-FFF2-40B4-BE49-F238E27FC236}">
              <a16:creationId xmlns:a16="http://schemas.microsoft.com/office/drawing/2014/main" id="{F3C9C1E8-D663-472B-ABEE-55057F729B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8" name="TextBox 2635">
          <a:extLst>
            <a:ext uri="{FF2B5EF4-FFF2-40B4-BE49-F238E27FC236}">
              <a16:creationId xmlns:a16="http://schemas.microsoft.com/office/drawing/2014/main" id="{9CB11EC9-DF53-48B3-A2E9-60349C8BA1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49" name="TextBox 2636">
          <a:extLst>
            <a:ext uri="{FF2B5EF4-FFF2-40B4-BE49-F238E27FC236}">
              <a16:creationId xmlns:a16="http://schemas.microsoft.com/office/drawing/2014/main" id="{75345AEC-914F-495E-9AB4-E2D40041EF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0" name="TextBox 13">
          <a:extLst>
            <a:ext uri="{FF2B5EF4-FFF2-40B4-BE49-F238E27FC236}">
              <a16:creationId xmlns:a16="http://schemas.microsoft.com/office/drawing/2014/main" id="{9887D8F2-1F64-4B18-9C21-EB85D6683B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1" name="TextBox 14">
          <a:extLst>
            <a:ext uri="{FF2B5EF4-FFF2-40B4-BE49-F238E27FC236}">
              <a16:creationId xmlns:a16="http://schemas.microsoft.com/office/drawing/2014/main" id="{06FDCE35-9131-4FAF-A702-4A19F26B15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2" name="TextBox 2639">
          <a:extLst>
            <a:ext uri="{FF2B5EF4-FFF2-40B4-BE49-F238E27FC236}">
              <a16:creationId xmlns:a16="http://schemas.microsoft.com/office/drawing/2014/main" id="{EEA1D644-1921-4279-828F-1007B42F39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3" name="TextBox 2640">
          <a:extLst>
            <a:ext uri="{FF2B5EF4-FFF2-40B4-BE49-F238E27FC236}">
              <a16:creationId xmlns:a16="http://schemas.microsoft.com/office/drawing/2014/main" id="{6DA54234-80B9-422C-9EA1-D19EA30212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4" name="TextBox 2641">
          <a:extLst>
            <a:ext uri="{FF2B5EF4-FFF2-40B4-BE49-F238E27FC236}">
              <a16:creationId xmlns:a16="http://schemas.microsoft.com/office/drawing/2014/main" id="{8C710661-E6AC-41FE-8AD0-9ADAEAC539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5" name="TextBox 2642">
          <a:extLst>
            <a:ext uri="{FF2B5EF4-FFF2-40B4-BE49-F238E27FC236}">
              <a16:creationId xmlns:a16="http://schemas.microsoft.com/office/drawing/2014/main" id="{DED2C0BF-FFFA-463A-A983-A26F70B616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6" name="TextBox 15">
          <a:extLst>
            <a:ext uri="{FF2B5EF4-FFF2-40B4-BE49-F238E27FC236}">
              <a16:creationId xmlns:a16="http://schemas.microsoft.com/office/drawing/2014/main" id="{77AB5FEF-E5EF-4BF8-95F0-B4D2A5661F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7" name="TextBox 16">
          <a:extLst>
            <a:ext uri="{FF2B5EF4-FFF2-40B4-BE49-F238E27FC236}">
              <a16:creationId xmlns:a16="http://schemas.microsoft.com/office/drawing/2014/main" id="{B7BE8C65-7A54-4911-B3E8-3A216E88A5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8" name="TextBox 17">
          <a:extLst>
            <a:ext uri="{FF2B5EF4-FFF2-40B4-BE49-F238E27FC236}">
              <a16:creationId xmlns:a16="http://schemas.microsoft.com/office/drawing/2014/main" id="{0160A8BD-DF71-4FCC-A575-1505FBA35D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59" name="TextBox 18">
          <a:extLst>
            <a:ext uri="{FF2B5EF4-FFF2-40B4-BE49-F238E27FC236}">
              <a16:creationId xmlns:a16="http://schemas.microsoft.com/office/drawing/2014/main" id="{FAEF6D08-4978-4875-8F78-F8A46DA30F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0" name="TextBox 2647">
          <a:extLst>
            <a:ext uri="{FF2B5EF4-FFF2-40B4-BE49-F238E27FC236}">
              <a16:creationId xmlns:a16="http://schemas.microsoft.com/office/drawing/2014/main" id="{EAFBE196-0966-44B2-8CA3-25E4DE129E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1" name="TextBox 2648">
          <a:extLst>
            <a:ext uri="{FF2B5EF4-FFF2-40B4-BE49-F238E27FC236}">
              <a16:creationId xmlns:a16="http://schemas.microsoft.com/office/drawing/2014/main" id="{91137DCA-F5EE-4486-8BDD-C91ED04AFA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2" name="TextBox 1">
          <a:extLst>
            <a:ext uri="{FF2B5EF4-FFF2-40B4-BE49-F238E27FC236}">
              <a16:creationId xmlns:a16="http://schemas.microsoft.com/office/drawing/2014/main" id="{D7D2A8D3-8DDE-404E-88F6-BC602A7B7B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3" name="TextBox 3">
          <a:extLst>
            <a:ext uri="{FF2B5EF4-FFF2-40B4-BE49-F238E27FC236}">
              <a16:creationId xmlns:a16="http://schemas.microsoft.com/office/drawing/2014/main" id="{C345517C-A265-4405-85F5-535B54B2D3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4" name="TextBox 2651">
          <a:extLst>
            <a:ext uri="{FF2B5EF4-FFF2-40B4-BE49-F238E27FC236}">
              <a16:creationId xmlns:a16="http://schemas.microsoft.com/office/drawing/2014/main" id="{C9E57EFF-7B72-4C82-A8EB-B674C82985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5" name="TextBox 2652">
          <a:extLst>
            <a:ext uri="{FF2B5EF4-FFF2-40B4-BE49-F238E27FC236}">
              <a16:creationId xmlns:a16="http://schemas.microsoft.com/office/drawing/2014/main" id="{8742A2CF-D98F-40F2-A8E7-BE7711AED7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6" name="TextBox 2653">
          <a:extLst>
            <a:ext uri="{FF2B5EF4-FFF2-40B4-BE49-F238E27FC236}">
              <a16:creationId xmlns:a16="http://schemas.microsoft.com/office/drawing/2014/main" id="{8038DFC9-E78A-45AA-ACFB-A58B2BD3A0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7" name="TextBox 2654">
          <a:extLst>
            <a:ext uri="{FF2B5EF4-FFF2-40B4-BE49-F238E27FC236}">
              <a16:creationId xmlns:a16="http://schemas.microsoft.com/office/drawing/2014/main" id="{17E9AC09-2BE5-4F33-8495-C1D0BF9ABC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8" name="TextBox 2655">
          <a:extLst>
            <a:ext uri="{FF2B5EF4-FFF2-40B4-BE49-F238E27FC236}">
              <a16:creationId xmlns:a16="http://schemas.microsoft.com/office/drawing/2014/main" id="{0923AB58-B8E5-485D-8512-4752D3E883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69" name="TextBox 2656">
          <a:extLst>
            <a:ext uri="{FF2B5EF4-FFF2-40B4-BE49-F238E27FC236}">
              <a16:creationId xmlns:a16="http://schemas.microsoft.com/office/drawing/2014/main" id="{2DF4B79A-4559-44DB-B9BE-E633CA30834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0" name="TextBox 2657">
          <a:extLst>
            <a:ext uri="{FF2B5EF4-FFF2-40B4-BE49-F238E27FC236}">
              <a16:creationId xmlns:a16="http://schemas.microsoft.com/office/drawing/2014/main" id="{FF8FA1BA-32FA-4951-A262-162D5DC558A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1" name="TextBox 2658">
          <a:extLst>
            <a:ext uri="{FF2B5EF4-FFF2-40B4-BE49-F238E27FC236}">
              <a16:creationId xmlns:a16="http://schemas.microsoft.com/office/drawing/2014/main" id="{FA62F30B-F486-4A0A-9064-BE954246B6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2" name="TextBox 2659">
          <a:extLst>
            <a:ext uri="{FF2B5EF4-FFF2-40B4-BE49-F238E27FC236}">
              <a16:creationId xmlns:a16="http://schemas.microsoft.com/office/drawing/2014/main" id="{58ABA838-9280-46EF-BDAF-90B516D00A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3" name="TextBox 2660">
          <a:extLst>
            <a:ext uri="{FF2B5EF4-FFF2-40B4-BE49-F238E27FC236}">
              <a16:creationId xmlns:a16="http://schemas.microsoft.com/office/drawing/2014/main" id="{A06CD098-05E6-4099-870D-015B998E41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4" name="TextBox 13">
          <a:extLst>
            <a:ext uri="{FF2B5EF4-FFF2-40B4-BE49-F238E27FC236}">
              <a16:creationId xmlns:a16="http://schemas.microsoft.com/office/drawing/2014/main" id="{944BC5A8-ED6E-4771-A9DA-C8B882FE08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5" name="TextBox 14">
          <a:extLst>
            <a:ext uri="{FF2B5EF4-FFF2-40B4-BE49-F238E27FC236}">
              <a16:creationId xmlns:a16="http://schemas.microsoft.com/office/drawing/2014/main" id="{5645CBD6-BC06-49B3-BD28-E7F4DA3BAFC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6" name="TextBox 2663">
          <a:extLst>
            <a:ext uri="{FF2B5EF4-FFF2-40B4-BE49-F238E27FC236}">
              <a16:creationId xmlns:a16="http://schemas.microsoft.com/office/drawing/2014/main" id="{56FFA8FB-F124-44DC-9217-CD482F7911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7" name="TextBox 2664">
          <a:extLst>
            <a:ext uri="{FF2B5EF4-FFF2-40B4-BE49-F238E27FC236}">
              <a16:creationId xmlns:a16="http://schemas.microsoft.com/office/drawing/2014/main" id="{FF2EE17D-5470-47A8-974B-1F49F2F142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8" name="TextBox 2665">
          <a:extLst>
            <a:ext uri="{FF2B5EF4-FFF2-40B4-BE49-F238E27FC236}">
              <a16:creationId xmlns:a16="http://schemas.microsoft.com/office/drawing/2014/main" id="{7CEB90CF-9D17-4BC0-B134-000C1A2C7C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79" name="TextBox 2666">
          <a:extLst>
            <a:ext uri="{FF2B5EF4-FFF2-40B4-BE49-F238E27FC236}">
              <a16:creationId xmlns:a16="http://schemas.microsoft.com/office/drawing/2014/main" id="{46CCE034-26E4-4AB3-9394-66DBB00F1B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0" name="TextBox 15">
          <a:extLst>
            <a:ext uri="{FF2B5EF4-FFF2-40B4-BE49-F238E27FC236}">
              <a16:creationId xmlns:a16="http://schemas.microsoft.com/office/drawing/2014/main" id="{6A194105-9950-4D55-86A6-65F40F2A18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1" name="TextBox 16">
          <a:extLst>
            <a:ext uri="{FF2B5EF4-FFF2-40B4-BE49-F238E27FC236}">
              <a16:creationId xmlns:a16="http://schemas.microsoft.com/office/drawing/2014/main" id="{B031A32F-8B74-43B6-A478-A1CE74541B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2" name="TextBox 17">
          <a:extLst>
            <a:ext uri="{FF2B5EF4-FFF2-40B4-BE49-F238E27FC236}">
              <a16:creationId xmlns:a16="http://schemas.microsoft.com/office/drawing/2014/main" id="{EED74C72-E404-453F-B369-9A43042022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3" name="TextBox 18">
          <a:extLst>
            <a:ext uri="{FF2B5EF4-FFF2-40B4-BE49-F238E27FC236}">
              <a16:creationId xmlns:a16="http://schemas.microsoft.com/office/drawing/2014/main" id="{EF5AAD30-8387-4C69-8BA2-395C567EA7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4" name="TextBox 2671">
          <a:extLst>
            <a:ext uri="{FF2B5EF4-FFF2-40B4-BE49-F238E27FC236}">
              <a16:creationId xmlns:a16="http://schemas.microsoft.com/office/drawing/2014/main" id="{50895FDA-E89D-43EB-AE75-D26C6252F5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5" name="TextBox 2672">
          <a:extLst>
            <a:ext uri="{FF2B5EF4-FFF2-40B4-BE49-F238E27FC236}">
              <a16:creationId xmlns:a16="http://schemas.microsoft.com/office/drawing/2014/main" id="{A8ADA356-E0B1-42E9-AF27-CA7A177E589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6" name="TextBox 1">
          <a:extLst>
            <a:ext uri="{FF2B5EF4-FFF2-40B4-BE49-F238E27FC236}">
              <a16:creationId xmlns:a16="http://schemas.microsoft.com/office/drawing/2014/main" id="{0E55A8EE-4725-4C78-B30E-3BB7C542B2D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7" name="TextBox 3">
          <a:extLst>
            <a:ext uri="{FF2B5EF4-FFF2-40B4-BE49-F238E27FC236}">
              <a16:creationId xmlns:a16="http://schemas.microsoft.com/office/drawing/2014/main" id="{F5493A81-5B03-4B45-85E6-6C23D23F66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8" name="TextBox 2675">
          <a:extLst>
            <a:ext uri="{FF2B5EF4-FFF2-40B4-BE49-F238E27FC236}">
              <a16:creationId xmlns:a16="http://schemas.microsoft.com/office/drawing/2014/main" id="{3BFEBD4D-78FD-4A11-AD9C-0DED2E5958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89" name="TextBox 2676">
          <a:extLst>
            <a:ext uri="{FF2B5EF4-FFF2-40B4-BE49-F238E27FC236}">
              <a16:creationId xmlns:a16="http://schemas.microsoft.com/office/drawing/2014/main" id="{A530E087-0781-46FD-BCA1-267159B92E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0" name="TextBox 2677">
          <a:extLst>
            <a:ext uri="{FF2B5EF4-FFF2-40B4-BE49-F238E27FC236}">
              <a16:creationId xmlns:a16="http://schemas.microsoft.com/office/drawing/2014/main" id="{C68E8D88-0997-4C81-80CE-A858D73F07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1" name="TextBox 2678">
          <a:extLst>
            <a:ext uri="{FF2B5EF4-FFF2-40B4-BE49-F238E27FC236}">
              <a16:creationId xmlns:a16="http://schemas.microsoft.com/office/drawing/2014/main" id="{F5A3C420-7F91-44D1-BF96-B701CA7AAF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2" name="TextBox 2679">
          <a:extLst>
            <a:ext uri="{FF2B5EF4-FFF2-40B4-BE49-F238E27FC236}">
              <a16:creationId xmlns:a16="http://schemas.microsoft.com/office/drawing/2014/main" id="{E1A39257-4519-44F9-B75E-3CB4CCA237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3" name="TextBox 2680">
          <a:extLst>
            <a:ext uri="{FF2B5EF4-FFF2-40B4-BE49-F238E27FC236}">
              <a16:creationId xmlns:a16="http://schemas.microsoft.com/office/drawing/2014/main" id="{2C97B64E-F78A-4469-B49A-BC57BDC971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4" name="TextBox 2681">
          <a:extLst>
            <a:ext uri="{FF2B5EF4-FFF2-40B4-BE49-F238E27FC236}">
              <a16:creationId xmlns:a16="http://schemas.microsoft.com/office/drawing/2014/main" id="{31495F71-4023-4608-909C-8C76BA3FAF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5" name="TextBox 2682">
          <a:extLst>
            <a:ext uri="{FF2B5EF4-FFF2-40B4-BE49-F238E27FC236}">
              <a16:creationId xmlns:a16="http://schemas.microsoft.com/office/drawing/2014/main" id="{E2F44A2B-A3F1-495E-A2F0-EFB06EE607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6" name="TextBox 2683">
          <a:extLst>
            <a:ext uri="{FF2B5EF4-FFF2-40B4-BE49-F238E27FC236}">
              <a16:creationId xmlns:a16="http://schemas.microsoft.com/office/drawing/2014/main" id="{1755D978-A455-4E06-B912-38A44B5D23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7" name="TextBox 2684">
          <a:extLst>
            <a:ext uri="{FF2B5EF4-FFF2-40B4-BE49-F238E27FC236}">
              <a16:creationId xmlns:a16="http://schemas.microsoft.com/office/drawing/2014/main" id="{A6F9ADD7-C6C9-4126-BA4C-21C9D2F5EE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8" name="TextBox 13">
          <a:extLst>
            <a:ext uri="{FF2B5EF4-FFF2-40B4-BE49-F238E27FC236}">
              <a16:creationId xmlns:a16="http://schemas.microsoft.com/office/drawing/2014/main" id="{FE3A5EFB-699F-43B1-9374-853B047E8D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099" name="TextBox 14">
          <a:extLst>
            <a:ext uri="{FF2B5EF4-FFF2-40B4-BE49-F238E27FC236}">
              <a16:creationId xmlns:a16="http://schemas.microsoft.com/office/drawing/2014/main" id="{59C182A6-0F50-4DAB-AAFA-B31127FA018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0" name="TextBox 2687">
          <a:extLst>
            <a:ext uri="{FF2B5EF4-FFF2-40B4-BE49-F238E27FC236}">
              <a16:creationId xmlns:a16="http://schemas.microsoft.com/office/drawing/2014/main" id="{0DDE7C1C-F96A-4328-873A-A19488415D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1" name="TextBox 2688">
          <a:extLst>
            <a:ext uri="{FF2B5EF4-FFF2-40B4-BE49-F238E27FC236}">
              <a16:creationId xmlns:a16="http://schemas.microsoft.com/office/drawing/2014/main" id="{67FE8AC0-E0BB-477D-A209-DEA041FE32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2" name="TextBox 2689">
          <a:extLst>
            <a:ext uri="{FF2B5EF4-FFF2-40B4-BE49-F238E27FC236}">
              <a16:creationId xmlns:a16="http://schemas.microsoft.com/office/drawing/2014/main" id="{D52EF00A-A44E-44E5-BC05-D63DCB29DE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3" name="TextBox 2690">
          <a:extLst>
            <a:ext uri="{FF2B5EF4-FFF2-40B4-BE49-F238E27FC236}">
              <a16:creationId xmlns:a16="http://schemas.microsoft.com/office/drawing/2014/main" id="{4060255B-C62A-429F-8AF8-70A95EE744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4" name="TextBox 15">
          <a:extLst>
            <a:ext uri="{FF2B5EF4-FFF2-40B4-BE49-F238E27FC236}">
              <a16:creationId xmlns:a16="http://schemas.microsoft.com/office/drawing/2014/main" id="{FE186EB3-D061-49C2-8223-2F8949F05FA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5" name="TextBox 16">
          <a:extLst>
            <a:ext uri="{FF2B5EF4-FFF2-40B4-BE49-F238E27FC236}">
              <a16:creationId xmlns:a16="http://schemas.microsoft.com/office/drawing/2014/main" id="{8BAF203C-FF29-4A33-A52C-A076296ACF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6" name="TextBox 17">
          <a:extLst>
            <a:ext uri="{FF2B5EF4-FFF2-40B4-BE49-F238E27FC236}">
              <a16:creationId xmlns:a16="http://schemas.microsoft.com/office/drawing/2014/main" id="{4539E29C-8C79-4541-886B-AE97D65070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7" name="TextBox 18">
          <a:extLst>
            <a:ext uri="{FF2B5EF4-FFF2-40B4-BE49-F238E27FC236}">
              <a16:creationId xmlns:a16="http://schemas.microsoft.com/office/drawing/2014/main" id="{B32CAEF3-862D-4307-8189-153E5A7D4F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8" name="TextBox 2695">
          <a:extLst>
            <a:ext uri="{FF2B5EF4-FFF2-40B4-BE49-F238E27FC236}">
              <a16:creationId xmlns:a16="http://schemas.microsoft.com/office/drawing/2014/main" id="{AD9227D8-540B-4AFD-ACF8-68F773B5D5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09" name="TextBox 2696">
          <a:extLst>
            <a:ext uri="{FF2B5EF4-FFF2-40B4-BE49-F238E27FC236}">
              <a16:creationId xmlns:a16="http://schemas.microsoft.com/office/drawing/2014/main" id="{B060E68F-CC03-4375-B73F-08BBE04FFA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0" name="TextBox 1">
          <a:extLst>
            <a:ext uri="{FF2B5EF4-FFF2-40B4-BE49-F238E27FC236}">
              <a16:creationId xmlns:a16="http://schemas.microsoft.com/office/drawing/2014/main" id="{FD854706-4582-43CB-B551-4F9C3A8A6C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1" name="TextBox 3">
          <a:extLst>
            <a:ext uri="{FF2B5EF4-FFF2-40B4-BE49-F238E27FC236}">
              <a16:creationId xmlns:a16="http://schemas.microsoft.com/office/drawing/2014/main" id="{2F9CED57-9AF6-4A4B-B5CE-36EDC48A2CF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2" name="TextBox 2699">
          <a:extLst>
            <a:ext uri="{FF2B5EF4-FFF2-40B4-BE49-F238E27FC236}">
              <a16:creationId xmlns:a16="http://schemas.microsoft.com/office/drawing/2014/main" id="{3824002A-719B-4E0A-8E5F-7FE33BD72B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3" name="TextBox 2700">
          <a:extLst>
            <a:ext uri="{FF2B5EF4-FFF2-40B4-BE49-F238E27FC236}">
              <a16:creationId xmlns:a16="http://schemas.microsoft.com/office/drawing/2014/main" id="{6746EA91-02FA-47CE-B8DB-34F48E6612C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4" name="TextBox 2701">
          <a:extLst>
            <a:ext uri="{FF2B5EF4-FFF2-40B4-BE49-F238E27FC236}">
              <a16:creationId xmlns:a16="http://schemas.microsoft.com/office/drawing/2014/main" id="{E6F22886-831D-4621-B56E-200DDF50DA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5" name="TextBox 2702">
          <a:extLst>
            <a:ext uri="{FF2B5EF4-FFF2-40B4-BE49-F238E27FC236}">
              <a16:creationId xmlns:a16="http://schemas.microsoft.com/office/drawing/2014/main" id="{285F2A93-CA01-418B-8104-B4F7639EF1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6" name="TextBox 2703">
          <a:extLst>
            <a:ext uri="{FF2B5EF4-FFF2-40B4-BE49-F238E27FC236}">
              <a16:creationId xmlns:a16="http://schemas.microsoft.com/office/drawing/2014/main" id="{83C61101-1B5C-4B22-9096-B2D3EE246C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7" name="TextBox 2704">
          <a:extLst>
            <a:ext uri="{FF2B5EF4-FFF2-40B4-BE49-F238E27FC236}">
              <a16:creationId xmlns:a16="http://schemas.microsoft.com/office/drawing/2014/main" id="{C93B8FBC-3438-4B6A-8F7A-596E32361E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8" name="TextBox 2705">
          <a:extLst>
            <a:ext uri="{FF2B5EF4-FFF2-40B4-BE49-F238E27FC236}">
              <a16:creationId xmlns:a16="http://schemas.microsoft.com/office/drawing/2014/main" id="{E42C5AE8-491D-4188-B49F-2081277FA0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19" name="TextBox 2706">
          <a:extLst>
            <a:ext uri="{FF2B5EF4-FFF2-40B4-BE49-F238E27FC236}">
              <a16:creationId xmlns:a16="http://schemas.microsoft.com/office/drawing/2014/main" id="{CC0154A5-9C41-4ABD-89D7-08D16A47F45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0" name="TextBox 2707">
          <a:extLst>
            <a:ext uri="{FF2B5EF4-FFF2-40B4-BE49-F238E27FC236}">
              <a16:creationId xmlns:a16="http://schemas.microsoft.com/office/drawing/2014/main" id="{6436AB74-84E9-4433-BB0E-B4CB6009C0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1" name="TextBox 2708">
          <a:extLst>
            <a:ext uri="{FF2B5EF4-FFF2-40B4-BE49-F238E27FC236}">
              <a16:creationId xmlns:a16="http://schemas.microsoft.com/office/drawing/2014/main" id="{73570D5C-1448-4FC4-8184-46AD2603DFE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2" name="TextBox 13">
          <a:extLst>
            <a:ext uri="{FF2B5EF4-FFF2-40B4-BE49-F238E27FC236}">
              <a16:creationId xmlns:a16="http://schemas.microsoft.com/office/drawing/2014/main" id="{705BB4B8-2D31-4FCA-983A-A0B23FE1521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3" name="TextBox 14">
          <a:extLst>
            <a:ext uri="{FF2B5EF4-FFF2-40B4-BE49-F238E27FC236}">
              <a16:creationId xmlns:a16="http://schemas.microsoft.com/office/drawing/2014/main" id="{2C684F0F-B8FD-4C3D-9581-6E299AD545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4" name="TextBox 2711">
          <a:extLst>
            <a:ext uri="{FF2B5EF4-FFF2-40B4-BE49-F238E27FC236}">
              <a16:creationId xmlns:a16="http://schemas.microsoft.com/office/drawing/2014/main" id="{93FF42EF-D4A0-44B7-A50E-89DF53E469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5" name="TextBox 2712">
          <a:extLst>
            <a:ext uri="{FF2B5EF4-FFF2-40B4-BE49-F238E27FC236}">
              <a16:creationId xmlns:a16="http://schemas.microsoft.com/office/drawing/2014/main" id="{E87EC8AC-B91A-49CD-A019-24F57B65F6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6" name="TextBox 2713">
          <a:extLst>
            <a:ext uri="{FF2B5EF4-FFF2-40B4-BE49-F238E27FC236}">
              <a16:creationId xmlns:a16="http://schemas.microsoft.com/office/drawing/2014/main" id="{FBE664FF-157E-4182-A8EA-011F9D8275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7" name="TextBox 2714">
          <a:extLst>
            <a:ext uri="{FF2B5EF4-FFF2-40B4-BE49-F238E27FC236}">
              <a16:creationId xmlns:a16="http://schemas.microsoft.com/office/drawing/2014/main" id="{551F124D-D174-4E38-96D5-0150418C06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8" name="TextBox 15">
          <a:extLst>
            <a:ext uri="{FF2B5EF4-FFF2-40B4-BE49-F238E27FC236}">
              <a16:creationId xmlns:a16="http://schemas.microsoft.com/office/drawing/2014/main" id="{0145A15A-9495-44AE-9646-8E0B92A5F9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29" name="TextBox 16">
          <a:extLst>
            <a:ext uri="{FF2B5EF4-FFF2-40B4-BE49-F238E27FC236}">
              <a16:creationId xmlns:a16="http://schemas.microsoft.com/office/drawing/2014/main" id="{50B0D3F0-FAA9-41E5-8C99-9EE02E3339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0" name="TextBox 17">
          <a:extLst>
            <a:ext uri="{FF2B5EF4-FFF2-40B4-BE49-F238E27FC236}">
              <a16:creationId xmlns:a16="http://schemas.microsoft.com/office/drawing/2014/main" id="{82A2CDAA-8E1F-4418-BE4F-BAA0DA33D9D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1" name="TextBox 18">
          <a:extLst>
            <a:ext uri="{FF2B5EF4-FFF2-40B4-BE49-F238E27FC236}">
              <a16:creationId xmlns:a16="http://schemas.microsoft.com/office/drawing/2014/main" id="{21279E2D-6DDC-4A72-BCD1-44539EFC8C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2" name="TextBox 2719">
          <a:extLst>
            <a:ext uri="{FF2B5EF4-FFF2-40B4-BE49-F238E27FC236}">
              <a16:creationId xmlns:a16="http://schemas.microsoft.com/office/drawing/2014/main" id="{70FAE1C0-83BA-4CE3-964B-7A7D628729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3" name="TextBox 2720">
          <a:extLst>
            <a:ext uri="{FF2B5EF4-FFF2-40B4-BE49-F238E27FC236}">
              <a16:creationId xmlns:a16="http://schemas.microsoft.com/office/drawing/2014/main" id="{862118B5-B59E-4D8C-856B-FCE1C629E2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4" name="TextBox 1">
          <a:extLst>
            <a:ext uri="{FF2B5EF4-FFF2-40B4-BE49-F238E27FC236}">
              <a16:creationId xmlns:a16="http://schemas.microsoft.com/office/drawing/2014/main" id="{603238F2-4270-4BF2-B2EF-AD52918DF1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5" name="TextBox 3">
          <a:extLst>
            <a:ext uri="{FF2B5EF4-FFF2-40B4-BE49-F238E27FC236}">
              <a16:creationId xmlns:a16="http://schemas.microsoft.com/office/drawing/2014/main" id="{5BC6A11A-D8B7-4BDC-860C-CC898430F16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6" name="TextBox 2723">
          <a:extLst>
            <a:ext uri="{FF2B5EF4-FFF2-40B4-BE49-F238E27FC236}">
              <a16:creationId xmlns:a16="http://schemas.microsoft.com/office/drawing/2014/main" id="{E6C265D5-EBA6-43F9-9852-F72A4638E99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7" name="TextBox 2724">
          <a:extLst>
            <a:ext uri="{FF2B5EF4-FFF2-40B4-BE49-F238E27FC236}">
              <a16:creationId xmlns:a16="http://schemas.microsoft.com/office/drawing/2014/main" id="{90248788-36B4-43E9-B3E2-FADF3822C6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8" name="TextBox 2725">
          <a:extLst>
            <a:ext uri="{FF2B5EF4-FFF2-40B4-BE49-F238E27FC236}">
              <a16:creationId xmlns:a16="http://schemas.microsoft.com/office/drawing/2014/main" id="{5F9EAF89-3F2E-4EA8-A73E-85AB970996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39" name="TextBox 2726">
          <a:extLst>
            <a:ext uri="{FF2B5EF4-FFF2-40B4-BE49-F238E27FC236}">
              <a16:creationId xmlns:a16="http://schemas.microsoft.com/office/drawing/2014/main" id="{24D6E8E6-E79C-4D46-8E40-1DD2388AF2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0" name="TextBox 2727">
          <a:extLst>
            <a:ext uri="{FF2B5EF4-FFF2-40B4-BE49-F238E27FC236}">
              <a16:creationId xmlns:a16="http://schemas.microsoft.com/office/drawing/2014/main" id="{08EDC3A0-B57B-4567-8F93-4C09B51F88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1" name="TextBox 2728">
          <a:extLst>
            <a:ext uri="{FF2B5EF4-FFF2-40B4-BE49-F238E27FC236}">
              <a16:creationId xmlns:a16="http://schemas.microsoft.com/office/drawing/2014/main" id="{E9EB36CA-A2A1-4815-840B-A9B8A8B51F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2" name="TextBox 2729">
          <a:extLst>
            <a:ext uri="{FF2B5EF4-FFF2-40B4-BE49-F238E27FC236}">
              <a16:creationId xmlns:a16="http://schemas.microsoft.com/office/drawing/2014/main" id="{7610446C-7A41-417A-A437-0D567896418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3" name="TextBox 2730">
          <a:extLst>
            <a:ext uri="{FF2B5EF4-FFF2-40B4-BE49-F238E27FC236}">
              <a16:creationId xmlns:a16="http://schemas.microsoft.com/office/drawing/2014/main" id="{12A9C55E-CCCF-4637-8F4C-6E2075DB3F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4" name="TextBox 2731">
          <a:extLst>
            <a:ext uri="{FF2B5EF4-FFF2-40B4-BE49-F238E27FC236}">
              <a16:creationId xmlns:a16="http://schemas.microsoft.com/office/drawing/2014/main" id="{B8DA1A1B-D7B1-44B7-A968-B41F6E772B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5" name="TextBox 2732">
          <a:extLst>
            <a:ext uri="{FF2B5EF4-FFF2-40B4-BE49-F238E27FC236}">
              <a16:creationId xmlns:a16="http://schemas.microsoft.com/office/drawing/2014/main" id="{0C6FC7BD-458F-49BE-9017-D46013C511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6" name="TextBox 13">
          <a:extLst>
            <a:ext uri="{FF2B5EF4-FFF2-40B4-BE49-F238E27FC236}">
              <a16:creationId xmlns:a16="http://schemas.microsoft.com/office/drawing/2014/main" id="{C654EAA8-F751-4EF3-9AE0-9B8EAB88C7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7" name="TextBox 14">
          <a:extLst>
            <a:ext uri="{FF2B5EF4-FFF2-40B4-BE49-F238E27FC236}">
              <a16:creationId xmlns:a16="http://schemas.microsoft.com/office/drawing/2014/main" id="{D2F98852-66A1-4662-9424-CFFE2C4DFC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8" name="TextBox 2735">
          <a:extLst>
            <a:ext uri="{FF2B5EF4-FFF2-40B4-BE49-F238E27FC236}">
              <a16:creationId xmlns:a16="http://schemas.microsoft.com/office/drawing/2014/main" id="{A4B1D9F1-1A33-48F3-83E3-509215403C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49" name="TextBox 2736">
          <a:extLst>
            <a:ext uri="{FF2B5EF4-FFF2-40B4-BE49-F238E27FC236}">
              <a16:creationId xmlns:a16="http://schemas.microsoft.com/office/drawing/2014/main" id="{848AB896-59F5-4719-B12F-1F22C8BF074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0" name="TextBox 2737">
          <a:extLst>
            <a:ext uri="{FF2B5EF4-FFF2-40B4-BE49-F238E27FC236}">
              <a16:creationId xmlns:a16="http://schemas.microsoft.com/office/drawing/2014/main" id="{F4EFA0B0-C8D4-4442-B800-9A0A1FC3EF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1" name="TextBox 2738">
          <a:extLst>
            <a:ext uri="{FF2B5EF4-FFF2-40B4-BE49-F238E27FC236}">
              <a16:creationId xmlns:a16="http://schemas.microsoft.com/office/drawing/2014/main" id="{8447AFD6-C5AE-4ADC-9DF9-6FCA2C5001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2" name="TextBox 15">
          <a:extLst>
            <a:ext uri="{FF2B5EF4-FFF2-40B4-BE49-F238E27FC236}">
              <a16:creationId xmlns:a16="http://schemas.microsoft.com/office/drawing/2014/main" id="{4D8B0C6B-D70D-49E0-B16A-CF77C05844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3" name="TextBox 16">
          <a:extLst>
            <a:ext uri="{FF2B5EF4-FFF2-40B4-BE49-F238E27FC236}">
              <a16:creationId xmlns:a16="http://schemas.microsoft.com/office/drawing/2014/main" id="{9A581C53-DD9B-491D-8625-703007E588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4" name="TextBox 17">
          <a:extLst>
            <a:ext uri="{FF2B5EF4-FFF2-40B4-BE49-F238E27FC236}">
              <a16:creationId xmlns:a16="http://schemas.microsoft.com/office/drawing/2014/main" id="{2DB1392C-160B-471C-B5B6-DB64BA2A212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5" name="TextBox 18">
          <a:extLst>
            <a:ext uri="{FF2B5EF4-FFF2-40B4-BE49-F238E27FC236}">
              <a16:creationId xmlns:a16="http://schemas.microsoft.com/office/drawing/2014/main" id="{803C3F8B-6831-450F-9AE5-7E5C240A46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6" name="TextBox 2743">
          <a:extLst>
            <a:ext uri="{FF2B5EF4-FFF2-40B4-BE49-F238E27FC236}">
              <a16:creationId xmlns:a16="http://schemas.microsoft.com/office/drawing/2014/main" id="{A24E80D4-6462-4FAA-A482-D6E230FB0F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7" name="TextBox 2744">
          <a:extLst>
            <a:ext uri="{FF2B5EF4-FFF2-40B4-BE49-F238E27FC236}">
              <a16:creationId xmlns:a16="http://schemas.microsoft.com/office/drawing/2014/main" id="{C1EFD3A6-D757-4CF7-95B9-77A18C7F09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8" name="TextBox 1">
          <a:extLst>
            <a:ext uri="{FF2B5EF4-FFF2-40B4-BE49-F238E27FC236}">
              <a16:creationId xmlns:a16="http://schemas.microsoft.com/office/drawing/2014/main" id="{6A6278DC-9C13-41A0-B118-790FAF490C7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59" name="TextBox 3">
          <a:extLst>
            <a:ext uri="{FF2B5EF4-FFF2-40B4-BE49-F238E27FC236}">
              <a16:creationId xmlns:a16="http://schemas.microsoft.com/office/drawing/2014/main" id="{5046286C-C39A-4B4B-829A-32D3E173C5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0" name="TextBox 2747">
          <a:extLst>
            <a:ext uri="{FF2B5EF4-FFF2-40B4-BE49-F238E27FC236}">
              <a16:creationId xmlns:a16="http://schemas.microsoft.com/office/drawing/2014/main" id="{6C8C92B9-B8E7-45B7-8A7C-67E2E40510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1" name="TextBox 2748">
          <a:extLst>
            <a:ext uri="{FF2B5EF4-FFF2-40B4-BE49-F238E27FC236}">
              <a16:creationId xmlns:a16="http://schemas.microsoft.com/office/drawing/2014/main" id="{FE1D25C6-F825-47F7-9405-F288837EA9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2" name="TextBox 2749">
          <a:extLst>
            <a:ext uri="{FF2B5EF4-FFF2-40B4-BE49-F238E27FC236}">
              <a16:creationId xmlns:a16="http://schemas.microsoft.com/office/drawing/2014/main" id="{131351F2-619F-426F-A0D3-87A5CE2583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3" name="TextBox 2750">
          <a:extLst>
            <a:ext uri="{FF2B5EF4-FFF2-40B4-BE49-F238E27FC236}">
              <a16:creationId xmlns:a16="http://schemas.microsoft.com/office/drawing/2014/main" id="{E5340837-C517-44A0-820E-898ADDA7B8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4" name="TextBox 2751">
          <a:extLst>
            <a:ext uri="{FF2B5EF4-FFF2-40B4-BE49-F238E27FC236}">
              <a16:creationId xmlns:a16="http://schemas.microsoft.com/office/drawing/2014/main" id="{E245B3C1-BC6B-426D-85E0-EFC3841625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5" name="TextBox 2752">
          <a:extLst>
            <a:ext uri="{FF2B5EF4-FFF2-40B4-BE49-F238E27FC236}">
              <a16:creationId xmlns:a16="http://schemas.microsoft.com/office/drawing/2014/main" id="{D4C21652-9F3D-4308-9CF5-934BA1F894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6" name="TextBox 2753">
          <a:extLst>
            <a:ext uri="{FF2B5EF4-FFF2-40B4-BE49-F238E27FC236}">
              <a16:creationId xmlns:a16="http://schemas.microsoft.com/office/drawing/2014/main" id="{E5D0A75E-80BC-4EFB-B30F-73D3B25CD2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7" name="TextBox 2754">
          <a:extLst>
            <a:ext uri="{FF2B5EF4-FFF2-40B4-BE49-F238E27FC236}">
              <a16:creationId xmlns:a16="http://schemas.microsoft.com/office/drawing/2014/main" id="{C7027117-0CC4-4D8D-A031-3CB379CE99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8" name="TextBox 2755">
          <a:extLst>
            <a:ext uri="{FF2B5EF4-FFF2-40B4-BE49-F238E27FC236}">
              <a16:creationId xmlns:a16="http://schemas.microsoft.com/office/drawing/2014/main" id="{60282936-84A5-4647-ACA6-B221C8C978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69" name="TextBox 2756">
          <a:extLst>
            <a:ext uri="{FF2B5EF4-FFF2-40B4-BE49-F238E27FC236}">
              <a16:creationId xmlns:a16="http://schemas.microsoft.com/office/drawing/2014/main" id="{A9203E11-5CAC-4279-9930-3D6D46A70E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0" name="TextBox 13">
          <a:extLst>
            <a:ext uri="{FF2B5EF4-FFF2-40B4-BE49-F238E27FC236}">
              <a16:creationId xmlns:a16="http://schemas.microsoft.com/office/drawing/2014/main" id="{38EDA29D-CB21-42C6-AC8F-23BB0728E8C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1" name="TextBox 14">
          <a:extLst>
            <a:ext uri="{FF2B5EF4-FFF2-40B4-BE49-F238E27FC236}">
              <a16:creationId xmlns:a16="http://schemas.microsoft.com/office/drawing/2014/main" id="{E960B720-A90D-4790-BA7C-538A459963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2" name="TextBox 2759">
          <a:extLst>
            <a:ext uri="{FF2B5EF4-FFF2-40B4-BE49-F238E27FC236}">
              <a16:creationId xmlns:a16="http://schemas.microsoft.com/office/drawing/2014/main" id="{39DF913C-5C0D-4BFD-A1E5-9BD8BC213E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3" name="TextBox 2760">
          <a:extLst>
            <a:ext uri="{FF2B5EF4-FFF2-40B4-BE49-F238E27FC236}">
              <a16:creationId xmlns:a16="http://schemas.microsoft.com/office/drawing/2014/main" id="{DE17D2D3-5B3A-479B-92D6-1872224412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4" name="TextBox 2761">
          <a:extLst>
            <a:ext uri="{FF2B5EF4-FFF2-40B4-BE49-F238E27FC236}">
              <a16:creationId xmlns:a16="http://schemas.microsoft.com/office/drawing/2014/main" id="{FF8A7923-7451-46CC-BD4A-A252DB1180C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5" name="TextBox 2762">
          <a:extLst>
            <a:ext uri="{FF2B5EF4-FFF2-40B4-BE49-F238E27FC236}">
              <a16:creationId xmlns:a16="http://schemas.microsoft.com/office/drawing/2014/main" id="{E6BFEF29-1464-41D8-9F71-0732588F58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6" name="TextBox 2">
          <a:extLst>
            <a:ext uri="{FF2B5EF4-FFF2-40B4-BE49-F238E27FC236}">
              <a16:creationId xmlns:a16="http://schemas.microsoft.com/office/drawing/2014/main" id="{6C0DEC75-70DA-4A5E-A92A-8AF55BE61F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7" name="TextBox 4">
          <a:extLst>
            <a:ext uri="{FF2B5EF4-FFF2-40B4-BE49-F238E27FC236}">
              <a16:creationId xmlns:a16="http://schemas.microsoft.com/office/drawing/2014/main" id="{09049C4B-6B6B-41AC-81C1-E4E6849109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8" name="TextBox 2765">
          <a:extLst>
            <a:ext uri="{FF2B5EF4-FFF2-40B4-BE49-F238E27FC236}">
              <a16:creationId xmlns:a16="http://schemas.microsoft.com/office/drawing/2014/main" id="{0716A726-792D-4313-9221-B8EF94E648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79" name="TextBox 2766">
          <a:extLst>
            <a:ext uri="{FF2B5EF4-FFF2-40B4-BE49-F238E27FC236}">
              <a16:creationId xmlns:a16="http://schemas.microsoft.com/office/drawing/2014/main" id="{B6A0A995-AE60-4F24-AD03-5EDE06F8B7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0" name="TextBox 2767">
          <a:extLst>
            <a:ext uri="{FF2B5EF4-FFF2-40B4-BE49-F238E27FC236}">
              <a16:creationId xmlns:a16="http://schemas.microsoft.com/office/drawing/2014/main" id="{29821527-FB92-475A-A2E2-8A12AE67918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1" name="TextBox 2768">
          <a:extLst>
            <a:ext uri="{FF2B5EF4-FFF2-40B4-BE49-F238E27FC236}">
              <a16:creationId xmlns:a16="http://schemas.microsoft.com/office/drawing/2014/main" id="{27FF648F-2133-4263-8A16-B24D67416F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2" name="TextBox 2769">
          <a:extLst>
            <a:ext uri="{FF2B5EF4-FFF2-40B4-BE49-F238E27FC236}">
              <a16:creationId xmlns:a16="http://schemas.microsoft.com/office/drawing/2014/main" id="{53558EF4-8D92-42CC-A75C-823E25D7F8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3" name="TextBox 2770">
          <a:extLst>
            <a:ext uri="{FF2B5EF4-FFF2-40B4-BE49-F238E27FC236}">
              <a16:creationId xmlns:a16="http://schemas.microsoft.com/office/drawing/2014/main" id="{E5B61585-54B6-4213-876B-1E27D2FFE3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4" name="TextBox 15">
          <a:extLst>
            <a:ext uri="{FF2B5EF4-FFF2-40B4-BE49-F238E27FC236}">
              <a16:creationId xmlns:a16="http://schemas.microsoft.com/office/drawing/2014/main" id="{370CB235-DC8E-4298-B304-5BF45F3C96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5" name="TextBox 16">
          <a:extLst>
            <a:ext uri="{FF2B5EF4-FFF2-40B4-BE49-F238E27FC236}">
              <a16:creationId xmlns:a16="http://schemas.microsoft.com/office/drawing/2014/main" id="{F4AA9933-05F0-4F98-A966-6C3380ED63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6" name="TextBox 17">
          <a:extLst>
            <a:ext uri="{FF2B5EF4-FFF2-40B4-BE49-F238E27FC236}">
              <a16:creationId xmlns:a16="http://schemas.microsoft.com/office/drawing/2014/main" id="{286769C5-0D3A-4A4E-92C8-D4F42327AE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7" name="TextBox 18">
          <a:extLst>
            <a:ext uri="{FF2B5EF4-FFF2-40B4-BE49-F238E27FC236}">
              <a16:creationId xmlns:a16="http://schemas.microsoft.com/office/drawing/2014/main" id="{833762A4-106E-4E69-889D-24A673BA02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8" name="TextBox 2775">
          <a:extLst>
            <a:ext uri="{FF2B5EF4-FFF2-40B4-BE49-F238E27FC236}">
              <a16:creationId xmlns:a16="http://schemas.microsoft.com/office/drawing/2014/main" id="{1825B3EC-9F8F-49B3-AE52-03E4BA922C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89" name="TextBox 2776">
          <a:extLst>
            <a:ext uri="{FF2B5EF4-FFF2-40B4-BE49-F238E27FC236}">
              <a16:creationId xmlns:a16="http://schemas.microsoft.com/office/drawing/2014/main" id="{F235FA48-2329-4001-950B-957AE79963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0" name="TextBox 1">
          <a:extLst>
            <a:ext uri="{FF2B5EF4-FFF2-40B4-BE49-F238E27FC236}">
              <a16:creationId xmlns:a16="http://schemas.microsoft.com/office/drawing/2014/main" id="{DE0AFA4C-1A64-4B08-A8AB-A7B111C7E79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1" name="TextBox 3">
          <a:extLst>
            <a:ext uri="{FF2B5EF4-FFF2-40B4-BE49-F238E27FC236}">
              <a16:creationId xmlns:a16="http://schemas.microsoft.com/office/drawing/2014/main" id="{5B28E18D-9C24-468A-AF9B-DD29786AEA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2" name="TextBox 2779">
          <a:extLst>
            <a:ext uri="{FF2B5EF4-FFF2-40B4-BE49-F238E27FC236}">
              <a16:creationId xmlns:a16="http://schemas.microsoft.com/office/drawing/2014/main" id="{F0119555-3778-46C8-9719-4D359FC2FB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3" name="TextBox 2780">
          <a:extLst>
            <a:ext uri="{FF2B5EF4-FFF2-40B4-BE49-F238E27FC236}">
              <a16:creationId xmlns:a16="http://schemas.microsoft.com/office/drawing/2014/main" id="{8D2EF43C-B3F6-4E68-8865-5888FB0682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4" name="TextBox 2781">
          <a:extLst>
            <a:ext uri="{FF2B5EF4-FFF2-40B4-BE49-F238E27FC236}">
              <a16:creationId xmlns:a16="http://schemas.microsoft.com/office/drawing/2014/main" id="{B38C5713-63AB-46FD-9498-52C09AB2AA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5" name="TextBox 2782">
          <a:extLst>
            <a:ext uri="{FF2B5EF4-FFF2-40B4-BE49-F238E27FC236}">
              <a16:creationId xmlns:a16="http://schemas.microsoft.com/office/drawing/2014/main" id="{D43A1D08-21CA-4A2A-91E9-F3E45BB4DC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6" name="TextBox 2783">
          <a:extLst>
            <a:ext uri="{FF2B5EF4-FFF2-40B4-BE49-F238E27FC236}">
              <a16:creationId xmlns:a16="http://schemas.microsoft.com/office/drawing/2014/main" id="{105D1BFE-E58A-473C-98A1-5F6AEE0F7E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7" name="TextBox 2784">
          <a:extLst>
            <a:ext uri="{FF2B5EF4-FFF2-40B4-BE49-F238E27FC236}">
              <a16:creationId xmlns:a16="http://schemas.microsoft.com/office/drawing/2014/main" id="{65B1D6F1-585D-4A74-8939-0FF7AD24C2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8" name="TextBox 2785">
          <a:extLst>
            <a:ext uri="{FF2B5EF4-FFF2-40B4-BE49-F238E27FC236}">
              <a16:creationId xmlns:a16="http://schemas.microsoft.com/office/drawing/2014/main" id="{2BFF4DED-E087-4091-A773-60AF858F6F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199" name="TextBox 2786">
          <a:extLst>
            <a:ext uri="{FF2B5EF4-FFF2-40B4-BE49-F238E27FC236}">
              <a16:creationId xmlns:a16="http://schemas.microsoft.com/office/drawing/2014/main" id="{3E7EF8F3-6349-4387-9929-B1B96BB7DA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0" name="TextBox 2787">
          <a:extLst>
            <a:ext uri="{FF2B5EF4-FFF2-40B4-BE49-F238E27FC236}">
              <a16:creationId xmlns:a16="http://schemas.microsoft.com/office/drawing/2014/main" id="{E143730F-A1AD-4CF2-8C23-C8615CB4561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1" name="TextBox 2788">
          <a:extLst>
            <a:ext uri="{FF2B5EF4-FFF2-40B4-BE49-F238E27FC236}">
              <a16:creationId xmlns:a16="http://schemas.microsoft.com/office/drawing/2014/main" id="{890E2B4D-F695-4BFB-A4AF-9947FD9241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2" name="TextBox 13">
          <a:extLst>
            <a:ext uri="{FF2B5EF4-FFF2-40B4-BE49-F238E27FC236}">
              <a16:creationId xmlns:a16="http://schemas.microsoft.com/office/drawing/2014/main" id="{51E4F6FE-B83A-437D-8111-74344209D3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3" name="TextBox 14">
          <a:extLst>
            <a:ext uri="{FF2B5EF4-FFF2-40B4-BE49-F238E27FC236}">
              <a16:creationId xmlns:a16="http://schemas.microsoft.com/office/drawing/2014/main" id="{1C22BAE8-583F-4168-88B1-D2C9548CBB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4" name="TextBox 2791">
          <a:extLst>
            <a:ext uri="{FF2B5EF4-FFF2-40B4-BE49-F238E27FC236}">
              <a16:creationId xmlns:a16="http://schemas.microsoft.com/office/drawing/2014/main" id="{A24DE941-8782-453C-A9B8-4ED373FFEF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5" name="TextBox 2792">
          <a:extLst>
            <a:ext uri="{FF2B5EF4-FFF2-40B4-BE49-F238E27FC236}">
              <a16:creationId xmlns:a16="http://schemas.microsoft.com/office/drawing/2014/main" id="{4C68C199-4183-4862-95B1-78DA44A14D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6" name="TextBox 2793">
          <a:extLst>
            <a:ext uri="{FF2B5EF4-FFF2-40B4-BE49-F238E27FC236}">
              <a16:creationId xmlns:a16="http://schemas.microsoft.com/office/drawing/2014/main" id="{985E47C7-1941-454C-AAD1-9F4AFBBC50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7" name="TextBox 2794">
          <a:extLst>
            <a:ext uri="{FF2B5EF4-FFF2-40B4-BE49-F238E27FC236}">
              <a16:creationId xmlns:a16="http://schemas.microsoft.com/office/drawing/2014/main" id="{FEFABF48-1790-4D27-86A1-C7A57143F06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8" name="TextBox 15">
          <a:extLst>
            <a:ext uri="{FF2B5EF4-FFF2-40B4-BE49-F238E27FC236}">
              <a16:creationId xmlns:a16="http://schemas.microsoft.com/office/drawing/2014/main" id="{D03632C5-2F52-4CBE-AC1C-5DE3BC7DD6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09" name="TextBox 16">
          <a:extLst>
            <a:ext uri="{FF2B5EF4-FFF2-40B4-BE49-F238E27FC236}">
              <a16:creationId xmlns:a16="http://schemas.microsoft.com/office/drawing/2014/main" id="{AA26D2DF-0E73-40C9-A7CB-6D12FA52F3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0" name="TextBox 17">
          <a:extLst>
            <a:ext uri="{FF2B5EF4-FFF2-40B4-BE49-F238E27FC236}">
              <a16:creationId xmlns:a16="http://schemas.microsoft.com/office/drawing/2014/main" id="{6512E170-5BC3-4C04-B739-2608123F0F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1" name="TextBox 18">
          <a:extLst>
            <a:ext uri="{FF2B5EF4-FFF2-40B4-BE49-F238E27FC236}">
              <a16:creationId xmlns:a16="http://schemas.microsoft.com/office/drawing/2014/main" id="{727631FA-2715-41FF-A6F0-D809AED0A2D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2" name="TextBox 2799">
          <a:extLst>
            <a:ext uri="{FF2B5EF4-FFF2-40B4-BE49-F238E27FC236}">
              <a16:creationId xmlns:a16="http://schemas.microsoft.com/office/drawing/2014/main" id="{1BFA2843-F710-4801-8D36-1C896D89BD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3" name="TextBox 2800">
          <a:extLst>
            <a:ext uri="{FF2B5EF4-FFF2-40B4-BE49-F238E27FC236}">
              <a16:creationId xmlns:a16="http://schemas.microsoft.com/office/drawing/2014/main" id="{B87BB871-97C8-440D-A5A3-4217008CAB1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4" name="TextBox 1">
          <a:extLst>
            <a:ext uri="{FF2B5EF4-FFF2-40B4-BE49-F238E27FC236}">
              <a16:creationId xmlns:a16="http://schemas.microsoft.com/office/drawing/2014/main" id="{B35946C0-6719-4B71-9351-9C277FC7AA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5" name="TextBox 3">
          <a:extLst>
            <a:ext uri="{FF2B5EF4-FFF2-40B4-BE49-F238E27FC236}">
              <a16:creationId xmlns:a16="http://schemas.microsoft.com/office/drawing/2014/main" id="{A16208D1-6742-47C9-84DD-3A1A006FDA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6" name="TextBox 2803">
          <a:extLst>
            <a:ext uri="{FF2B5EF4-FFF2-40B4-BE49-F238E27FC236}">
              <a16:creationId xmlns:a16="http://schemas.microsoft.com/office/drawing/2014/main" id="{E72AF20D-07A2-44A8-9180-774B558995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7" name="TextBox 2804">
          <a:extLst>
            <a:ext uri="{FF2B5EF4-FFF2-40B4-BE49-F238E27FC236}">
              <a16:creationId xmlns:a16="http://schemas.microsoft.com/office/drawing/2014/main" id="{E6A4EA37-CCA7-4842-8D20-5B8F0C2380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8" name="TextBox 2805">
          <a:extLst>
            <a:ext uri="{FF2B5EF4-FFF2-40B4-BE49-F238E27FC236}">
              <a16:creationId xmlns:a16="http://schemas.microsoft.com/office/drawing/2014/main" id="{EDE715FD-9ED1-45AD-9AAD-6E1395737D1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19" name="TextBox 2806">
          <a:extLst>
            <a:ext uri="{FF2B5EF4-FFF2-40B4-BE49-F238E27FC236}">
              <a16:creationId xmlns:a16="http://schemas.microsoft.com/office/drawing/2014/main" id="{963D256A-E099-4F94-B74E-41740887F8D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0" name="TextBox 2807">
          <a:extLst>
            <a:ext uri="{FF2B5EF4-FFF2-40B4-BE49-F238E27FC236}">
              <a16:creationId xmlns:a16="http://schemas.microsoft.com/office/drawing/2014/main" id="{6270AA5A-E91A-4F23-A6A0-0CF3E5F6EB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1" name="TextBox 2808">
          <a:extLst>
            <a:ext uri="{FF2B5EF4-FFF2-40B4-BE49-F238E27FC236}">
              <a16:creationId xmlns:a16="http://schemas.microsoft.com/office/drawing/2014/main" id="{594379D4-11D4-460D-B405-C7AFD59943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2" name="TextBox 2809">
          <a:extLst>
            <a:ext uri="{FF2B5EF4-FFF2-40B4-BE49-F238E27FC236}">
              <a16:creationId xmlns:a16="http://schemas.microsoft.com/office/drawing/2014/main" id="{68B5630F-6BFE-411A-9E84-A05B1FCD3E2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3" name="TextBox 2810">
          <a:extLst>
            <a:ext uri="{FF2B5EF4-FFF2-40B4-BE49-F238E27FC236}">
              <a16:creationId xmlns:a16="http://schemas.microsoft.com/office/drawing/2014/main" id="{DC6153F7-000C-4133-964C-22623C85F5A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4" name="TextBox 2811">
          <a:extLst>
            <a:ext uri="{FF2B5EF4-FFF2-40B4-BE49-F238E27FC236}">
              <a16:creationId xmlns:a16="http://schemas.microsoft.com/office/drawing/2014/main" id="{2B00A241-6C7E-484F-B03B-FEF5823259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5" name="TextBox 2812">
          <a:extLst>
            <a:ext uri="{FF2B5EF4-FFF2-40B4-BE49-F238E27FC236}">
              <a16:creationId xmlns:a16="http://schemas.microsoft.com/office/drawing/2014/main" id="{D4C07F07-B068-4A01-98C0-AB0F7D4FBD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6" name="TextBox 13">
          <a:extLst>
            <a:ext uri="{FF2B5EF4-FFF2-40B4-BE49-F238E27FC236}">
              <a16:creationId xmlns:a16="http://schemas.microsoft.com/office/drawing/2014/main" id="{796926D2-1DED-4A1B-B229-13DC0E887F2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7" name="TextBox 14">
          <a:extLst>
            <a:ext uri="{FF2B5EF4-FFF2-40B4-BE49-F238E27FC236}">
              <a16:creationId xmlns:a16="http://schemas.microsoft.com/office/drawing/2014/main" id="{DB599440-1F72-4C91-B560-E50D342119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8" name="TextBox 2815">
          <a:extLst>
            <a:ext uri="{FF2B5EF4-FFF2-40B4-BE49-F238E27FC236}">
              <a16:creationId xmlns:a16="http://schemas.microsoft.com/office/drawing/2014/main" id="{BEEB7EEF-6691-44A2-AFF1-D042EDFA50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29" name="TextBox 2816">
          <a:extLst>
            <a:ext uri="{FF2B5EF4-FFF2-40B4-BE49-F238E27FC236}">
              <a16:creationId xmlns:a16="http://schemas.microsoft.com/office/drawing/2014/main" id="{E2EBB35C-5DB1-4558-82A4-D4746D3917F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0" name="TextBox 2817">
          <a:extLst>
            <a:ext uri="{FF2B5EF4-FFF2-40B4-BE49-F238E27FC236}">
              <a16:creationId xmlns:a16="http://schemas.microsoft.com/office/drawing/2014/main" id="{83ED294B-592C-48EF-80A0-55CB306854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1" name="TextBox 2818">
          <a:extLst>
            <a:ext uri="{FF2B5EF4-FFF2-40B4-BE49-F238E27FC236}">
              <a16:creationId xmlns:a16="http://schemas.microsoft.com/office/drawing/2014/main" id="{75BFAE05-C3D8-49F1-8652-980D30B2C5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2" name="TextBox 15">
          <a:extLst>
            <a:ext uri="{FF2B5EF4-FFF2-40B4-BE49-F238E27FC236}">
              <a16:creationId xmlns:a16="http://schemas.microsoft.com/office/drawing/2014/main" id="{B6D39ED1-67ED-47A6-B88C-AD0D3AB2CC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3" name="TextBox 16">
          <a:extLst>
            <a:ext uri="{FF2B5EF4-FFF2-40B4-BE49-F238E27FC236}">
              <a16:creationId xmlns:a16="http://schemas.microsoft.com/office/drawing/2014/main" id="{95B0BB13-D767-412A-AE7D-44FDF87C913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4" name="TextBox 17">
          <a:extLst>
            <a:ext uri="{FF2B5EF4-FFF2-40B4-BE49-F238E27FC236}">
              <a16:creationId xmlns:a16="http://schemas.microsoft.com/office/drawing/2014/main" id="{DB2B850C-E2DA-497B-8595-E156F377A2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5" name="TextBox 18">
          <a:extLst>
            <a:ext uri="{FF2B5EF4-FFF2-40B4-BE49-F238E27FC236}">
              <a16:creationId xmlns:a16="http://schemas.microsoft.com/office/drawing/2014/main" id="{7F135D2B-2DF8-4724-85CA-960A463404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6" name="TextBox 2823">
          <a:extLst>
            <a:ext uri="{FF2B5EF4-FFF2-40B4-BE49-F238E27FC236}">
              <a16:creationId xmlns:a16="http://schemas.microsoft.com/office/drawing/2014/main" id="{4B28C511-772B-409E-A08F-FD2BCD22CB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7" name="TextBox 2824">
          <a:extLst>
            <a:ext uri="{FF2B5EF4-FFF2-40B4-BE49-F238E27FC236}">
              <a16:creationId xmlns:a16="http://schemas.microsoft.com/office/drawing/2014/main" id="{7AB4F150-C3F2-456A-B1BD-7BE8B3DDEE4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8" name="TextBox 1">
          <a:extLst>
            <a:ext uri="{FF2B5EF4-FFF2-40B4-BE49-F238E27FC236}">
              <a16:creationId xmlns:a16="http://schemas.microsoft.com/office/drawing/2014/main" id="{47ADFFFE-A34F-445D-9F4E-64ADBD0DA0C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39" name="TextBox 3">
          <a:extLst>
            <a:ext uri="{FF2B5EF4-FFF2-40B4-BE49-F238E27FC236}">
              <a16:creationId xmlns:a16="http://schemas.microsoft.com/office/drawing/2014/main" id="{76C9267C-EA3A-47A1-9D8A-042C87631F7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0" name="TextBox 2827">
          <a:extLst>
            <a:ext uri="{FF2B5EF4-FFF2-40B4-BE49-F238E27FC236}">
              <a16:creationId xmlns:a16="http://schemas.microsoft.com/office/drawing/2014/main" id="{673F9C15-157B-4254-A375-20A45A48AD2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1" name="TextBox 2828">
          <a:extLst>
            <a:ext uri="{FF2B5EF4-FFF2-40B4-BE49-F238E27FC236}">
              <a16:creationId xmlns:a16="http://schemas.microsoft.com/office/drawing/2014/main" id="{460F57F4-5DC2-4607-9DCA-EC0FFFA438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2" name="TextBox 2829">
          <a:extLst>
            <a:ext uri="{FF2B5EF4-FFF2-40B4-BE49-F238E27FC236}">
              <a16:creationId xmlns:a16="http://schemas.microsoft.com/office/drawing/2014/main" id="{F56B638F-FDAD-4748-B0D0-1707598573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3" name="TextBox 2830">
          <a:extLst>
            <a:ext uri="{FF2B5EF4-FFF2-40B4-BE49-F238E27FC236}">
              <a16:creationId xmlns:a16="http://schemas.microsoft.com/office/drawing/2014/main" id="{C0331F9A-08A3-4ADC-9E88-4F5B50C42B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4" name="TextBox 2831">
          <a:extLst>
            <a:ext uri="{FF2B5EF4-FFF2-40B4-BE49-F238E27FC236}">
              <a16:creationId xmlns:a16="http://schemas.microsoft.com/office/drawing/2014/main" id="{9BDECE1A-23EB-468D-B235-CD6D3BCCF3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5" name="TextBox 2832">
          <a:extLst>
            <a:ext uri="{FF2B5EF4-FFF2-40B4-BE49-F238E27FC236}">
              <a16:creationId xmlns:a16="http://schemas.microsoft.com/office/drawing/2014/main" id="{470DD07B-5536-438B-AEE5-FD1937089A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6" name="TextBox 2833">
          <a:extLst>
            <a:ext uri="{FF2B5EF4-FFF2-40B4-BE49-F238E27FC236}">
              <a16:creationId xmlns:a16="http://schemas.microsoft.com/office/drawing/2014/main" id="{EAF6B204-A136-4433-920C-E41C5C219F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7" name="TextBox 2834">
          <a:extLst>
            <a:ext uri="{FF2B5EF4-FFF2-40B4-BE49-F238E27FC236}">
              <a16:creationId xmlns:a16="http://schemas.microsoft.com/office/drawing/2014/main" id="{C39B89E3-E6CA-434C-B410-4F87E15030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8" name="TextBox 2835">
          <a:extLst>
            <a:ext uri="{FF2B5EF4-FFF2-40B4-BE49-F238E27FC236}">
              <a16:creationId xmlns:a16="http://schemas.microsoft.com/office/drawing/2014/main" id="{5E7F71C8-3E95-4659-9B13-043AAF2E56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49" name="TextBox 2836">
          <a:extLst>
            <a:ext uri="{FF2B5EF4-FFF2-40B4-BE49-F238E27FC236}">
              <a16:creationId xmlns:a16="http://schemas.microsoft.com/office/drawing/2014/main" id="{5C458765-7048-477D-A371-E2BC1BB2DF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0" name="TextBox 13">
          <a:extLst>
            <a:ext uri="{FF2B5EF4-FFF2-40B4-BE49-F238E27FC236}">
              <a16:creationId xmlns:a16="http://schemas.microsoft.com/office/drawing/2014/main" id="{EC0BE663-F829-4AE9-A7BF-05A2509134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1" name="TextBox 14">
          <a:extLst>
            <a:ext uri="{FF2B5EF4-FFF2-40B4-BE49-F238E27FC236}">
              <a16:creationId xmlns:a16="http://schemas.microsoft.com/office/drawing/2014/main" id="{37F6A140-378D-47C8-82AB-E193A4BC5BE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2" name="TextBox 2839">
          <a:extLst>
            <a:ext uri="{FF2B5EF4-FFF2-40B4-BE49-F238E27FC236}">
              <a16:creationId xmlns:a16="http://schemas.microsoft.com/office/drawing/2014/main" id="{807A9CEF-B24B-4DF6-AB09-467D2D0200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3" name="TextBox 2840">
          <a:extLst>
            <a:ext uri="{FF2B5EF4-FFF2-40B4-BE49-F238E27FC236}">
              <a16:creationId xmlns:a16="http://schemas.microsoft.com/office/drawing/2014/main" id="{5192F296-3B36-4250-A879-B9A8C390C3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4" name="TextBox 2841">
          <a:extLst>
            <a:ext uri="{FF2B5EF4-FFF2-40B4-BE49-F238E27FC236}">
              <a16:creationId xmlns:a16="http://schemas.microsoft.com/office/drawing/2014/main" id="{BB77D595-1276-433C-ADB3-E4F514B02D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5" name="TextBox 2842">
          <a:extLst>
            <a:ext uri="{FF2B5EF4-FFF2-40B4-BE49-F238E27FC236}">
              <a16:creationId xmlns:a16="http://schemas.microsoft.com/office/drawing/2014/main" id="{7106E917-68D3-471F-A552-16B7992C3E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6" name="TextBox 15">
          <a:extLst>
            <a:ext uri="{FF2B5EF4-FFF2-40B4-BE49-F238E27FC236}">
              <a16:creationId xmlns:a16="http://schemas.microsoft.com/office/drawing/2014/main" id="{67F31A2F-9788-4FB9-8A8F-8AB65C24BD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7" name="TextBox 16">
          <a:extLst>
            <a:ext uri="{FF2B5EF4-FFF2-40B4-BE49-F238E27FC236}">
              <a16:creationId xmlns:a16="http://schemas.microsoft.com/office/drawing/2014/main" id="{5CF1361F-74AE-4D2B-98DA-57AED6EFD4B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8" name="TextBox 17">
          <a:extLst>
            <a:ext uri="{FF2B5EF4-FFF2-40B4-BE49-F238E27FC236}">
              <a16:creationId xmlns:a16="http://schemas.microsoft.com/office/drawing/2014/main" id="{3F6B2671-BBF1-4578-9253-DFBDB4141E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59" name="TextBox 18">
          <a:extLst>
            <a:ext uri="{FF2B5EF4-FFF2-40B4-BE49-F238E27FC236}">
              <a16:creationId xmlns:a16="http://schemas.microsoft.com/office/drawing/2014/main" id="{9898E332-3F55-410C-9028-0D2515B9D82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0" name="TextBox 2847">
          <a:extLst>
            <a:ext uri="{FF2B5EF4-FFF2-40B4-BE49-F238E27FC236}">
              <a16:creationId xmlns:a16="http://schemas.microsoft.com/office/drawing/2014/main" id="{BD9EE556-447F-4A2E-8941-811AFCA74A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1" name="TextBox 2848">
          <a:extLst>
            <a:ext uri="{FF2B5EF4-FFF2-40B4-BE49-F238E27FC236}">
              <a16:creationId xmlns:a16="http://schemas.microsoft.com/office/drawing/2014/main" id="{3F0DF20B-489F-4DA4-B683-35F6DA95454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2" name="TextBox 1">
          <a:extLst>
            <a:ext uri="{FF2B5EF4-FFF2-40B4-BE49-F238E27FC236}">
              <a16:creationId xmlns:a16="http://schemas.microsoft.com/office/drawing/2014/main" id="{952A38E1-954A-4A52-9286-7DAE41A3808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3" name="TextBox 3">
          <a:extLst>
            <a:ext uri="{FF2B5EF4-FFF2-40B4-BE49-F238E27FC236}">
              <a16:creationId xmlns:a16="http://schemas.microsoft.com/office/drawing/2014/main" id="{A45E7B68-9C54-4B0E-BB56-19C3DFE259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4" name="TextBox 2851">
          <a:extLst>
            <a:ext uri="{FF2B5EF4-FFF2-40B4-BE49-F238E27FC236}">
              <a16:creationId xmlns:a16="http://schemas.microsoft.com/office/drawing/2014/main" id="{3DCE64AE-9528-4A47-80A2-9E51AD9F45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5" name="TextBox 2852">
          <a:extLst>
            <a:ext uri="{FF2B5EF4-FFF2-40B4-BE49-F238E27FC236}">
              <a16:creationId xmlns:a16="http://schemas.microsoft.com/office/drawing/2014/main" id="{19AEC013-8F6D-4DD2-BAA1-4FB31AE215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6" name="TextBox 2853">
          <a:extLst>
            <a:ext uri="{FF2B5EF4-FFF2-40B4-BE49-F238E27FC236}">
              <a16:creationId xmlns:a16="http://schemas.microsoft.com/office/drawing/2014/main" id="{F53CED75-CC68-4760-9EAE-4D94F4A218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7" name="TextBox 2854">
          <a:extLst>
            <a:ext uri="{FF2B5EF4-FFF2-40B4-BE49-F238E27FC236}">
              <a16:creationId xmlns:a16="http://schemas.microsoft.com/office/drawing/2014/main" id="{B693EE9E-0546-499C-B740-6E0BACA5F0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8" name="TextBox 2855">
          <a:extLst>
            <a:ext uri="{FF2B5EF4-FFF2-40B4-BE49-F238E27FC236}">
              <a16:creationId xmlns:a16="http://schemas.microsoft.com/office/drawing/2014/main" id="{F6F6EC0C-9040-43F2-B9F6-080A4979529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69" name="TextBox 2856">
          <a:extLst>
            <a:ext uri="{FF2B5EF4-FFF2-40B4-BE49-F238E27FC236}">
              <a16:creationId xmlns:a16="http://schemas.microsoft.com/office/drawing/2014/main" id="{4A1D0C8E-9EC5-4D89-8C44-6A9B159107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0" name="TextBox 2857">
          <a:extLst>
            <a:ext uri="{FF2B5EF4-FFF2-40B4-BE49-F238E27FC236}">
              <a16:creationId xmlns:a16="http://schemas.microsoft.com/office/drawing/2014/main" id="{6CF499A3-F6B5-414B-BEE4-4BFFD84AA6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1" name="TextBox 2858">
          <a:extLst>
            <a:ext uri="{FF2B5EF4-FFF2-40B4-BE49-F238E27FC236}">
              <a16:creationId xmlns:a16="http://schemas.microsoft.com/office/drawing/2014/main" id="{2782D14B-9311-4711-AEA1-B006DE2BD4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2" name="TextBox 2859">
          <a:extLst>
            <a:ext uri="{FF2B5EF4-FFF2-40B4-BE49-F238E27FC236}">
              <a16:creationId xmlns:a16="http://schemas.microsoft.com/office/drawing/2014/main" id="{DD60189F-CFA2-446C-9714-3D4F28D4BB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3" name="TextBox 2860">
          <a:extLst>
            <a:ext uri="{FF2B5EF4-FFF2-40B4-BE49-F238E27FC236}">
              <a16:creationId xmlns:a16="http://schemas.microsoft.com/office/drawing/2014/main" id="{97BF6BED-15B8-4558-8A44-B392EB3350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4" name="TextBox 13">
          <a:extLst>
            <a:ext uri="{FF2B5EF4-FFF2-40B4-BE49-F238E27FC236}">
              <a16:creationId xmlns:a16="http://schemas.microsoft.com/office/drawing/2014/main" id="{4A83265E-6F77-45D8-BCB8-92C2B3F544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5" name="TextBox 14">
          <a:extLst>
            <a:ext uri="{FF2B5EF4-FFF2-40B4-BE49-F238E27FC236}">
              <a16:creationId xmlns:a16="http://schemas.microsoft.com/office/drawing/2014/main" id="{E1BE990E-EEB6-4639-8DDC-585B373414B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6" name="TextBox 2863">
          <a:extLst>
            <a:ext uri="{FF2B5EF4-FFF2-40B4-BE49-F238E27FC236}">
              <a16:creationId xmlns:a16="http://schemas.microsoft.com/office/drawing/2014/main" id="{D641EF51-F888-4CF3-9E47-37793C798B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7" name="TextBox 2864">
          <a:extLst>
            <a:ext uri="{FF2B5EF4-FFF2-40B4-BE49-F238E27FC236}">
              <a16:creationId xmlns:a16="http://schemas.microsoft.com/office/drawing/2014/main" id="{FDDA20D7-C76F-4B7E-BA8D-C763FE5566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8" name="TextBox 2865">
          <a:extLst>
            <a:ext uri="{FF2B5EF4-FFF2-40B4-BE49-F238E27FC236}">
              <a16:creationId xmlns:a16="http://schemas.microsoft.com/office/drawing/2014/main" id="{A24EA8BC-FE8F-490A-A563-0CF61D5D95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79" name="TextBox 2866">
          <a:extLst>
            <a:ext uri="{FF2B5EF4-FFF2-40B4-BE49-F238E27FC236}">
              <a16:creationId xmlns:a16="http://schemas.microsoft.com/office/drawing/2014/main" id="{E27B03EC-5B4F-4CC7-8844-9359B800C1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0" name="TextBox 15">
          <a:extLst>
            <a:ext uri="{FF2B5EF4-FFF2-40B4-BE49-F238E27FC236}">
              <a16:creationId xmlns:a16="http://schemas.microsoft.com/office/drawing/2014/main" id="{63BB2709-DCD0-4CDF-BBC3-8369CB5A04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1" name="TextBox 16">
          <a:extLst>
            <a:ext uri="{FF2B5EF4-FFF2-40B4-BE49-F238E27FC236}">
              <a16:creationId xmlns:a16="http://schemas.microsoft.com/office/drawing/2014/main" id="{9C6C85FD-53E3-4C05-8601-264EC2AEAD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2" name="TextBox 17">
          <a:extLst>
            <a:ext uri="{FF2B5EF4-FFF2-40B4-BE49-F238E27FC236}">
              <a16:creationId xmlns:a16="http://schemas.microsoft.com/office/drawing/2014/main" id="{6AF5F586-B78B-4FFF-8DD5-C3A6EADE6E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3" name="TextBox 18">
          <a:extLst>
            <a:ext uri="{FF2B5EF4-FFF2-40B4-BE49-F238E27FC236}">
              <a16:creationId xmlns:a16="http://schemas.microsoft.com/office/drawing/2014/main" id="{672641EF-B29F-4464-8B5C-3705A260D8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4" name="TextBox 2871">
          <a:extLst>
            <a:ext uri="{FF2B5EF4-FFF2-40B4-BE49-F238E27FC236}">
              <a16:creationId xmlns:a16="http://schemas.microsoft.com/office/drawing/2014/main" id="{73FC00E5-2803-4714-AB46-E8627C05A1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5" name="TextBox 2872">
          <a:extLst>
            <a:ext uri="{FF2B5EF4-FFF2-40B4-BE49-F238E27FC236}">
              <a16:creationId xmlns:a16="http://schemas.microsoft.com/office/drawing/2014/main" id="{3C99FF5C-6CFE-4AB9-B0FD-04BB1E5237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6" name="TextBox 1">
          <a:extLst>
            <a:ext uri="{FF2B5EF4-FFF2-40B4-BE49-F238E27FC236}">
              <a16:creationId xmlns:a16="http://schemas.microsoft.com/office/drawing/2014/main" id="{27E5297B-95DC-4B51-A797-51310F158A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7" name="TextBox 3">
          <a:extLst>
            <a:ext uri="{FF2B5EF4-FFF2-40B4-BE49-F238E27FC236}">
              <a16:creationId xmlns:a16="http://schemas.microsoft.com/office/drawing/2014/main" id="{A50B2103-207A-4961-9A2C-587613B8ECF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8" name="TextBox 2875">
          <a:extLst>
            <a:ext uri="{FF2B5EF4-FFF2-40B4-BE49-F238E27FC236}">
              <a16:creationId xmlns:a16="http://schemas.microsoft.com/office/drawing/2014/main" id="{182D171C-52D6-4D1B-BC00-28A52F54E1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89" name="TextBox 2876">
          <a:extLst>
            <a:ext uri="{FF2B5EF4-FFF2-40B4-BE49-F238E27FC236}">
              <a16:creationId xmlns:a16="http://schemas.microsoft.com/office/drawing/2014/main" id="{85D8D57F-ED09-4FBE-99DA-E2A42B7B1C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0" name="TextBox 2877">
          <a:extLst>
            <a:ext uri="{FF2B5EF4-FFF2-40B4-BE49-F238E27FC236}">
              <a16:creationId xmlns:a16="http://schemas.microsoft.com/office/drawing/2014/main" id="{47969BA3-C05E-45ED-B257-23FC06AD721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1" name="TextBox 2878">
          <a:extLst>
            <a:ext uri="{FF2B5EF4-FFF2-40B4-BE49-F238E27FC236}">
              <a16:creationId xmlns:a16="http://schemas.microsoft.com/office/drawing/2014/main" id="{176D9597-2A13-48F7-A06C-F67A78FB2E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2" name="TextBox 2879">
          <a:extLst>
            <a:ext uri="{FF2B5EF4-FFF2-40B4-BE49-F238E27FC236}">
              <a16:creationId xmlns:a16="http://schemas.microsoft.com/office/drawing/2014/main" id="{EE02D094-ED13-4F13-BEC2-4BD1CD01F6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3" name="TextBox 2880">
          <a:extLst>
            <a:ext uri="{FF2B5EF4-FFF2-40B4-BE49-F238E27FC236}">
              <a16:creationId xmlns:a16="http://schemas.microsoft.com/office/drawing/2014/main" id="{412B8103-5FBC-4522-B6BF-0577A71ECC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4" name="TextBox 2881">
          <a:extLst>
            <a:ext uri="{FF2B5EF4-FFF2-40B4-BE49-F238E27FC236}">
              <a16:creationId xmlns:a16="http://schemas.microsoft.com/office/drawing/2014/main" id="{58BED1AE-69E7-4C48-BAD9-5D2A78A156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5" name="TextBox 2882">
          <a:extLst>
            <a:ext uri="{FF2B5EF4-FFF2-40B4-BE49-F238E27FC236}">
              <a16:creationId xmlns:a16="http://schemas.microsoft.com/office/drawing/2014/main" id="{9E916662-F8E8-439F-BCA2-6EBFDE1752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6" name="TextBox 2883">
          <a:extLst>
            <a:ext uri="{FF2B5EF4-FFF2-40B4-BE49-F238E27FC236}">
              <a16:creationId xmlns:a16="http://schemas.microsoft.com/office/drawing/2014/main" id="{54F11BE8-731A-498F-8644-8525FD7733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7" name="TextBox 2884">
          <a:extLst>
            <a:ext uri="{FF2B5EF4-FFF2-40B4-BE49-F238E27FC236}">
              <a16:creationId xmlns:a16="http://schemas.microsoft.com/office/drawing/2014/main" id="{FF62393A-C6AC-463B-9D61-F94490D6703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8" name="TextBox 13">
          <a:extLst>
            <a:ext uri="{FF2B5EF4-FFF2-40B4-BE49-F238E27FC236}">
              <a16:creationId xmlns:a16="http://schemas.microsoft.com/office/drawing/2014/main" id="{12C1D7E3-690B-4DDF-BA48-C8E386CA88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299" name="TextBox 14">
          <a:extLst>
            <a:ext uri="{FF2B5EF4-FFF2-40B4-BE49-F238E27FC236}">
              <a16:creationId xmlns:a16="http://schemas.microsoft.com/office/drawing/2014/main" id="{EEA305BD-DB0B-4E3E-BB9A-49A9754588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0" name="TextBox 2887">
          <a:extLst>
            <a:ext uri="{FF2B5EF4-FFF2-40B4-BE49-F238E27FC236}">
              <a16:creationId xmlns:a16="http://schemas.microsoft.com/office/drawing/2014/main" id="{A004347F-38DE-40F8-A977-EEE463D802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1" name="TextBox 2888">
          <a:extLst>
            <a:ext uri="{FF2B5EF4-FFF2-40B4-BE49-F238E27FC236}">
              <a16:creationId xmlns:a16="http://schemas.microsoft.com/office/drawing/2014/main" id="{04F7A048-D637-4CC2-AC9B-58FEF150EC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2" name="TextBox 2889">
          <a:extLst>
            <a:ext uri="{FF2B5EF4-FFF2-40B4-BE49-F238E27FC236}">
              <a16:creationId xmlns:a16="http://schemas.microsoft.com/office/drawing/2014/main" id="{9D1B1729-DEC6-4566-999A-271420ABB5C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3" name="TextBox 2890">
          <a:extLst>
            <a:ext uri="{FF2B5EF4-FFF2-40B4-BE49-F238E27FC236}">
              <a16:creationId xmlns:a16="http://schemas.microsoft.com/office/drawing/2014/main" id="{9A665021-D577-4CED-8533-941618EA931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4" name="TextBox 15">
          <a:extLst>
            <a:ext uri="{FF2B5EF4-FFF2-40B4-BE49-F238E27FC236}">
              <a16:creationId xmlns:a16="http://schemas.microsoft.com/office/drawing/2014/main" id="{755C01EA-048A-45BA-ABB9-D317EDCAAC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5" name="TextBox 16">
          <a:extLst>
            <a:ext uri="{FF2B5EF4-FFF2-40B4-BE49-F238E27FC236}">
              <a16:creationId xmlns:a16="http://schemas.microsoft.com/office/drawing/2014/main" id="{1779043A-2A94-47DA-B92A-2DE30AC267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6" name="TextBox 17">
          <a:extLst>
            <a:ext uri="{FF2B5EF4-FFF2-40B4-BE49-F238E27FC236}">
              <a16:creationId xmlns:a16="http://schemas.microsoft.com/office/drawing/2014/main" id="{B0735F11-9E73-4CA4-BD68-1E91F8E2A95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7" name="TextBox 18">
          <a:extLst>
            <a:ext uri="{FF2B5EF4-FFF2-40B4-BE49-F238E27FC236}">
              <a16:creationId xmlns:a16="http://schemas.microsoft.com/office/drawing/2014/main" id="{16972424-DDBD-4F59-9F1F-97A4C38A02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8" name="TextBox 2895">
          <a:extLst>
            <a:ext uri="{FF2B5EF4-FFF2-40B4-BE49-F238E27FC236}">
              <a16:creationId xmlns:a16="http://schemas.microsoft.com/office/drawing/2014/main" id="{816F7E75-6188-4F75-85CB-0E20B045DE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09" name="TextBox 2896">
          <a:extLst>
            <a:ext uri="{FF2B5EF4-FFF2-40B4-BE49-F238E27FC236}">
              <a16:creationId xmlns:a16="http://schemas.microsoft.com/office/drawing/2014/main" id="{2C71AF11-0217-41A0-8768-7DBA556E79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0" name="TextBox 1">
          <a:extLst>
            <a:ext uri="{FF2B5EF4-FFF2-40B4-BE49-F238E27FC236}">
              <a16:creationId xmlns:a16="http://schemas.microsoft.com/office/drawing/2014/main" id="{23FFF52D-C1D5-4F8C-8142-F8B851B3C01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1" name="TextBox 3">
          <a:extLst>
            <a:ext uri="{FF2B5EF4-FFF2-40B4-BE49-F238E27FC236}">
              <a16:creationId xmlns:a16="http://schemas.microsoft.com/office/drawing/2014/main" id="{A2D6CFEE-296C-43ED-B48C-946B474F0D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2" name="TextBox 2899">
          <a:extLst>
            <a:ext uri="{FF2B5EF4-FFF2-40B4-BE49-F238E27FC236}">
              <a16:creationId xmlns:a16="http://schemas.microsoft.com/office/drawing/2014/main" id="{B70B2272-E3E8-401D-9D73-6D4788352A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3" name="TextBox 2900">
          <a:extLst>
            <a:ext uri="{FF2B5EF4-FFF2-40B4-BE49-F238E27FC236}">
              <a16:creationId xmlns:a16="http://schemas.microsoft.com/office/drawing/2014/main" id="{DD0464CA-86D1-480C-A9C9-E382A0796F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4" name="TextBox 2901">
          <a:extLst>
            <a:ext uri="{FF2B5EF4-FFF2-40B4-BE49-F238E27FC236}">
              <a16:creationId xmlns:a16="http://schemas.microsoft.com/office/drawing/2014/main" id="{BDEC2D1C-87FD-433A-BBF6-E95A717044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5" name="TextBox 2902">
          <a:extLst>
            <a:ext uri="{FF2B5EF4-FFF2-40B4-BE49-F238E27FC236}">
              <a16:creationId xmlns:a16="http://schemas.microsoft.com/office/drawing/2014/main" id="{1C121CE7-B058-4ED5-BF2D-FBD4404FAF6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6" name="TextBox 2903">
          <a:extLst>
            <a:ext uri="{FF2B5EF4-FFF2-40B4-BE49-F238E27FC236}">
              <a16:creationId xmlns:a16="http://schemas.microsoft.com/office/drawing/2014/main" id="{96A8DF01-CA78-429C-B1BB-2426C963AD2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7" name="TextBox 2904">
          <a:extLst>
            <a:ext uri="{FF2B5EF4-FFF2-40B4-BE49-F238E27FC236}">
              <a16:creationId xmlns:a16="http://schemas.microsoft.com/office/drawing/2014/main" id="{881396C6-6141-42DF-90DC-0A19CA0FDC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8" name="TextBox 2905">
          <a:extLst>
            <a:ext uri="{FF2B5EF4-FFF2-40B4-BE49-F238E27FC236}">
              <a16:creationId xmlns:a16="http://schemas.microsoft.com/office/drawing/2014/main" id="{9DA515FC-673C-438F-86E0-DEDCAA3176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19" name="TextBox 2906">
          <a:extLst>
            <a:ext uri="{FF2B5EF4-FFF2-40B4-BE49-F238E27FC236}">
              <a16:creationId xmlns:a16="http://schemas.microsoft.com/office/drawing/2014/main" id="{C794959D-EA9F-4041-A00E-DC00AD261E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0" name="TextBox 2907">
          <a:extLst>
            <a:ext uri="{FF2B5EF4-FFF2-40B4-BE49-F238E27FC236}">
              <a16:creationId xmlns:a16="http://schemas.microsoft.com/office/drawing/2014/main" id="{73209B19-AFCC-497C-B0C2-2B76103A02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1" name="TextBox 2908">
          <a:extLst>
            <a:ext uri="{FF2B5EF4-FFF2-40B4-BE49-F238E27FC236}">
              <a16:creationId xmlns:a16="http://schemas.microsoft.com/office/drawing/2014/main" id="{FE026856-C5C2-4D28-80BB-69E6A918B4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2" name="TextBox 13">
          <a:extLst>
            <a:ext uri="{FF2B5EF4-FFF2-40B4-BE49-F238E27FC236}">
              <a16:creationId xmlns:a16="http://schemas.microsoft.com/office/drawing/2014/main" id="{5DE5B290-815A-4FF1-81BF-CEBA2D9267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3" name="TextBox 14">
          <a:extLst>
            <a:ext uri="{FF2B5EF4-FFF2-40B4-BE49-F238E27FC236}">
              <a16:creationId xmlns:a16="http://schemas.microsoft.com/office/drawing/2014/main" id="{F1E62DA2-3997-4603-AF82-78BDB0A8306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4" name="TextBox 2911">
          <a:extLst>
            <a:ext uri="{FF2B5EF4-FFF2-40B4-BE49-F238E27FC236}">
              <a16:creationId xmlns:a16="http://schemas.microsoft.com/office/drawing/2014/main" id="{DF193B6F-2F09-4057-A655-B10F818960C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5" name="TextBox 2912">
          <a:extLst>
            <a:ext uri="{FF2B5EF4-FFF2-40B4-BE49-F238E27FC236}">
              <a16:creationId xmlns:a16="http://schemas.microsoft.com/office/drawing/2014/main" id="{BA5DD363-C3C6-467E-B5FC-18D220D962E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6" name="TextBox 2913">
          <a:extLst>
            <a:ext uri="{FF2B5EF4-FFF2-40B4-BE49-F238E27FC236}">
              <a16:creationId xmlns:a16="http://schemas.microsoft.com/office/drawing/2014/main" id="{3CF502F8-A4FF-478C-9E68-C5FF381140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7" name="TextBox 2914">
          <a:extLst>
            <a:ext uri="{FF2B5EF4-FFF2-40B4-BE49-F238E27FC236}">
              <a16:creationId xmlns:a16="http://schemas.microsoft.com/office/drawing/2014/main" id="{B91E5A0A-D1A0-4B80-962F-798AC1D8DE6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8" name="TextBox 15">
          <a:extLst>
            <a:ext uri="{FF2B5EF4-FFF2-40B4-BE49-F238E27FC236}">
              <a16:creationId xmlns:a16="http://schemas.microsoft.com/office/drawing/2014/main" id="{CD692C34-6F6F-4291-BC81-A8186154E3D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29" name="TextBox 16">
          <a:extLst>
            <a:ext uri="{FF2B5EF4-FFF2-40B4-BE49-F238E27FC236}">
              <a16:creationId xmlns:a16="http://schemas.microsoft.com/office/drawing/2014/main" id="{C43C6CEC-D8E1-423F-8701-D803BA8EA1D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0" name="TextBox 17">
          <a:extLst>
            <a:ext uri="{FF2B5EF4-FFF2-40B4-BE49-F238E27FC236}">
              <a16:creationId xmlns:a16="http://schemas.microsoft.com/office/drawing/2014/main" id="{F4E55B58-D02C-46B0-82E2-1F9A3A5CA7C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1" name="TextBox 18">
          <a:extLst>
            <a:ext uri="{FF2B5EF4-FFF2-40B4-BE49-F238E27FC236}">
              <a16:creationId xmlns:a16="http://schemas.microsoft.com/office/drawing/2014/main" id="{DF0CC00C-5F6C-48AC-BAC8-A2BFAA8EEE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2" name="TextBox 2919">
          <a:extLst>
            <a:ext uri="{FF2B5EF4-FFF2-40B4-BE49-F238E27FC236}">
              <a16:creationId xmlns:a16="http://schemas.microsoft.com/office/drawing/2014/main" id="{A14B52C5-AC1C-4D1A-991E-99D9006E4E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3" name="TextBox 2920">
          <a:extLst>
            <a:ext uri="{FF2B5EF4-FFF2-40B4-BE49-F238E27FC236}">
              <a16:creationId xmlns:a16="http://schemas.microsoft.com/office/drawing/2014/main" id="{80A2BDCC-E32E-47AE-87FD-DD343D36CE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4" name="TextBox 1">
          <a:extLst>
            <a:ext uri="{FF2B5EF4-FFF2-40B4-BE49-F238E27FC236}">
              <a16:creationId xmlns:a16="http://schemas.microsoft.com/office/drawing/2014/main" id="{81C1DE66-5ED4-4641-BFF7-EC2D9F9A8A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5" name="TextBox 3">
          <a:extLst>
            <a:ext uri="{FF2B5EF4-FFF2-40B4-BE49-F238E27FC236}">
              <a16:creationId xmlns:a16="http://schemas.microsoft.com/office/drawing/2014/main" id="{4F0EBE54-2BBD-49D7-BF44-2BA6A6B2DE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6" name="TextBox 2923">
          <a:extLst>
            <a:ext uri="{FF2B5EF4-FFF2-40B4-BE49-F238E27FC236}">
              <a16:creationId xmlns:a16="http://schemas.microsoft.com/office/drawing/2014/main" id="{14D8E0DF-FB5A-40F8-8391-96BAB6F4B9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7" name="TextBox 2924">
          <a:extLst>
            <a:ext uri="{FF2B5EF4-FFF2-40B4-BE49-F238E27FC236}">
              <a16:creationId xmlns:a16="http://schemas.microsoft.com/office/drawing/2014/main" id="{15E68EC7-3D1E-4CCE-AC05-EF1F3E5479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8" name="TextBox 2925">
          <a:extLst>
            <a:ext uri="{FF2B5EF4-FFF2-40B4-BE49-F238E27FC236}">
              <a16:creationId xmlns:a16="http://schemas.microsoft.com/office/drawing/2014/main" id="{62968290-767A-4369-A809-5B79E1E4CB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39" name="TextBox 2926">
          <a:extLst>
            <a:ext uri="{FF2B5EF4-FFF2-40B4-BE49-F238E27FC236}">
              <a16:creationId xmlns:a16="http://schemas.microsoft.com/office/drawing/2014/main" id="{CF28F6FE-4925-46CE-9987-B395F2E0A25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0" name="TextBox 2927">
          <a:extLst>
            <a:ext uri="{FF2B5EF4-FFF2-40B4-BE49-F238E27FC236}">
              <a16:creationId xmlns:a16="http://schemas.microsoft.com/office/drawing/2014/main" id="{A2915A7C-61C3-4735-9BEF-16A1A1260E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1" name="TextBox 2928">
          <a:extLst>
            <a:ext uri="{FF2B5EF4-FFF2-40B4-BE49-F238E27FC236}">
              <a16:creationId xmlns:a16="http://schemas.microsoft.com/office/drawing/2014/main" id="{A0DC8393-1CCF-4F38-8E30-192282CC53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2" name="TextBox 2929">
          <a:extLst>
            <a:ext uri="{FF2B5EF4-FFF2-40B4-BE49-F238E27FC236}">
              <a16:creationId xmlns:a16="http://schemas.microsoft.com/office/drawing/2014/main" id="{FCA23B2D-61DE-4B72-AF6F-C2C35A9762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3" name="TextBox 2930">
          <a:extLst>
            <a:ext uri="{FF2B5EF4-FFF2-40B4-BE49-F238E27FC236}">
              <a16:creationId xmlns:a16="http://schemas.microsoft.com/office/drawing/2014/main" id="{F628226A-ED42-44AE-B829-86473E92FC3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4" name="TextBox 2931">
          <a:extLst>
            <a:ext uri="{FF2B5EF4-FFF2-40B4-BE49-F238E27FC236}">
              <a16:creationId xmlns:a16="http://schemas.microsoft.com/office/drawing/2014/main" id="{8E7E0DB1-2590-4EE8-969F-6E3E3EBCFB4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5" name="TextBox 2932">
          <a:extLst>
            <a:ext uri="{FF2B5EF4-FFF2-40B4-BE49-F238E27FC236}">
              <a16:creationId xmlns:a16="http://schemas.microsoft.com/office/drawing/2014/main" id="{C6AA9D60-71F9-4619-BE21-ED44E05C4E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6" name="TextBox 13">
          <a:extLst>
            <a:ext uri="{FF2B5EF4-FFF2-40B4-BE49-F238E27FC236}">
              <a16:creationId xmlns:a16="http://schemas.microsoft.com/office/drawing/2014/main" id="{3EF76F7E-FB1D-48AE-A7A0-1927E1DAC7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7" name="TextBox 14">
          <a:extLst>
            <a:ext uri="{FF2B5EF4-FFF2-40B4-BE49-F238E27FC236}">
              <a16:creationId xmlns:a16="http://schemas.microsoft.com/office/drawing/2014/main" id="{492E5CCD-44DC-49C0-83B0-A82BE6DE4C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8" name="TextBox 2935">
          <a:extLst>
            <a:ext uri="{FF2B5EF4-FFF2-40B4-BE49-F238E27FC236}">
              <a16:creationId xmlns:a16="http://schemas.microsoft.com/office/drawing/2014/main" id="{62BAC323-82CA-4E3A-97B6-0D5F3F76793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49" name="TextBox 2936">
          <a:extLst>
            <a:ext uri="{FF2B5EF4-FFF2-40B4-BE49-F238E27FC236}">
              <a16:creationId xmlns:a16="http://schemas.microsoft.com/office/drawing/2014/main" id="{7F97469D-0AAB-4325-A99F-363DACE99EE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0" name="TextBox 2937">
          <a:extLst>
            <a:ext uri="{FF2B5EF4-FFF2-40B4-BE49-F238E27FC236}">
              <a16:creationId xmlns:a16="http://schemas.microsoft.com/office/drawing/2014/main" id="{FCFBBA3C-6C71-4690-A830-003C9BA270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1" name="TextBox 2938">
          <a:extLst>
            <a:ext uri="{FF2B5EF4-FFF2-40B4-BE49-F238E27FC236}">
              <a16:creationId xmlns:a16="http://schemas.microsoft.com/office/drawing/2014/main" id="{D5EC2E7C-0805-40EA-AF82-5D1F00ECE5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2" name="TextBox 15">
          <a:extLst>
            <a:ext uri="{FF2B5EF4-FFF2-40B4-BE49-F238E27FC236}">
              <a16:creationId xmlns:a16="http://schemas.microsoft.com/office/drawing/2014/main" id="{A1B85F34-2667-4144-8F16-452BD42D88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3" name="TextBox 16">
          <a:extLst>
            <a:ext uri="{FF2B5EF4-FFF2-40B4-BE49-F238E27FC236}">
              <a16:creationId xmlns:a16="http://schemas.microsoft.com/office/drawing/2014/main" id="{F235BBB7-1493-4D94-B272-6596DB31E25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4" name="TextBox 17">
          <a:extLst>
            <a:ext uri="{FF2B5EF4-FFF2-40B4-BE49-F238E27FC236}">
              <a16:creationId xmlns:a16="http://schemas.microsoft.com/office/drawing/2014/main" id="{3AECDFBB-0018-4905-8003-C4373B74E77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5" name="TextBox 18">
          <a:extLst>
            <a:ext uri="{FF2B5EF4-FFF2-40B4-BE49-F238E27FC236}">
              <a16:creationId xmlns:a16="http://schemas.microsoft.com/office/drawing/2014/main" id="{197BCC2B-957C-4EFA-AD2A-993991AF9F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6" name="TextBox 2943">
          <a:extLst>
            <a:ext uri="{FF2B5EF4-FFF2-40B4-BE49-F238E27FC236}">
              <a16:creationId xmlns:a16="http://schemas.microsoft.com/office/drawing/2014/main" id="{9AB550A9-0201-4366-B6C9-CE71255D20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7" name="TextBox 2944">
          <a:extLst>
            <a:ext uri="{FF2B5EF4-FFF2-40B4-BE49-F238E27FC236}">
              <a16:creationId xmlns:a16="http://schemas.microsoft.com/office/drawing/2014/main" id="{B7072EE9-7F48-4875-A883-974141F409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8" name="TextBox 1">
          <a:extLst>
            <a:ext uri="{FF2B5EF4-FFF2-40B4-BE49-F238E27FC236}">
              <a16:creationId xmlns:a16="http://schemas.microsoft.com/office/drawing/2014/main" id="{3AAC66C5-FE30-48B5-B3AB-34A7915BDC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59" name="TextBox 3">
          <a:extLst>
            <a:ext uri="{FF2B5EF4-FFF2-40B4-BE49-F238E27FC236}">
              <a16:creationId xmlns:a16="http://schemas.microsoft.com/office/drawing/2014/main" id="{E3F9EA9D-0727-463A-8ECF-EFE4529E96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0" name="TextBox 2947">
          <a:extLst>
            <a:ext uri="{FF2B5EF4-FFF2-40B4-BE49-F238E27FC236}">
              <a16:creationId xmlns:a16="http://schemas.microsoft.com/office/drawing/2014/main" id="{AAA1D939-0649-40F2-91C2-3D24B8C5CB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1" name="TextBox 2948">
          <a:extLst>
            <a:ext uri="{FF2B5EF4-FFF2-40B4-BE49-F238E27FC236}">
              <a16:creationId xmlns:a16="http://schemas.microsoft.com/office/drawing/2014/main" id="{5A3CD0AF-485A-472D-A40F-F4F6DEC15B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2" name="TextBox 2949">
          <a:extLst>
            <a:ext uri="{FF2B5EF4-FFF2-40B4-BE49-F238E27FC236}">
              <a16:creationId xmlns:a16="http://schemas.microsoft.com/office/drawing/2014/main" id="{4C21503A-280A-4AF8-AC56-2222142774A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3" name="TextBox 2950">
          <a:extLst>
            <a:ext uri="{FF2B5EF4-FFF2-40B4-BE49-F238E27FC236}">
              <a16:creationId xmlns:a16="http://schemas.microsoft.com/office/drawing/2014/main" id="{F5A3B5CE-8EF0-4CC9-B201-BC967F8D17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4" name="TextBox 2951">
          <a:extLst>
            <a:ext uri="{FF2B5EF4-FFF2-40B4-BE49-F238E27FC236}">
              <a16:creationId xmlns:a16="http://schemas.microsoft.com/office/drawing/2014/main" id="{18768A13-E8B8-4B52-8853-006FABFE352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5" name="TextBox 2952">
          <a:extLst>
            <a:ext uri="{FF2B5EF4-FFF2-40B4-BE49-F238E27FC236}">
              <a16:creationId xmlns:a16="http://schemas.microsoft.com/office/drawing/2014/main" id="{3AA233C2-D0B9-4A2F-B8D9-CCB67D4A6E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6" name="TextBox 2953">
          <a:extLst>
            <a:ext uri="{FF2B5EF4-FFF2-40B4-BE49-F238E27FC236}">
              <a16:creationId xmlns:a16="http://schemas.microsoft.com/office/drawing/2014/main" id="{837AA6B1-8499-428E-BB76-7D604E7F623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7" name="TextBox 2954">
          <a:extLst>
            <a:ext uri="{FF2B5EF4-FFF2-40B4-BE49-F238E27FC236}">
              <a16:creationId xmlns:a16="http://schemas.microsoft.com/office/drawing/2014/main" id="{2F4D2340-9BFB-4FB2-A29E-9FC5EA4504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8" name="TextBox 2955">
          <a:extLst>
            <a:ext uri="{FF2B5EF4-FFF2-40B4-BE49-F238E27FC236}">
              <a16:creationId xmlns:a16="http://schemas.microsoft.com/office/drawing/2014/main" id="{CCDA85B6-9B1F-44E1-9724-DBB6BB15BE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69" name="TextBox 2956">
          <a:extLst>
            <a:ext uri="{FF2B5EF4-FFF2-40B4-BE49-F238E27FC236}">
              <a16:creationId xmlns:a16="http://schemas.microsoft.com/office/drawing/2014/main" id="{E16A6C8E-E58B-44C6-A854-E365CACA351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0" name="TextBox 13">
          <a:extLst>
            <a:ext uri="{FF2B5EF4-FFF2-40B4-BE49-F238E27FC236}">
              <a16:creationId xmlns:a16="http://schemas.microsoft.com/office/drawing/2014/main" id="{07861455-4EBF-446E-B3E7-B953E054DAB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1" name="TextBox 14">
          <a:extLst>
            <a:ext uri="{FF2B5EF4-FFF2-40B4-BE49-F238E27FC236}">
              <a16:creationId xmlns:a16="http://schemas.microsoft.com/office/drawing/2014/main" id="{AA0642F9-55F7-41F1-AB62-9309DBEE68B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2" name="TextBox 2959">
          <a:extLst>
            <a:ext uri="{FF2B5EF4-FFF2-40B4-BE49-F238E27FC236}">
              <a16:creationId xmlns:a16="http://schemas.microsoft.com/office/drawing/2014/main" id="{1EA7D771-FE77-42C5-B9CE-7DEF70C0679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3" name="TextBox 2960">
          <a:extLst>
            <a:ext uri="{FF2B5EF4-FFF2-40B4-BE49-F238E27FC236}">
              <a16:creationId xmlns:a16="http://schemas.microsoft.com/office/drawing/2014/main" id="{766F9124-A4D9-4E3D-A31C-CBE21D0ABA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4" name="TextBox 2961">
          <a:extLst>
            <a:ext uri="{FF2B5EF4-FFF2-40B4-BE49-F238E27FC236}">
              <a16:creationId xmlns:a16="http://schemas.microsoft.com/office/drawing/2014/main" id="{46AE2BB3-1024-4B6A-8184-D780A7E3F7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5" name="TextBox 2962">
          <a:extLst>
            <a:ext uri="{FF2B5EF4-FFF2-40B4-BE49-F238E27FC236}">
              <a16:creationId xmlns:a16="http://schemas.microsoft.com/office/drawing/2014/main" id="{BF93D385-B6B4-4CEE-BAC0-71767AF7344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6" name="TextBox 15">
          <a:extLst>
            <a:ext uri="{FF2B5EF4-FFF2-40B4-BE49-F238E27FC236}">
              <a16:creationId xmlns:a16="http://schemas.microsoft.com/office/drawing/2014/main" id="{ED1E6DFF-59D1-4BB8-A8EC-4AC415243A9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7" name="TextBox 16">
          <a:extLst>
            <a:ext uri="{FF2B5EF4-FFF2-40B4-BE49-F238E27FC236}">
              <a16:creationId xmlns:a16="http://schemas.microsoft.com/office/drawing/2014/main" id="{04935B81-EA05-4D8C-85AE-406EB819711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8" name="TextBox 17">
          <a:extLst>
            <a:ext uri="{FF2B5EF4-FFF2-40B4-BE49-F238E27FC236}">
              <a16:creationId xmlns:a16="http://schemas.microsoft.com/office/drawing/2014/main" id="{4F72AC6D-EC86-43B3-9BEF-7D4F4E8319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79" name="TextBox 18">
          <a:extLst>
            <a:ext uri="{FF2B5EF4-FFF2-40B4-BE49-F238E27FC236}">
              <a16:creationId xmlns:a16="http://schemas.microsoft.com/office/drawing/2014/main" id="{B29AD7F0-A463-41FA-8CF8-EE8C99D1A7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0" name="TextBox 2967">
          <a:extLst>
            <a:ext uri="{FF2B5EF4-FFF2-40B4-BE49-F238E27FC236}">
              <a16:creationId xmlns:a16="http://schemas.microsoft.com/office/drawing/2014/main" id="{9FEF6D27-1373-4FED-B42F-742395BD23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1" name="TextBox 2968">
          <a:extLst>
            <a:ext uri="{FF2B5EF4-FFF2-40B4-BE49-F238E27FC236}">
              <a16:creationId xmlns:a16="http://schemas.microsoft.com/office/drawing/2014/main" id="{4515FF69-3353-42DD-A542-3108F5F4A1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2" name="TextBox 1">
          <a:extLst>
            <a:ext uri="{FF2B5EF4-FFF2-40B4-BE49-F238E27FC236}">
              <a16:creationId xmlns:a16="http://schemas.microsoft.com/office/drawing/2014/main" id="{DBC64FB7-8B21-47C4-B034-C9499871D9E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3" name="TextBox 3">
          <a:extLst>
            <a:ext uri="{FF2B5EF4-FFF2-40B4-BE49-F238E27FC236}">
              <a16:creationId xmlns:a16="http://schemas.microsoft.com/office/drawing/2014/main" id="{41DEA595-8604-46BA-91A0-68827356B2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4" name="TextBox 2971">
          <a:extLst>
            <a:ext uri="{FF2B5EF4-FFF2-40B4-BE49-F238E27FC236}">
              <a16:creationId xmlns:a16="http://schemas.microsoft.com/office/drawing/2014/main" id="{2B33059C-478F-4E59-9732-910190ECD23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5" name="TextBox 2972">
          <a:extLst>
            <a:ext uri="{FF2B5EF4-FFF2-40B4-BE49-F238E27FC236}">
              <a16:creationId xmlns:a16="http://schemas.microsoft.com/office/drawing/2014/main" id="{5382DEC6-FF1B-41BD-8C78-E1D0D01C2F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6" name="TextBox 2973">
          <a:extLst>
            <a:ext uri="{FF2B5EF4-FFF2-40B4-BE49-F238E27FC236}">
              <a16:creationId xmlns:a16="http://schemas.microsoft.com/office/drawing/2014/main" id="{B5D68902-8B6F-48AC-8F75-E2C7803DDA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7" name="TextBox 2974">
          <a:extLst>
            <a:ext uri="{FF2B5EF4-FFF2-40B4-BE49-F238E27FC236}">
              <a16:creationId xmlns:a16="http://schemas.microsoft.com/office/drawing/2014/main" id="{B07AB2AA-8282-4D3E-978C-DECF02A8BC4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8" name="TextBox 2975">
          <a:extLst>
            <a:ext uri="{FF2B5EF4-FFF2-40B4-BE49-F238E27FC236}">
              <a16:creationId xmlns:a16="http://schemas.microsoft.com/office/drawing/2014/main" id="{763C82FA-BB38-492B-942E-0273F8A59B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89" name="TextBox 2976">
          <a:extLst>
            <a:ext uri="{FF2B5EF4-FFF2-40B4-BE49-F238E27FC236}">
              <a16:creationId xmlns:a16="http://schemas.microsoft.com/office/drawing/2014/main" id="{A63B7C99-E1F6-4FF0-BA1C-BFB18CD973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0" name="TextBox 2977">
          <a:extLst>
            <a:ext uri="{FF2B5EF4-FFF2-40B4-BE49-F238E27FC236}">
              <a16:creationId xmlns:a16="http://schemas.microsoft.com/office/drawing/2014/main" id="{946BDEF6-7F83-4FA9-BFFF-8754D04343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1" name="TextBox 2978">
          <a:extLst>
            <a:ext uri="{FF2B5EF4-FFF2-40B4-BE49-F238E27FC236}">
              <a16:creationId xmlns:a16="http://schemas.microsoft.com/office/drawing/2014/main" id="{BD0EAAE2-93A0-4DC6-8DE4-CA5BACC575B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2" name="TextBox 2979">
          <a:extLst>
            <a:ext uri="{FF2B5EF4-FFF2-40B4-BE49-F238E27FC236}">
              <a16:creationId xmlns:a16="http://schemas.microsoft.com/office/drawing/2014/main" id="{5FDF7445-BD1D-4641-99A0-3D9271C0DA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3" name="TextBox 2980">
          <a:extLst>
            <a:ext uri="{FF2B5EF4-FFF2-40B4-BE49-F238E27FC236}">
              <a16:creationId xmlns:a16="http://schemas.microsoft.com/office/drawing/2014/main" id="{23385B0E-E69F-4E24-B236-95E97A03EA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4" name="TextBox 13">
          <a:extLst>
            <a:ext uri="{FF2B5EF4-FFF2-40B4-BE49-F238E27FC236}">
              <a16:creationId xmlns:a16="http://schemas.microsoft.com/office/drawing/2014/main" id="{CE109A12-0A68-4B5F-987C-C9C75A8F1BB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5" name="TextBox 14">
          <a:extLst>
            <a:ext uri="{FF2B5EF4-FFF2-40B4-BE49-F238E27FC236}">
              <a16:creationId xmlns:a16="http://schemas.microsoft.com/office/drawing/2014/main" id="{D3E0A7E9-7126-4ADD-A3CB-8C25112204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6" name="TextBox 2983">
          <a:extLst>
            <a:ext uri="{FF2B5EF4-FFF2-40B4-BE49-F238E27FC236}">
              <a16:creationId xmlns:a16="http://schemas.microsoft.com/office/drawing/2014/main" id="{BE29F221-903F-4D61-A8D1-0E9105F62E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7" name="TextBox 2984">
          <a:extLst>
            <a:ext uri="{FF2B5EF4-FFF2-40B4-BE49-F238E27FC236}">
              <a16:creationId xmlns:a16="http://schemas.microsoft.com/office/drawing/2014/main" id="{00A9C017-4984-4F2B-9A83-52894277F7A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8" name="TextBox 2985">
          <a:extLst>
            <a:ext uri="{FF2B5EF4-FFF2-40B4-BE49-F238E27FC236}">
              <a16:creationId xmlns:a16="http://schemas.microsoft.com/office/drawing/2014/main" id="{C3D98B2A-B6EE-4B3B-B440-55FBCD3CFB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399" name="TextBox 2986">
          <a:extLst>
            <a:ext uri="{FF2B5EF4-FFF2-40B4-BE49-F238E27FC236}">
              <a16:creationId xmlns:a16="http://schemas.microsoft.com/office/drawing/2014/main" id="{19DF45F7-CD9E-488D-B668-4F98BDA4098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0" name="TextBox 15">
          <a:extLst>
            <a:ext uri="{FF2B5EF4-FFF2-40B4-BE49-F238E27FC236}">
              <a16:creationId xmlns:a16="http://schemas.microsoft.com/office/drawing/2014/main" id="{BCBD2B96-1FD0-42C2-AFDF-CB537D4D185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1" name="TextBox 16">
          <a:extLst>
            <a:ext uri="{FF2B5EF4-FFF2-40B4-BE49-F238E27FC236}">
              <a16:creationId xmlns:a16="http://schemas.microsoft.com/office/drawing/2014/main" id="{490AEE86-0EC7-4715-BFC7-3A14ED6D45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2" name="TextBox 17">
          <a:extLst>
            <a:ext uri="{FF2B5EF4-FFF2-40B4-BE49-F238E27FC236}">
              <a16:creationId xmlns:a16="http://schemas.microsoft.com/office/drawing/2014/main" id="{56B16818-BE8F-4F43-B81E-8ABE098605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3" name="TextBox 18">
          <a:extLst>
            <a:ext uri="{FF2B5EF4-FFF2-40B4-BE49-F238E27FC236}">
              <a16:creationId xmlns:a16="http://schemas.microsoft.com/office/drawing/2014/main" id="{3011ECF3-E7FD-4C47-BDA3-236040B1D16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4" name="TextBox 2991">
          <a:extLst>
            <a:ext uri="{FF2B5EF4-FFF2-40B4-BE49-F238E27FC236}">
              <a16:creationId xmlns:a16="http://schemas.microsoft.com/office/drawing/2014/main" id="{82695E47-CDCA-4031-81DA-01B78F4ED6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5" name="TextBox 2992">
          <a:extLst>
            <a:ext uri="{FF2B5EF4-FFF2-40B4-BE49-F238E27FC236}">
              <a16:creationId xmlns:a16="http://schemas.microsoft.com/office/drawing/2014/main" id="{BB88341E-6965-4C99-BABD-E64DBAF447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6" name="TextBox 1">
          <a:extLst>
            <a:ext uri="{FF2B5EF4-FFF2-40B4-BE49-F238E27FC236}">
              <a16:creationId xmlns:a16="http://schemas.microsoft.com/office/drawing/2014/main" id="{4E55B722-CDF0-4305-B38A-C018EBF668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7" name="TextBox 3">
          <a:extLst>
            <a:ext uri="{FF2B5EF4-FFF2-40B4-BE49-F238E27FC236}">
              <a16:creationId xmlns:a16="http://schemas.microsoft.com/office/drawing/2014/main" id="{C009820A-D319-41F9-80C0-D7465C482E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8" name="TextBox 2995">
          <a:extLst>
            <a:ext uri="{FF2B5EF4-FFF2-40B4-BE49-F238E27FC236}">
              <a16:creationId xmlns:a16="http://schemas.microsoft.com/office/drawing/2014/main" id="{4EF5A1EB-2179-4745-92F0-0636C69FC9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09" name="TextBox 2996">
          <a:extLst>
            <a:ext uri="{FF2B5EF4-FFF2-40B4-BE49-F238E27FC236}">
              <a16:creationId xmlns:a16="http://schemas.microsoft.com/office/drawing/2014/main" id="{DF42F494-3C28-4F5E-BE26-1D4EE11B1A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0" name="TextBox 2997">
          <a:extLst>
            <a:ext uri="{FF2B5EF4-FFF2-40B4-BE49-F238E27FC236}">
              <a16:creationId xmlns:a16="http://schemas.microsoft.com/office/drawing/2014/main" id="{C643892B-D351-4343-B8D3-95FC5933C77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1" name="TextBox 2998">
          <a:extLst>
            <a:ext uri="{FF2B5EF4-FFF2-40B4-BE49-F238E27FC236}">
              <a16:creationId xmlns:a16="http://schemas.microsoft.com/office/drawing/2014/main" id="{31011032-4C5C-42DC-8DBB-DF39C3061F7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2" name="TextBox 2999">
          <a:extLst>
            <a:ext uri="{FF2B5EF4-FFF2-40B4-BE49-F238E27FC236}">
              <a16:creationId xmlns:a16="http://schemas.microsoft.com/office/drawing/2014/main" id="{F0C59E23-CBEB-49F3-B28C-75B99433041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3" name="TextBox 3000">
          <a:extLst>
            <a:ext uri="{FF2B5EF4-FFF2-40B4-BE49-F238E27FC236}">
              <a16:creationId xmlns:a16="http://schemas.microsoft.com/office/drawing/2014/main" id="{64B8A9D5-73CA-4C25-A909-CF023BEE9D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4" name="TextBox 3001">
          <a:extLst>
            <a:ext uri="{FF2B5EF4-FFF2-40B4-BE49-F238E27FC236}">
              <a16:creationId xmlns:a16="http://schemas.microsoft.com/office/drawing/2014/main" id="{B9B8D25C-9ED3-4FAE-91BB-44212C32D1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5" name="TextBox 3002">
          <a:extLst>
            <a:ext uri="{FF2B5EF4-FFF2-40B4-BE49-F238E27FC236}">
              <a16:creationId xmlns:a16="http://schemas.microsoft.com/office/drawing/2014/main" id="{C9A99883-4B09-4617-AE5E-A54BB118B4E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6" name="TextBox 3003">
          <a:extLst>
            <a:ext uri="{FF2B5EF4-FFF2-40B4-BE49-F238E27FC236}">
              <a16:creationId xmlns:a16="http://schemas.microsoft.com/office/drawing/2014/main" id="{20037558-C7FA-45E9-929D-4C605DA6FA0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7" name="TextBox 3004">
          <a:extLst>
            <a:ext uri="{FF2B5EF4-FFF2-40B4-BE49-F238E27FC236}">
              <a16:creationId xmlns:a16="http://schemas.microsoft.com/office/drawing/2014/main" id="{1978AD23-2109-469E-885E-7E9785A27F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8" name="TextBox 13">
          <a:extLst>
            <a:ext uri="{FF2B5EF4-FFF2-40B4-BE49-F238E27FC236}">
              <a16:creationId xmlns:a16="http://schemas.microsoft.com/office/drawing/2014/main" id="{222FCDA6-B9F7-4BBF-ABC2-D99166F82F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19" name="TextBox 14">
          <a:extLst>
            <a:ext uri="{FF2B5EF4-FFF2-40B4-BE49-F238E27FC236}">
              <a16:creationId xmlns:a16="http://schemas.microsoft.com/office/drawing/2014/main" id="{CB40E1DD-B13C-41B5-9969-B4C22B8A43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0" name="TextBox 3007">
          <a:extLst>
            <a:ext uri="{FF2B5EF4-FFF2-40B4-BE49-F238E27FC236}">
              <a16:creationId xmlns:a16="http://schemas.microsoft.com/office/drawing/2014/main" id="{79F5F969-587C-4791-A998-92CE65A7AAF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1" name="TextBox 3008">
          <a:extLst>
            <a:ext uri="{FF2B5EF4-FFF2-40B4-BE49-F238E27FC236}">
              <a16:creationId xmlns:a16="http://schemas.microsoft.com/office/drawing/2014/main" id="{1DEA64CA-5F88-414F-969D-2193A3C63B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2" name="TextBox 11">
          <a:extLst>
            <a:ext uri="{FF2B5EF4-FFF2-40B4-BE49-F238E27FC236}">
              <a16:creationId xmlns:a16="http://schemas.microsoft.com/office/drawing/2014/main" id="{8AABD206-D7FA-4632-92AA-F33931774D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3" name="TextBox 12">
          <a:extLst>
            <a:ext uri="{FF2B5EF4-FFF2-40B4-BE49-F238E27FC236}">
              <a16:creationId xmlns:a16="http://schemas.microsoft.com/office/drawing/2014/main" id="{5BE74E2F-A4B3-434D-B271-BB36AE4DD3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4" name="TextBox 3011">
          <a:extLst>
            <a:ext uri="{FF2B5EF4-FFF2-40B4-BE49-F238E27FC236}">
              <a16:creationId xmlns:a16="http://schemas.microsoft.com/office/drawing/2014/main" id="{9771C490-9888-47BB-8262-9CA7E89345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5" name="TextBox 3012">
          <a:extLst>
            <a:ext uri="{FF2B5EF4-FFF2-40B4-BE49-F238E27FC236}">
              <a16:creationId xmlns:a16="http://schemas.microsoft.com/office/drawing/2014/main" id="{AD162BA8-13CB-4DAA-8993-B82FA0132C8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6" name="TextBox 1">
          <a:extLst>
            <a:ext uri="{FF2B5EF4-FFF2-40B4-BE49-F238E27FC236}">
              <a16:creationId xmlns:a16="http://schemas.microsoft.com/office/drawing/2014/main" id="{8A597F3B-63CD-4A8A-9097-41BBB94A235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7" name="TextBox 3">
          <a:extLst>
            <a:ext uri="{FF2B5EF4-FFF2-40B4-BE49-F238E27FC236}">
              <a16:creationId xmlns:a16="http://schemas.microsoft.com/office/drawing/2014/main" id="{AC4C9A1E-3B1A-48BE-A8E7-A2C58082D0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8" name="TextBox 11">
          <a:extLst>
            <a:ext uri="{FF2B5EF4-FFF2-40B4-BE49-F238E27FC236}">
              <a16:creationId xmlns:a16="http://schemas.microsoft.com/office/drawing/2014/main" id="{FFB3A797-0566-4733-8E34-AFF6EFEB3E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29" name="TextBox 12">
          <a:extLst>
            <a:ext uri="{FF2B5EF4-FFF2-40B4-BE49-F238E27FC236}">
              <a16:creationId xmlns:a16="http://schemas.microsoft.com/office/drawing/2014/main" id="{76E3D99D-641E-40BE-B724-6FD1B35EE8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0" name="TextBox 3017">
          <a:extLst>
            <a:ext uri="{FF2B5EF4-FFF2-40B4-BE49-F238E27FC236}">
              <a16:creationId xmlns:a16="http://schemas.microsoft.com/office/drawing/2014/main" id="{46D7A8F8-4217-4EC8-B027-C12D82FB84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1" name="TextBox 3018">
          <a:extLst>
            <a:ext uri="{FF2B5EF4-FFF2-40B4-BE49-F238E27FC236}">
              <a16:creationId xmlns:a16="http://schemas.microsoft.com/office/drawing/2014/main" id="{88D7EA3F-4F61-4064-85EB-CACE870238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2" name="TextBox 1">
          <a:extLst>
            <a:ext uri="{FF2B5EF4-FFF2-40B4-BE49-F238E27FC236}">
              <a16:creationId xmlns:a16="http://schemas.microsoft.com/office/drawing/2014/main" id="{0838606D-17F7-4E15-A4F5-E091AC0151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3" name="TextBox 3">
          <a:extLst>
            <a:ext uri="{FF2B5EF4-FFF2-40B4-BE49-F238E27FC236}">
              <a16:creationId xmlns:a16="http://schemas.microsoft.com/office/drawing/2014/main" id="{CDD6BFA0-4F73-4E3E-9422-270D4BA390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4" name="TextBox 3021">
          <a:extLst>
            <a:ext uri="{FF2B5EF4-FFF2-40B4-BE49-F238E27FC236}">
              <a16:creationId xmlns:a16="http://schemas.microsoft.com/office/drawing/2014/main" id="{579AEE6B-F307-4639-9F9E-128067A0CF5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5" name="TextBox 3022">
          <a:extLst>
            <a:ext uri="{FF2B5EF4-FFF2-40B4-BE49-F238E27FC236}">
              <a16:creationId xmlns:a16="http://schemas.microsoft.com/office/drawing/2014/main" id="{5610B888-A2EC-41F5-BC19-DDBE18FE42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6" name="TextBox 3023">
          <a:extLst>
            <a:ext uri="{FF2B5EF4-FFF2-40B4-BE49-F238E27FC236}">
              <a16:creationId xmlns:a16="http://schemas.microsoft.com/office/drawing/2014/main" id="{08B5685B-C13F-443F-8991-F4BCBC4465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7" name="TextBox 3024">
          <a:extLst>
            <a:ext uri="{FF2B5EF4-FFF2-40B4-BE49-F238E27FC236}">
              <a16:creationId xmlns:a16="http://schemas.microsoft.com/office/drawing/2014/main" id="{6C48BAB9-84F5-4AAA-AB96-96719B4B74D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8" name="TextBox 15">
          <a:extLst>
            <a:ext uri="{FF2B5EF4-FFF2-40B4-BE49-F238E27FC236}">
              <a16:creationId xmlns:a16="http://schemas.microsoft.com/office/drawing/2014/main" id="{437EB7B7-A4BF-46DF-80BA-E7A9C9922C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39" name="TextBox 16">
          <a:extLst>
            <a:ext uri="{FF2B5EF4-FFF2-40B4-BE49-F238E27FC236}">
              <a16:creationId xmlns:a16="http://schemas.microsoft.com/office/drawing/2014/main" id="{4BFD1CFB-2FD5-4AD9-8170-028E367142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0" name="TextBox 17">
          <a:extLst>
            <a:ext uri="{FF2B5EF4-FFF2-40B4-BE49-F238E27FC236}">
              <a16:creationId xmlns:a16="http://schemas.microsoft.com/office/drawing/2014/main" id="{48203375-14E9-4AE7-B981-DD55E0B28C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1" name="TextBox 18">
          <a:extLst>
            <a:ext uri="{FF2B5EF4-FFF2-40B4-BE49-F238E27FC236}">
              <a16:creationId xmlns:a16="http://schemas.microsoft.com/office/drawing/2014/main" id="{884DAD04-711B-4C75-A320-D72810E660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2" name="TextBox 3029">
          <a:extLst>
            <a:ext uri="{FF2B5EF4-FFF2-40B4-BE49-F238E27FC236}">
              <a16:creationId xmlns:a16="http://schemas.microsoft.com/office/drawing/2014/main" id="{B69AA3FD-5D8C-430E-AB56-EDDC6044011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3" name="TextBox 3030">
          <a:extLst>
            <a:ext uri="{FF2B5EF4-FFF2-40B4-BE49-F238E27FC236}">
              <a16:creationId xmlns:a16="http://schemas.microsoft.com/office/drawing/2014/main" id="{D6540136-1C92-45FD-9C15-3D9785FBFB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4" name="TextBox 1">
          <a:extLst>
            <a:ext uri="{FF2B5EF4-FFF2-40B4-BE49-F238E27FC236}">
              <a16:creationId xmlns:a16="http://schemas.microsoft.com/office/drawing/2014/main" id="{E79B34EF-EB92-44B4-9B58-24B104E258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5" name="TextBox 3">
          <a:extLst>
            <a:ext uri="{FF2B5EF4-FFF2-40B4-BE49-F238E27FC236}">
              <a16:creationId xmlns:a16="http://schemas.microsoft.com/office/drawing/2014/main" id="{D72421C9-12BD-4002-8E07-7E69DB8137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6" name="TextBox 3033">
          <a:extLst>
            <a:ext uri="{FF2B5EF4-FFF2-40B4-BE49-F238E27FC236}">
              <a16:creationId xmlns:a16="http://schemas.microsoft.com/office/drawing/2014/main" id="{4B0F2FA8-8C17-4B1C-924D-DFEB32CF9AB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7" name="TextBox 3034">
          <a:extLst>
            <a:ext uri="{FF2B5EF4-FFF2-40B4-BE49-F238E27FC236}">
              <a16:creationId xmlns:a16="http://schemas.microsoft.com/office/drawing/2014/main" id="{3BD0EFA9-5058-4F0E-B8AE-A70ECA74D6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8" name="TextBox 3035">
          <a:extLst>
            <a:ext uri="{FF2B5EF4-FFF2-40B4-BE49-F238E27FC236}">
              <a16:creationId xmlns:a16="http://schemas.microsoft.com/office/drawing/2014/main" id="{8220CA85-5224-4D8B-BE9A-F825B6C89DB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49" name="TextBox 3036">
          <a:extLst>
            <a:ext uri="{FF2B5EF4-FFF2-40B4-BE49-F238E27FC236}">
              <a16:creationId xmlns:a16="http://schemas.microsoft.com/office/drawing/2014/main" id="{7D102D22-909F-4345-B966-5F4F0ADDCBD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0" name="TextBox 3037">
          <a:extLst>
            <a:ext uri="{FF2B5EF4-FFF2-40B4-BE49-F238E27FC236}">
              <a16:creationId xmlns:a16="http://schemas.microsoft.com/office/drawing/2014/main" id="{3721BE80-F7CC-492C-9AD3-0093ABA1B6D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1" name="TextBox 3038">
          <a:extLst>
            <a:ext uri="{FF2B5EF4-FFF2-40B4-BE49-F238E27FC236}">
              <a16:creationId xmlns:a16="http://schemas.microsoft.com/office/drawing/2014/main" id="{798754F5-C587-4B47-8704-B429078F0A9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2" name="TextBox 3039">
          <a:extLst>
            <a:ext uri="{FF2B5EF4-FFF2-40B4-BE49-F238E27FC236}">
              <a16:creationId xmlns:a16="http://schemas.microsoft.com/office/drawing/2014/main" id="{6F79D807-1242-4FE7-B608-3C97C48DB1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3" name="TextBox 3040">
          <a:extLst>
            <a:ext uri="{FF2B5EF4-FFF2-40B4-BE49-F238E27FC236}">
              <a16:creationId xmlns:a16="http://schemas.microsoft.com/office/drawing/2014/main" id="{65E56C2B-6106-4A7B-BC7C-742A9D66FF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4" name="TextBox 3041">
          <a:extLst>
            <a:ext uri="{FF2B5EF4-FFF2-40B4-BE49-F238E27FC236}">
              <a16:creationId xmlns:a16="http://schemas.microsoft.com/office/drawing/2014/main" id="{473F763A-94C4-4A8A-8C09-E5569B97D0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5" name="TextBox 3042">
          <a:extLst>
            <a:ext uri="{FF2B5EF4-FFF2-40B4-BE49-F238E27FC236}">
              <a16:creationId xmlns:a16="http://schemas.microsoft.com/office/drawing/2014/main" id="{BD660D35-B317-4743-848B-5B893D95571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6" name="TextBox 13">
          <a:extLst>
            <a:ext uri="{FF2B5EF4-FFF2-40B4-BE49-F238E27FC236}">
              <a16:creationId xmlns:a16="http://schemas.microsoft.com/office/drawing/2014/main" id="{330E1D07-C80D-4607-BD04-D01DD7D06A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7" name="TextBox 14">
          <a:extLst>
            <a:ext uri="{FF2B5EF4-FFF2-40B4-BE49-F238E27FC236}">
              <a16:creationId xmlns:a16="http://schemas.microsoft.com/office/drawing/2014/main" id="{A010458E-EACE-4CA6-855D-2E67EDCE61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8" name="TextBox 3045">
          <a:extLst>
            <a:ext uri="{FF2B5EF4-FFF2-40B4-BE49-F238E27FC236}">
              <a16:creationId xmlns:a16="http://schemas.microsoft.com/office/drawing/2014/main" id="{2DC09BAB-C7DF-42EB-8E2A-BFA4C41486A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59" name="TextBox 3046">
          <a:extLst>
            <a:ext uri="{FF2B5EF4-FFF2-40B4-BE49-F238E27FC236}">
              <a16:creationId xmlns:a16="http://schemas.microsoft.com/office/drawing/2014/main" id="{2060D955-1F85-4D2A-9482-1EE0A54F4C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0" name="TextBox 3047">
          <a:extLst>
            <a:ext uri="{FF2B5EF4-FFF2-40B4-BE49-F238E27FC236}">
              <a16:creationId xmlns:a16="http://schemas.microsoft.com/office/drawing/2014/main" id="{94FE65CB-BC10-438B-8959-B476E5EFB64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1" name="TextBox 3048">
          <a:extLst>
            <a:ext uri="{FF2B5EF4-FFF2-40B4-BE49-F238E27FC236}">
              <a16:creationId xmlns:a16="http://schemas.microsoft.com/office/drawing/2014/main" id="{1BE801C3-A239-4759-BBC4-9038878F26F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2" name="TextBox 15">
          <a:extLst>
            <a:ext uri="{FF2B5EF4-FFF2-40B4-BE49-F238E27FC236}">
              <a16:creationId xmlns:a16="http://schemas.microsoft.com/office/drawing/2014/main" id="{C296AFA4-796D-4F16-97DC-D7250AF01A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3" name="TextBox 16">
          <a:extLst>
            <a:ext uri="{FF2B5EF4-FFF2-40B4-BE49-F238E27FC236}">
              <a16:creationId xmlns:a16="http://schemas.microsoft.com/office/drawing/2014/main" id="{1B96E40D-F8D1-46D7-886C-98CF0F5D55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4" name="TextBox 17">
          <a:extLst>
            <a:ext uri="{FF2B5EF4-FFF2-40B4-BE49-F238E27FC236}">
              <a16:creationId xmlns:a16="http://schemas.microsoft.com/office/drawing/2014/main" id="{70B67DFC-DCF1-4D91-AA44-DC44564EFC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5" name="TextBox 18">
          <a:extLst>
            <a:ext uri="{FF2B5EF4-FFF2-40B4-BE49-F238E27FC236}">
              <a16:creationId xmlns:a16="http://schemas.microsoft.com/office/drawing/2014/main" id="{2EF4605A-2ED0-4F74-BF9D-E1AC23DD3B3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6" name="TextBox 3053">
          <a:extLst>
            <a:ext uri="{FF2B5EF4-FFF2-40B4-BE49-F238E27FC236}">
              <a16:creationId xmlns:a16="http://schemas.microsoft.com/office/drawing/2014/main" id="{6DFF5FD3-E846-40B2-8A70-FBB128ECABC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7" name="TextBox 3054">
          <a:extLst>
            <a:ext uri="{FF2B5EF4-FFF2-40B4-BE49-F238E27FC236}">
              <a16:creationId xmlns:a16="http://schemas.microsoft.com/office/drawing/2014/main" id="{95240CD6-F38C-4F8A-9E0B-5B17826220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8" name="TextBox 1">
          <a:extLst>
            <a:ext uri="{FF2B5EF4-FFF2-40B4-BE49-F238E27FC236}">
              <a16:creationId xmlns:a16="http://schemas.microsoft.com/office/drawing/2014/main" id="{2FED1993-B6C9-4E14-AD4D-0941A6A589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69" name="TextBox 3">
          <a:extLst>
            <a:ext uri="{FF2B5EF4-FFF2-40B4-BE49-F238E27FC236}">
              <a16:creationId xmlns:a16="http://schemas.microsoft.com/office/drawing/2014/main" id="{09638CC3-C760-4D20-85CF-80245C5C64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0" name="TextBox 3057">
          <a:extLst>
            <a:ext uri="{FF2B5EF4-FFF2-40B4-BE49-F238E27FC236}">
              <a16:creationId xmlns:a16="http://schemas.microsoft.com/office/drawing/2014/main" id="{1C09AD10-DFC2-4305-8411-5852D090D1F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1" name="TextBox 3058">
          <a:extLst>
            <a:ext uri="{FF2B5EF4-FFF2-40B4-BE49-F238E27FC236}">
              <a16:creationId xmlns:a16="http://schemas.microsoft.com/office/drawing/2014/main" id="{C8D745BD-6F6E-4E9C-B585-1B90EAD077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2" name="TextBox 3059">
          <a:extLst>
            <a:ext uri="{FF2B5EF4-FFF2-40B4-BE49-F238E27FC236}">
              <a16:creationId xmlns:a16="http://schemas.microsoft.com/office/drawing/2014/main" id="{42D4F8EC-3008-4ED8-8B27-88DAADFFA3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3" name="TextBox 3060">
          <a:extLst>
            <a:ext uri="{FF2B5EF4-FFF2-40B4-BE49-F238E27FC236}">
              <a16:creationId xmlns:a16="http://schemas.microsoft.com/office/drawing/2014/main" id="{5DFA93F2-23A4-4B13-8D4B-8773B7BE09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4" name="TextBox 3061">
          <a:extLst>
            <a:ext uri="{FF2B5EF4-FFF2-40B4-BE49-F238E27FC236}">
              <a16:creationId xmlns:a16="http://schemas.microsoft.com/office/drawing/2014/main" id="{5DD6A9E7-C241-4005-A41B-5848DBD3E79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5" name="TextBox 3062">
          <a:extLst>
            <a:ext uri="{FF2B5EF4-FFF2-40B4-BE49-F238E27FC236}">
              <a16:creationId xmlns:a16="http://schemas.microsoft.com/office/drawing/2014/main" id="{908F9B75-AE94-4F5D-A1A2-A0F155B300D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6" name="TextBox 3063">
          <a:extLst>
            <a:ext uri="{FF2B5EF4-FFF2-40B4-BE49-F238E27FC236}">
              <a16:creationId xmlns:a16="http://schemas.microsoft.com/office/drawing/2014/main" id="{5AD630E6-10B1-4292-8DC3-295EEDEBE3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7" name="TextBox 3064">
          <a:extLst>
            <a:ext uri="{FF2B5EF4-FFF2-40B4-BE49-F238E27FC236}">
              <a16:creationId xmlns:a16="http://schemas.microsoft.com/office/drawing/2014/main" id="{740925AF-A844-461C-B3AA-65CD7CD4253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8" name="TextBox 3065">
          <a:extLst>
            <a:ext uri="{FF2B5EF4-FFF2-40B4-BE49-F238E27FC236}">
              <a16:creationId xmlns:a16="http://schemas.microsoft.com/office/drawing/2014/main" id="{B31C0511-A05A-48B7-A352-F9CFC222C67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79" name="TextBox 3066">
          <a:extLst>
            <a:ext uri="{FF2B5EF4-FFF2-40B4-BE49-F238E27FC236}">
              <a16:creationId xmlns:a16="http://schemas.microsoft.com/office/drawing/2014/main" id="{4098CA65-A461-4A35-93B3-FC2C19963C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0" name="TextBox 13">
          <a:extLst>
            <a:ext uri="{FF2B5EF4-FFF2-40B4-BE49-F238E27FC236}">
              <a16:creationId xmlns:a16="http://schemas.microsoft.com/office/drawing/2014/main" id="{F341F449-A90E-4C86-849A-23230D8585B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1" name="TextBox 14">
          <a:extLst>
            <a:ext uri="{FF2B5EF4-FFF2-40B4-BE49-F238E27FC236}">
              <a16:creationId xmlns:a16="http://schemas.microsoft.com/office/drawing/2014/main" id="{E06F996B-863E-4D6A-8EC1-DC094181C16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2" name="TextBox 3069">
          <a:extLst>
            <a:ext uri="{FF2B5EF4-FFF2-40B4-BE49-F238E27FC236}">
              <a16:creationId xmlns:a16="http://schemas.microsoft.com/office/drawing/2014/main" id="{491E4116-AA82-4A3B-97F4-DC41990AF9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3" name="TextBox 3070">
          <a:extLst>
            <a:ext uri="{FF2B5EF4-FFF2-40B4-BE49-F238E27FC236}">
              <a16:creationId xmlns:a16="http://schemas.microsoft.com/office/drawing/2014/main" id="{1A62FBCE-676D-43DB-A863-5CFDDB31BD5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4" name="TextBox 3071">
          <a:extLst>
            <a:ext uri="{FF2B5EF4-FFF2-40B4-BE49-F238E27FC236}">
              <a16:creationId xmlns:a16="http://schemas.microsoft.com/office/drawing/2014/main" id="{D7481B56-130B-473C-938D-D20B70B694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5" name="TextBox 3072">
          <a:extLst>
            <a:ext uri="{FF2B5EF4-FFF2-40B4-BE49-F238E27FC236}">
              <a16:creationId xmlns:a16="http://schemas.microsoft.com/office/drawing/2014/main" id="{7CC70D0E-6A92-49FB-BDF6-70E1664BD7D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6" name="TextBox 15">
          <a:extLst>
            <a:ext uri="{FF2B5EF4-FFF2-40B4-BE49-F238E27FC236}">
              <a16:creationId xmlns:a16="http://schemas.microsoft.com/office/drawing/2014/main" id="{A3B89B47-1D49-4694-BB69-39357FDE5AF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7" name="TextBox 16">
          <a:extLst>
            <a:ext uri="{FF2B5EF4-FFF2-40B4-BE49-F238E27FC236}">
              <a16:creationId xmlns:a16="http://schemas.microsoft.com/office/drawing/2014/main" id="{ABA3624D-0BF6-4DF4-9B00-FFE2BE8298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8" name="TextBox 17">
          <a:extLst>
            <a:ext uri="{FF2B5EF4-FFF2-40B4-BE49-F238E27FC236}">
              <a16:creationId xmlns:a16="http://schemas.microsoft.com/office/drawing/2014/main" id="{0DECCFB8-1618-4D32-B238-DEA708041C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89" name="TextBox 18">
          <a:extLst>
            <a:ext uri="{FF2B5EF4-FFF2-40B4-BE49-F238E27FC236}">
              <a16:creationId xmlns:a16="http://schemas.microsoft.com/office/drawing/2014/main" id="{1908F643-8C6F-4121-831D-91A7478514E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0" name="TextBox 3077">
          <a:extLst>
            <a:ext uri="{FF2B5EF4-FFF2-40B4-BE49-F238E27FC236}">
              <a16:creationId xmlns:a16="http://schemas.microsoft.com/office/drawing/2014/main" id="{0C51B624-8A73-42A1-A740-2C6F2F7146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1" name="TextBox 3078">
          <a:extLst>
            <a:ext uri="{FF2B5EF4-FFF2-40B4-BE49-F238E27FC236}">
              <a16:creationId xmlns:a16="http://schemas.microsoft.com/office/drawing/2014/main" id="{0738A5B1-C65C-4A99-B8FC-190CEAAA50A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2" name="TextBox 1">
          <a:extLst>
            <a:ext uri="{FF2B5EF4-FFF2-40B4-BE49-F238E27FC236}">
              <a16:creationId xmlns:a16="http://schemas.microsoft.com/office/drawing/2014/main" id="{F4418436-C6CE-4D5E-8B62-F6E5EEF9247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3" name="TextBox 3">
          <a:extLst>
            <a:ext uri="{FF2B5EF4-FFF2-40B4-BE49-F238E27FC236}">
              <a16:creationId xmlns:a16="http://schemas.microsoft.com/office/drawing/2014/main" id="{74CFAA60-1519-4982-9A1E-3FF3C448EB8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4" name="TextBox 3081">
          <a:extLst>
            <a:ext uri="{FF2B5EF4-FFF2-40B4-BE49-F238E27FC236}">
              <a16:creationId xmlns:a16="http://schemas.microsoft.com/office/drawing/2014/main" id="{F1E1024D-B4C6-4EDD-8D60-BD0ED62EA5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5" name="TextBox 3082">
          <a:extLst>
            <a:ext uri="{FF2B5EF4-FFF2-40B4-BE49-F238E27FC236}">
              <a16:creationId xmlns:a16="http://schemas.microsoft.com/office/drawing/2014/main" id="{EC6D0055-0FC1-491C-9D02-CA1B96D802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6" name="TextBox 3083">
          <a:extLst>
            <a:ext uri="{FF2B5EF4-FFF2-40B4-BE49-F238E27FC236}">
              <a16:creationId xmlns:a16="http://schemas.microsoft.com/office/drawing/2014/main" id="{089123A8-B212-4658-92DB-A05D2C1285C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7" name="TextBox 3084">
          <a:extLst>
            <a:ext uri="{FF2B5EF4-FFF2-40B4-BE49-F238E27FC236}">
              <a16:creationId xmlns:a16="http://schemas.microsoft.com/office/drawing/2014/main" id="{2B660718-80A8-4377-9FD8-D47A86D626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8" name="TextBox 3085">
          <a:extLst>
            <a:ext uri="{FF2B5EF4-FFF2-40B4-BE49-F238E27FC236}">
              <a16:creationId xmlns:a16="http://schemas.microsoft.com/office/drawing/2014/main" id="{6E3B27B1-1A23-4FA0-B442-2C3133E238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499" name="TextBox 3086">
          <a:extLst>
            <a:ext uri="{FF2B5EF4-FFF2-40B4-BE49-F238E27FC236}">
              <a16:creationId xmlns:a16="http://schemas.microsoft.com/office/drawing/2014/main" id="{B6FA6F1B-CF91-46B0-BE5C-646BBD79BD6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0" name="TextBox 3087">
          <a:extLst>
            <a:ext uri="{FF2B5EF4-FFF2-40B4-BE49-F238E27FC236}">
              <a16:creationId xmlns:a16="http://schemas.microsoft.com/office/drawing/2014/main" id="{F8A881C6-126B-4F5F-905C-073E902FDE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1" name="TextBox 3088">
          <a:extLst>
            <a:ext uri="{FF2B5EF4-FFF2-40B4-BE49-F238E27FC236}">
              <a16:creationId xmlns:a16="http://schemas.microsoft.com/office/drawing/2014/main" id="{7ECD4CF0-548B-446E-B571-A4023365CB6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2" name="TextBox 3089">
          <a:extLst>
            <a:ext uri="{FF2B5EF4-FFF2-40B4-BE49-F238E27FC236}">
              <a16:creationId xmlns:a16="http://schemas.microsoft.com/office/drawing/2014/main" id="{5AF72086-3EA7-49B5-8989-721961A1C1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3" name="TextBox 3090">
          <a:extLst>
            <a:ext uri="{FF2B5EF4-FFF2-40B4-BE49-F238E27FC236}">
              <a16:creationId xmlns:a16="http://schemas.microsoft.com/office/drawing/2014/main" id="{68596CCA-7271-476A-A326-54A0B71BB64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4" name="TextBox 13">
          <a:extLst>
            <a:ext uri="{FF2B5EF4-FFF2-40B4-BE49-F238E27FC236}">
              <a16:creationId xmlns:a16="http://schemas.microsoft.com/office/drawing/2014/main" id="{CC83883A-D61E-4762-91BF-5560D00AF4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5" name="TextBox 14">
          <a:extLst>
            <a:ext uri="{FF2B5EF4-FFF2-40B4-BE49-F238E27FC236}">
              <a16:creationId xmlns:a16="http://schemas.microsoft.com/office/drawing/2014/main" id="{EB64AF80-7AB7-486F-9955-938C003C189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6" name="TextBox 3093">
          <a:extLst>
            <a:ext uri="{FF2B5EF4-FFF2-40B4-BE49-F238E27FC236}">
              <a16:creationId xmlns:a16="http://schemas.microsoft.com/office/drawing/2014/main" id="{1A548A05-4806-4163-8D44-FEF6DA1FF8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7" name="TextBox 3094">
          <a:extLst>
            <a:ext uri="{FF2B5EF4-FFF2-40B4-BE49-F238E27FC236}">
              <a16:creationId xmlns:a16="http://schemas.microsoft.com/office/drawing/2014/main" id="{78694CA7-64B7-4D77-999E-35C6A4E0AC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8" name="TextBox 3095">
          <a:extLst>
            <a:ext uri="{FF2B5EF4-FFF2-40B4-BE49-F238E27FC236}">
              <a16:creationId xmlns:a16="http://schemas.microsoft.com/office/drawing/2014/main" id="{7F16D2AA-EC81-485C-AC0E-7D24F4BB28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09" name="TextBox 3096">
          <a:extLst>
            <a:ext uri="{FF2B5EF4-FFF2-40B4-BE49-F238E27FC236}">
              <a16:creationId xmlns:a16="http://schemas.microsoft.com/office/drawing/2014/main" id="{EAFFE9F4-6E4E-41AD-BC78-CAF3C69E80A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0" name="TextBox 15">
          <a:extLst>
            <a:ext uri="{FF2B5EF4-FFF2-40B4-BE49-F238E27FC236}">
              <a16:creationId xmlns:a16="http://schemas.microsoft.com/office/drawing/2014/main" id="{1AA000E6-3F34-4AC8-B3F3-7ED046EC77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1" name="TextBox 16">
          <a:extLst>
            <a:ext uri="{FF2B5EF4-FFF2-40B4-BE49-F238E27FC236}">
              <a16:creationId xmlns:a16="http://schemas.microsoft.com/office/drawing/2014/main" id="{AAD4F232-AEE7-4AFC-A92D-90341ED475A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2" name="TextBox 17">
          <a:extLst>
            <a:ext uri="{FF2B5EF4-FFF2-40B4-BE49-F238E27FC236}">
              <a16:creationId xmlns:a16="http://schemas.microsoft.com/office/drawing/2014/main" id="{BBE0E997-64CB-4579-A3DA-9DB843E830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3" name="TextBox 18">
          <a:extLst>
            <a:ext uri="{FF2B5EF4-FFF2-40B4-BE49-F238E27FC236}">
              <a16:creationId xmlns:a16="http://schemas.microsoft.com/office/drawing/2014/main" id="{F7AFC98E-C8FE-4C6F-9718-624D2F52A2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4" name="TextBox 3101">
          <a:extLst>
            <a:ext uri="{FF2B5EF4-FFF2-40B4-BE49-F238E27FC236}">
              <a16:creationId xmlns:a16="http://schemas.microsoft.com/office/drawing/2014/main" id="{416D843E-44B9-4962-8A97-9F0B9D2238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5" name="TextBox 3102">
          <a:extLst>
            <a:ext uri="{FF2B5EF4-FFF2-40B4-BE49-F238E27FC236}">
              <a16:creationId xmlns:a16="http://schemas.microsoft.com/office/drawing/2014/main" id="{C67CD75D-ABC8-4C15-A994-1191F6D4DB0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6" name="TextBox 1">
          <a:extLst>
            <a:ext uri="{FF2B5EF4-FFF2-40B4-BE49-F238E27FC236}">
              <a16:creationId xmlns:a16="http://schemas.microsoft.com/office/drawing/2014/main" id="{31444118-1B1F-4C80-89CC-77EE6040748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7" name="TextBox 3">
          <a:extLst>
            <a:ext uri="{FF2B5EF4-FFF2-40B4-BE49-F238E27FC236}">
              <a16:creationId xmlns:a16="http://schemas.microsoft.com/office/drawing/2014/main" id="{47E88D1F-A9DA-4D9B-BF1C-70A376D38DF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8" name="TextBox 3105">
          <a:extLst>
            <a:ext uri="{FF2B5EF4-FFF2-40B4-BE49-F238E27FC236}">
              <a16:creationId xmlns:a16="http://schemas.microsoft.com/office/drawing/2014/main" id="{FCB28070-7473-4B52-B2BE-29E5A460F10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19" name="TextBox 3106">
          <a:extLst>
            <a:ext uri="{FF2B5EF4-FFF2-40B4-BE49-F238E27FC236}">
              <a16:creationId xmlns:a16="http://schemas.microsoft.com/office/drawing/2014/main" id="{15763866-DA57-458F-BEBF-63EC909DB2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0" name="TextBox 3107">
          <a:extLst>
            <a:ext uri="{FF2B5EF4-FFF2-40B4-BE49-F238E27FC236}">
              <a16:creationId xmlns:a16="http://schemas.microsoft.com/office/drawing/2014/main" id="{8A7513DC-16FB-4AEB-BF64-30608756DD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1" name="TextBox 3108">
          <a:extLst>
            <a:ext uri="{FF2B5EF4-FFF2-40B4-BE49-F238E27FC236}">
              <a16:creationId xmlns:a16="http://schemas.microsoft.com/office/drawing/2014/main" id="{ADA1252D-0E4A-4149-8823-DE3BC73D549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2" name="TextBox 3109">
          <a:extLst>
            <a:ext uri="{FF2B5EF4-FFF2-40B4-BE49-F238E27FC236}">
              <a16:creationId xmlns:a16="http://schemas.microsoft.com/office/drawing/2014/main" id="{EB4166E3-1769-4F31-8DE7-6B2A7F0335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3" name="TextBox 3110">
          <a:extLst>
            <a:ext uri="{FF2B5EF4-FFF2-40B4-BE49-F238E27FC236}">
              <a16:creationId xmlns:a16="http://schemas.microsoft.com/office/drawing/2014/main" id="{389F5880-004C-4FBF-A630-5D2B3260E7C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4" name="TextBox 3111">
          <a:extLst>
            <a:ext uri="{FF2B5EF4-FFF2-40B4-BE49-F238E27FC236}">
              <a16:creationId xmlns:a16="http://schemas.microsoft.com/office/drawing/2014/main" id="{B530B127-EC5F-4342-BE5B-CBA0805425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5" name="TextBox 3112">
          <a:extLst>
            <a:ext uri="{FF2B5EF4-FFF2-40B4-BE49-F238E27FC236}">
              <a16:creationId xmlns:a16="http://schemas.microsoft.com/office/drawing/2014/main" id="{23A6985B-3CA8-4023-AF49-9C75DECE12C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6" name="TextBox 3113">
          <a:extLst>
            <a:ext uri="{FF2B5EF4-FFF2-40B4-BE49-F238E27FC236}">
              <a16:creationId xmlns:a16="http://schemas.microsoft.com/office/drawing/2014/main" id="{8D16A94B-88F0-4114-A0A8-FF255605860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7" name="TextBox 3114">
          <a:extLst>
            <a:ext uri="{FF2B5EF4-FFF2-40B4-BE49-F238E27FC236}">
              <a16:creationId xmlns:a16="http://schemas.microsoft.com/office/drawing/2014/main" id="{958583EE-BA5B-446A-A4CD-5F1180889E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8" name="TextBox 13">
          <a:extLst>
            <a:ext uri="{FF2B5EF4-FFF2-40B4-BE49-F238E27FC236}">
              <a16:creationId xmlns:a16="http://schemas.microsoft.com/office/drawing/2014/main" id="{F1DBE056-3601-4159-A9CD-6AD6086CCB9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29" name="TextBox 14">
          <a:extLst>
            <a:ext uri="{FF2B5EF4-FFF2-40B4-BE49-F238E27FC236}">
              <a16:creationId xmlns:a16="http://schemas.microsoft.com/office/drawing/2014/main" id="{A3B9CE40-E4CC-45AC-A34C-6918EB9122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0" name="TextBox 3117">
          <a:extLst>
            <a:ext uri="{FF2B5EF4-FFF2-40B4-BE49-F238E27FC236}">
              <a16:creationId xmlns:a16="http://schemas.microsoft.com/office/drawing/2014/main" id="{75BD6D3E-5C2D-41E6-8343-FC5077B17D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1" name="TextBox 3118">
          <a:extLst>
            <a:ext uri="{FF2B5EF4-FFF2-40B4-BE49-F238E27FC236}">
              <a16:creationId xmlns:a16="http://schemas.microsoft.com/office/drawing/2014/main" id="{F8B8B10A-E480-43FC-A9D3-A5F758D6EC0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2" name="TextBox 3119">
          <a:extLst>
            <a:ext uri="{FF2B5EF4-FFF2-40B4-BE49-F238E27FC236}">
              <a16:creationId xmlns:a16="http://schemas.microsoft.com/office/drawing/2014/main" id="{E64F1895-D66C-4558-A180-F1DBE68AD7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3" name="TextBox 3120">
          <a:extLst>
            <a:ext uri="{FF2B5EF4-FFF2-40B4-BE49-F238E27FC236}">
              <a16:creationId xmlns:a16="http://schemas.microsoft.com/office/drawing/2014/main" id="{B5EC012C-59BF-4EE8-BC01-63DBADC7EA0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4" name="TextBox 15">
          <a:extLst>
            <a:ext uri="{FF2B5EF4-FFF2-40B4-BE49-F238E27FC236}">
              <a16:creationId xmlns:a16="http://schemas.microsoft.com/office/drawing/2014/main" id="{42C92A6B-450C-4F13-97BF-0B118844776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5" name="TextBox 16">
          <a:extLst>
            <a:ext uri="{FF2B5EF4-FFF2-40B4-BE49-F238E27FC236}">
              <a16:creationId xmlns:a16="http://schemas.microsoft.com/office/drawing/2014/main" id="{12453B36-B287-42D6-869A-17A5256390F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6" name="TextBox 17">
          <a:extLst>
            <a:ext uri="{FF2B5EF4-FFF2-40B4-BE49-F238E27FC236}">
              <a16:creationId xmlns:a16="http://schemas.microsoft.com/office/drawing/2014/main" id="{F1A6A366-2394-4D02-B3AD-22FD91C3C8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7" name="TextBox 18">
          <a:extLst>
            <a:ext uri="{FF2B5EF4-FFF2-40B4-BE49-F238E27FC236}">
              <a16:creationId xmlns:a16="http://schemas.microsoft.com/office/drawing/2014/main" id="{9388EC2B-3B97-4D94-9AB1-DAF31E1C3AA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8" name="TextBox 3125">
          <a:extLst>
            <a:ext uri="{FF2B5EF4-FFF2-40B4-BE49-F238E27FC236}">
              <a16:creationId xmlns:a16="http://schemas.microsoft.com/office/drawing/2014/main" id="{3C085EAF-18D5-4091-BE4C-8DDFE4EEC22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39" name="TextBox 3126">
          <a:extLst>
            <a:ext uri="{FF2B5EF4-FFF2-40B4-BE49-F238E27FC236}">
              <a16:creationId xmlns:a16="http://schemas.microsoft.com/office/drawing/2014/main" id="{81C663B1-51DA-4D8B-9CAF-882A479E62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0" name="TextBox 1">
          <a:extLst>
            <a:ext uri="{FF2B5EF4-FFF2-40B4-BE49-F238E27FC236}">
              <a16:creationId xmlns:a16="http://schemas.microsoft.com/office/drawing/2014/main" id="{236F8BC4-0F0B-45A1-9A89-F1C32CF2789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1" name="TextBox 3">
          <a:extLst>
            <a:ext uri="{FF2B5EF4-FFF2-40B4-BE49-F238E27FC236}">
              <a16:creationId xmlns:a16="http://schemas.microsoft.com/office/drawing/2014/main" id="{8C4DC948-EAFD-42AF-AF28-F8B9C97D94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2" name="TextBox 3129">
          <a:extLst>
            <a:ext uri="{FF2B5EF4-FFF2-40B4-BE49-F238E27FC236}">
              <a16:creationId xmlns:a16="http://schemas.microsoft.com/office/drawing/2014/main" id="{1426C6B5-1A71-4C2C-8936-EF7BFF7C68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3" name="TextBox 3130">
          <a:extLst>
            <a:ext uri="{FF2B5EF4-FFF2-40B4-BE49-F238E27FC236}">
              <a16:creationId xmlns:a16="http://schemas.microsoft.com/office/drawing/2014/main" id="{339C4F54-42FD-48E0-94C1-F66F1FCFE21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4" name="TextBox 3131">
          <a:extLst>
            <a:ext uri="{FF2B5EF4-FFF2-40B4-BE49-F238E27FC236}">
              <a16:creationId xmlns:a16="http://schemas.microsoft.com/office/drawing/2014/main" id="{1E460E96-61C4-4354-9C77-10613BD929E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5" name="TextBox 3132">
          <a:extLst>
            <a:ext uri="{FF2B5EF4-FFF2-40B4-BE49-F238E27FC236}">
              <a16:creationId xmlns:a16="http://schemas.microsoft.com/office/drawing/2014/main" id="{AF9C5EA4-3265-4C72-87F7-0D68AF7B666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6" name="TextBox 3133">
          <a:extLst>
            <a:ext uri="{FF2B5EF4-FFF2-40B4-BE49-F238E27FC236}">
              <a16:creationId xmlns:a16="http://schemas.microsoft.com/office/drawing/2014/main" id="{584DF64E-E031-4C63-8BE1-DF33020F26D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7" name="TextBox 3134">
          <a:extLst>
            <a:ext uri="{FF2B5EF4-FFF2-40B4-BE49-F238E27FC236}">
              <a16:creationId xmlns:a16="http://schemas.microsoft.com/office/drawing/2014/main" id="{8A030A5C-EA28-48A8-B72A-F0BFECCF643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8" name="TextBox 3135">
          <a:extLst>
            <a:ext uri="{FF2B5EF4-FFF2-40B4-BE49-F238E27FC236}">
              <a16:creationId xmlns:a16="http://schemas.microsoft.com/office/drawing/2014/main" id="{F6946B6A-F227-48B8-A8C9-6F558ADD232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49" name="TextBox 3136">
          <a:extLst>
            <a:ext uri="{FF2B5EF4-FFF2-40B4-BE49-F238E27FC236}">
              <a16:creationId xmlns:a16="http://schemas.microsoft.com/office/drawing/2014/main" id="{8C6B8F94-596C-4037-840F-069FDC0D8B4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0" name="TextBox 3137">
          <a:extLst>
            <a:ext uri="{FF2B5EF4-FFF2-40B4-BE49-F238E27FC236}">
              <a16:creationId xmlns:a16="http://schemas.microsoft.com/office/drawing/2014/main" id="{37399B0B-CAB9-40A9-8B69-6D33DDE61A2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1" name="TextBox 3138">
          <a:extLst>
            <a:ext uri="{FF2B5EF4-FFF2-40B4-BE49-F238E27FC236}">
              <a16:creationId xmlns:a16="http://schemas.microsoft.com/office/drawing/2014/main" id="{256DD4CB-D6F9-4401-A84F-8839D6CFA8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2" name="TextBox 13">
          <a:extLst>
            <a:ext uri="{FF2B5EF4-FFF2-40B4-BE49-F238E27FC236}">
              <a16:creationId xmlns:a16="http://schemas.microsoft.com/office/drawing/2014/main" id="{F945796A-F614-4B24-9BF1-A127CAC2443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3" name="TextBox 14">
          <a:extLst>
            <a:ext uri="{FF2B5EF4-FFF2-40B4-BE49-F238E27FC236}">
              <a16:creationId xmlns:a16="http://schemas.microsoft.com/office/drawing/2014/main" id="{7E312E3B-5E0C-4142-8F89-7EA2C9ADCA5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4" name="TextBox 3141">
          <a:extLst>
            <a:ext uri="{FF2B5EF4-FFF2-40B4-BE49-F238E27FC236}">
              <a16:creationId xmlns:a16="http://schemas.microsoft.com/office/drawing/2014/main" id="{3A44F1F1-66BD-4D97-9944-D3E93EC955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5" name="TextBox 3142">
          <a:extLst>
            <a:ext uri="{FF2B5EF4-FFF2-40B4-BE49-F238E27FC236}">
              <a16:creationId xmlns:a16="http://schemas.microsoft.com/office/drawing/2014/main" id="{5AFF7DB1-9267-470E-B2E3-F7002925ECB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6" name="TextBox 3143">
          <a:extLst>
            <a:ext uri="{FF2B5EF4-FFF2-40B4-BE49-F238E27FC236}">
              <a16:creationId xmlns:a16="http://schemas.microsoft.com/office/drawing/2014/main" id="{C0E8303E-2EA1-4E24-9C07-4C141776450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7" name="TextBox 3144">
          <a:extLst>
            <a:ext uri="{FF2B5EF4-FFF2-40B4-BE49-F238E27FC236}">
              <a16:creationId xmlns:a16="http://schemas.microsoft.com/office/drawing/2014/main" id="{A45B5242-251E-44FF-B066-577DFEEEBF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8" name="TextBox 3145">
          <a:extLst>
            <a:ext uri="{FF2B5EF4-FFF2-40B4-BE49-F238E27FC236}">
              <a16:creationId xmlns:a16="http://schemas.microsoft.com/office/drawing/2014/main" id="{F4162EEA-22A5-48C3-8D9B-3CED2C7BB5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59" name="TextBox 3146">
          <a:extLst>
            <a:ext uri="{FF2B5EF4-FFF2-40B4-BE49-F238E27FC236}">
              <a16:creationId xmlns:a16="http://schemas.microsoft.com/office/drawing/2014/main" id="{EAFAB92A-2666-4F16-B527-011932939D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0" name="TextBox 3147">
          <a:extLst>
            <a:ext uri="{FF2B5EF4-FFF2-40B4-BE49-F238E27FC236}">
              <a16:creationId xmlns:a16="http://schemas.microsoft.com/office/drawing/2014/main" id="{57FA3D9E-6B4B-49C5-9E61-804ACF8B658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1" name="TextBox 3148">
          <a:extLst>
            <a:ext uri="{FF2B5EF4-FFF2-40B4-BE49-F238E27FC236}">
              <a16:creationId xmlns:a16="http://schemas.microsoft.com/office/drawing/2014/main" id="{0533FA3F-7C6A-4821-8945-73F004B0DC7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2" name="TextBox 13">
          <a:extLst>
            <a:ext uri="{FF2B5EF4-FFF2-40B4-BE49-F238E27FC236}">
              <a16:creationId xmlns:a16="http://schemas.microsoft.com/office/drawing/2014/main" id="{40B59001-8932-4E52-B2F6-5239902B13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3" name="TextBox 14">
          <a:extLst>
            <a:ext uri="{FF2B5EF4-FFF2-40B4-BE49-F238E27FC236}">
              <a16:creationId xmlns:a16="http://schemas.microsoft.com/office/drawing/2014/main" id="{E59A2075-184C-411E-9BE1-B7A26109F3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4" name="TextBox 15">
          <a:extLst>
            <a:ext uri="{FF2B5EF4-FFF2-40B4-BE49-F238E27FC236}">
              <a16:creationId xmlns:a16="http://schemas.microsoft.com/office/drawing/2014/main" id="{FBBC7C82-BA34-4C99-B4A7-2F0208E66A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5" name="TextBox 16">
          <a:extLst>
            <a:ext uri="{FF2B5EF4-FFF2-40B4-BE49-F238E27FC236}">
              <a16:creationId xmlns:a16="http://schemas.microsoft.com/office/drawing/2014/main" id="{74FD2981-9303-4D7B-859F-6B47139C83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6" name="TextBox 17">
          <a:extLst>
            <a:ext uri="{FF2B5EF4-FFF2-40B4-BE49-F238E27FC236}">
              <a16:creationId xmlns:a16="http://schemas.microsoft.com/office/drawing/2014/main" id="{F5D4996F-F4D1-4639-94C2-8E4141AC11E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7" name="TextBox 18">
          <a:extLst>
            <a:ext uri="{FF2B5EF4-FFF2-40B4-BE49-F238E27FC236}">
              <a16:creationId xmlns:a16="http://schemas.microsoft.com/office/drawing/2014/main" id="{27D7FA7D-E359-401C-B7EC-9A17C6180B1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8" name="TextBox 3155">
          <a:extLst>
            <a:ext uri="{FF2B5EF4-FFF2-40B4-BE49-F238E27FC236}">
              <a16:creationId xmlns:a16="http://schemas.microsoft.com/office/drawing/2014/main" id="{0FED33D3-4295-4580-B3E8-FCAA7DFAAED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69" name="TextBox 3156">
          <a:extLst>
            <a:ext uri="{FF2B5EF4-FFF2-40B4-BE49-F238E27FC236}">
              <a16:creationId xmlns:a16="http://schemas.microsoft.com/office/drawing/2014/main" id="{BC6A0C09-7963-469D-9C0A-53D0A6D2A92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0" name="TextBox 1">
          <a:extLst>
            <a:ext uri="{FF2B5EF4-FFF2-40B4-BE49-F238E27FC236}">
              <a16:creationId xmlns:a16="http://schemas.microsoft.com/office/drawing/2014/main" id="{BD3EF279-096C-48BA-BE15-F690A8CDEAD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1" name="TextBox 3">
          <a:extLst>
            <a:ext uri="{FF2B5EF4-FFF2-40B4-BE49-F238E27FC236}">
              <a16:creationId xmlns:a16="http://schemas.microsoft.com/office/drawing/2014/main" id="{4B207FA0-E558-4F1B-B967-7CA25A4EB80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2" name="TextBox 3159">
          <a:extLst>
            <a:ext uri="{FF2B5EF4-FFF2-40B4-BE49-F238E27FC236}">
              <a16:creationId xmlns:a16="http://schemas.microsoft.com/office/drawing/2014/main" id="{022E4174-0ECF-4720-B653-11EE5E412DE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3" name="TextBox 3160">
          <a:extLst>
            <a:ext uri="{FF2B5EF4-FFF2-40B4-BE49-F238E27FC236}">
              <a16:creationId xmlns:a16="http://schemas.microsoft.com/office/drawing/2014/main" id="{974753CD-A307-4C3C-8F41-99F72AC2F0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4" name="TextBox 3161">
          <a:extLst>
            <a:ext uri="{FF2B5EF4-FFF2-40B4-BE49-F238E27FC236}">
              <a16:creationId xmlns:a16="http://schemas.microsoft.com/office/drawing/2014/main" id="{11D1EDAB-7BF3-4AC9-B0DB-64C56963DF5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5" name="TextBox 3162">
          <a:extLst>
            <a:ext uri="{FF2B5EF4-FFF2-40B4-BE49-F238E27FC236}">
              <a16:creationId xmlns:a16="http://schemas.microsoft.com/office/drawing/2014/main" id="{4F3E15C2-3AEA-4A1D-8455-17D78E6187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6" name="TextBox 3163">
          <a:extLst>
            <a:ext uri="{FF2B5EF4-FFF2-40B4-BE49-F238E27FC236}">
              <a16:creationId xmlns:a16="http://schemas.microsoft.com/office/drawing/2014/main" id="{1E179B68-F12A-403E-8294-205E28549B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7" name="TextBox 3164">
          <a:extLst>
            <a:ext uri="{FF2B5EF4-FFF2-40B4-BE49-F238E27FC236}">
              <a16:creationId xmlns:a16="http://schemas.microsoft.com/office/drawing/2014/main" id="{DFBB2494-AFBE-4DF0-8A7E-4DF27552CF7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8" name="TextBox 3165">
          <a:extLst>
            <a:ext uri="{FF2B5EF4-FFF2-40B4-BE49-F238E27FC236}">
              <a16:creationId xmlns:a16="http://schemas.microsoft.com/office/drawing/2014/main" id="{CC51C721-60F6-40E5-965D-D17BF801AFB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79" name="TextBox 3166">
          <a:extLst>
            <a:ext uri="{FF2B5EF4-FFF2-40B4-BE49-F238E27FC236}">
              <a16:creationId xmlns:a16="http://schemas.microsoft.com/office/drawing/2014/main" id="{EEA0D43B-C89A-44AF-945D-22E00C887F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0" name="TextBox 3167">
          <a:extLst>
            <a:ext uri="{FF2B5EF4-FFF2-40B4-BE49-F238E27FC236}">
              <a16:creationId xmlns:a16="http://schemas.microsoft.com/office/drawing/2014/main" id="{AEC25E02-ADB1-43B3-9808-2926A8CAC9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1" name="TextBox 3168">
          <a:extLst>
            <a:ext uri="{FF2B5EF4-FFF2-40B4-BE49-F238E27FC236}">
              <a16:creationId xmlns:a16="http://schemas.microsoft.com/office/drawing/2014/main" id="{FDECE98B-614B-43EC-9D12-EA2C43FB448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2" name="TextBox 13">
          <a:extLst>
            <a:ext uri="{FF2B5EF4-FFF2-40B4-BE49-F238E27FC236}">
              <a16:creationId xmlns:a16="http://schemas.microsoft.com/office/drawing/2014/main" id="{88406E4E-B663-4D6E-B473-CDD107CD1D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3" name="TextBox 14">
          <a:extLst>
            <a:ext uri="{FF2B5EF4-FFF2-40B4-BE49-F238E27FC236}">
              <a16:creationId xmlns:a16="http://schemas.microsoft.com/office/drawing/2014/main" id="{BFB3A7E1-4868-4672-9B66-640DF0827973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4" name="TextBox 3171">
          <a:extLst>
            <a:ext uri="{FF2B5EF4-FFF2-40B4-BE49-F238E27FC236}">
              <a16:creationId xmlns:a16="http://schemas.microsoft.com/office/drawing/2014/main" id="{F9CFB4DB-76FD-4C38-B982-865496B18DE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5" name="TextBox 3172">
          <a:extLst>
            <a:ext uri="{FF2B5EF4-FFF2-40B4-BE49-F238E27FC236}">
              <a16:creationId xmlns:a16="http://schemas.microsoft.com/office/drawing/2014/main" id="{DA75C3E2-E3C7-4A42-BFD2-2AA2CC7B266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6" name="TextBox 3173">
          <a:extLst>
            <a:ext uri="{FF2B5EF4-FFF2-40B4-BE49-F238E27FC236}">
              <a16:creationId xmlns:a16="http://schemas.microsoft.com/office/drawing/2014/main" id="{D51B49B9-7E96-4497-A1A1-D13FD07657A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7" name="TextBox 3174">
          <a:extLst>
            <a:ext uri="{FF2B5EF4-FFF2-40B4-BE49-F238E27FC236}">
              <a16:creationId xmlns:a16="http://schemas.microsoft.com/office/drawing/2014/main" id="{3AD795D8-3DB6-45EF-AE55-F8BD370E0D0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8" name="TextBox 15">
          <a:extLst>
            <a:ext uri="{FF2B5EF4-FFF2-40B4-BE49-F238E27FC236}">
              <a16:creationId xmlns:a16="http://schemas.microsoft.com/office/drawing/2014/main" id="{66DCCF9E-EC33-4639-8F15-3954C793283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89" name="TextBox 16">
          <a:extLst>
            <a:ext uri="{FF2B5EF4-FFF2-40B4-BE49-F238E27FC236}">
              <a16:creationId xmlns:a16="http://schemas.microsoft.com/office/drawing/2014/main" id="{DCFEDABE-4F47-4408-89AA-17876CE7469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0" name="TextBox 17">
          <a:extLst>
            <a:ext uri="{FF2B5EF4-FFF2-40B4-BE49-F238E27FC236}">
              <a16:creationId xmlns:a16="http://schemas.microsoft.com/office/drawing/2014/main" id="{DB8A18E6-EE86-473C-BA94-ABC58B4317A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1" name="TextBox 18">
          <a:extLst>
            <a:ext uri="{FF2B5EF4-FFF2-40B4-BE49-F238E27FC236}">
              <a16:creationId xmlns:a16="http://schemas.microsoft.com/office/drawing/2014/main" id="{54AD2019-9E0C-4DCC-98A8-3131C4B9DA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2" name="TextBox 3179">
          <a:extLst>
            <a:ext uri="{FF2B5EF4-FFF2-40B4-BE49-F238E27FC236}">
              <a16:creationId xmlns:a16="http://schemas.microsoft.com/office/drawing/2014/main" id="{E93F5867-6757-4E04-9ED9-63AB9AD5E8A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3" name="TextBox 3180">
          <a:extLst>
            <a:ext uri="{FF2B5EF4-FFF2-40B4-BE49-F238E27FC236}">
              <a16:creationId xmlns:a16="http://schemas.microsoft.com/office/drawing/2014/main" id="{3D90FF33-5315-46DA-AFEE-7F07328FA0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4" name="TextBox 1">
          <a:extLst>
            <a:ext uri="{FF2B5EF4-FFF2-40B4-BE49-F238E27FC236}">
              <a16:creationId xmlns:a16="http://schemas.microsoft.com/office/drawing/2014/main" id="{AA7DCBD5-F205-4DBE-A38C-311766FF7AC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5" name="TextBox 3">
          <a:extLst>
            <a:ext uri="{FF2B5EF4-FFF2-40B4-BE49-F238E27FC236}">
              <a16:creationId xmlns:a16="http://schemas.microsoft.com/office/drawing/2014/main" id="{A7EDAE30-05A3-42A7-ABE5-65E6BE450D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6" name="TextBox 3183">
          <a:extLst>
            <a:ext uri="{FF2B5EF4-FFF2-40B4-BE49-F238E27FC236}">
              <a16:creationId xmlns:a16="http://schemas.microsoft.com/office/drawing/2014/main" id="{5C919CED-3BD7-4642-8F7F-0D35F5E284E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7" name="TextBox 3184">
          <a:extLst>
            <a:ext uri="{FF2B5EF4-FFF2-40B4-BE49-F238E27FC236}">
              <a16:creationId xmlns:a16="http://schemas.microsoft.com/office/drawing/2014/main" id="{B97BCDA5-1142-48F0-A328-6936031991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8" name="TextBox 3185">
          <a:extLst>
            <a:ext uri="{FF2B5EF4-FFF2-40B4-BE49-F238E27FC236}">
              <a16:creationId xmlns:a16="http://schemas.microsoft.com/office/drawing/2014/main" id="{6097D32A-7415-48C3-8638-154CD6D4EF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599" name="TextBox 3186">
          <a:extLst>
            <a:ext uri="{FF2B5EF4-FFF2-40B4-BE49-F238E27FC236}">
              <a16:creationId xmlns:a16="http://schemas.microsoft.com/office/drawing/2014/main" id="{B239A9EA-5AED-4C16-977A-1057AFA1FF6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0" name="TextBox 3187">
          <a:extLst>
            <a:ext uri="{FF2B5EF4-FFF2-40B4-BE49-F238E27FC236}">
              <a16:creationId xmlns:a16="http://schemas.microsoft.com/office/drawing/2014/main" id="{6DABCCEA-A679-46AA-BC20-BE7D30BD11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1" name="TextBox 3188">
          <a:extLst>
            <a:ext uri="{FF2B5EF4-FFF2-40B4-BE49-F238E27FC236}">
              <a16:creationId xmlns:a16="http://schemas.microsoft.com/office/drawing/2014/main" id="{10ACCFB9-3F7B-4A78-9DD0-FF05313A65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2" name="TextBox 3189">
          <a:extLst>
            <a:ext uri="{FF2B5EF4-FFF2-40B4-BE49-F238E27FC236}">
              <a16:creationId xmlns:a16="http://schemas.microsoft.com/office/drawing/2014/main" id="{F5247B4C-7151-42C4-901F-FEA3AB146AE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3" name="TextBox 3190">
          <a:extLst>
            <a:ext uri="{FF2B5EF4-FFF2-40B4-BE49-F238E27FC236}">
              <a16:creationId xmlns:a16="http://schemas.microsoft.com/office/drawing/2014/main" id="{BB23D12F-7342-4107-9152-BC89B97B137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4" name="TextBox 3191">
          <a:extLst>
            <a:ext uri="{FF2B5EF4-FFF2-40B4-BE49-F238E27FC236}">
              <a16:creationId xmlns:a16="http://schemas.microsoft.com/office/drawing/2014/main" id="{60AF0A5D-C8B5-4DA7-B03A-E486EC15C7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5" name="TextBox 3192">
          <a:extLst>
            <a:ext uri="{FF2B5EF4-FFF2-40B4-BE49-F238E27FC236}">
              <a16:creationId xmlns:a16="http://schemas.microsoft.com/office/drawing/2014/main" id="{521A0A1E-44E2-4B86-8B6C-DF0C54A2A4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6" name="TextBox 13">
          <a:extLst>
            <a:ext uri="{FF2B5EF4-FFF2-40B4-BE49-F238E27FC236}">
              <a16:creationId xmlns:a16="http://schemas.microsoft.com/office/drawing/2014/main" id="{1F4AD9D2-DC8F-47B4-BC96-857AFFA524E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7" name="TextBox 14">
          <a:extLst>
            <a:ext uri="{FF2B5EF4-FFF2-40B4-BE49-F238E27FC236}">
              <a16:creationId xmlns:a16="http://schemas.microsoft.com/office/drawing/2014/main" id="{81F27E32-67B1-46E4-B9D7-EE1AFE8A9CE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8" name="TextBox 3195">
          <a:extLst>
            <a:ext uri="{FF2B5EF4-FFF2-40B4-BE49-F238E27FC236}">
              <a16:creationId xmlns:a16="http://schemas.microsoft.com/office/drawing/2014/main" id="{4A5ADDA1-44C4-4E01-BEF8-F22CE774964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09" name="TextBox 3196">
          <a:extLst>
            <a:ext uri="{FF2B5EF4-FFF2-40B4-BE49-F238E27FC236}">
              <a16:creationId xmlns:a16="http://schemas.microsoft.com/office/drawing/2014/main" id="{7BFD4900-9C45-468A-9AF3-B58444E82A6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0" name="TextBox 3197">
          <a:extLst>
            <a:ext uri="{FF2B5EF4-FFF2-40B4-BE49-F238E27FC236}">
              <a16:creationId xmlns:a16="http://schemas.microsoft.com/office/drawing/2014/main" id="{256BD053-7FD6-4ACB-8603-C0C42892838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1" name="TextBox 3198">
          <a:extLst>
            <a:ext uri="{FF2B5EF4-FFF2-40B4-BE49-F238E27FC236}">
              <a16:creationId xmlns:a16="http://schemas.microsoft.com/office/drawing/2014/main" id="{C351810F-7C1D-4FB6-B60E-31A2B4B069B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2" name="TextBox 15">
          <a:extLst>
            <a:ext uri="{FF2B5EF4-FFF2-40B4-BE49-F238E27FC236}">
              <a16:creationId xmlns:a16="http://schemas.microsoft.com/office/drawing/2014/main" id="{FEAFE5D4-90F0-41C1-8137-DF19472CF62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3" name="TextBox 16">
          <a:extLst>
            <a:ext uri="{FF2B5EF4-FFF2-40B4-BE49-F238E27FC236}">
              <a16:creationId xmlns:a16="http://schemas.microsoft.com/office/drawing/2014/main" id="{188D7A77-FBE2-452F-9525-2A7E7414950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4" name="TextBox 17">
          <a:extLst>
            <a:ext uri="{FF2B5EF4-FFF2-40B4-BE49-F238E27FC236}">
              <a16:creationId xmlns:a16="http://schemas.microsoft.com/office/drawing/2014/main" id="{5D9BE117-5163-4A68-9326-25D7FCEAA0F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5" name="TextBox 18">
          <a:extLst>
            <a:ext uri="{FF2B5EF4-FFF2-40B4-BE49-F238E27FC236}">
              <a16:creationId xmlns:a16="http://schemas.microsoft.com/office/drawing/2014/main" id="{226086A7-AC5D-4287-B106-76C74296AE8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6" name="TextBox 3203">
          <a:extLst>
            <a:ext uri="{FF2B5EF4-FFF2-40B4-BE49-F238E27FC236}">
              <a16:creationId xmlns:a16="http://schemas.microsoft.com/office/drawing/2014/main" id="{8A7CD5BB-2A12-4313-BD54-E15B0E314E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7" name="TextBox 3204">
          <a:extLst>
            <a:ext uri="{FF2B5EF4-FFF2-40B4-BE49-F238E27FC236}">
              <a16:creationId xmlns:a16="http://schemas.microsoft.com/office/drawing/2014/main" id="{D416DCEB-9897-4824-8E41-D37B0E68B8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8" name="TextBox 1">
          <a:extLst>
            <a:ext uri="{FF2B5EF4-FFF2-40B4-BE49-F238E27FC236}">
              <a16:creationId xmlns:a16="http://schemas.microsoft.com/office/drawing/2014/main" id="{AB25CA43-B711-40EF-AA57-2D73DE9DEB8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19" name="TextBox 3">
          <a:extLst>
            <a:ext uri="{FF2B5EF4-FFF2-40B4-BE49-F238E27FC236}">
              <a16:creationId xmlns:a16="http://schemas.microsoft.com/office/drawing/2014/main" id="{75F5A097-53C3-4F1A-BAE2-987CC4D3B4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0" name="TextBox 3207">
          <a:extLst>
            <a:ext uri="{FF2B5EF4-FFF2-40B4-BE49-F238E27FC236}">
              <a16:creationId xmlns:a16="http://schemas.microsoft.com/office/drawing/2014/main" id="{968283F2-425E-45CA-AFCF-53434628D32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1" name="TextBox 3208">
          <a:extLst>
            <a:ext uri="{FF2B5EF4-FFF2-40B4-BE49-F238E27FC236}">
              <a16:creationId xmlns:a16="http://schemas.microsoft.com/office/drawing/2014/main" id="{3F6803DE-B506-45AC-8DF6-21B7EFD5639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2" name="TextBox 3209">
          <a:extLst>
            <a:ext uri="{FF2B5EF4-FFF2-40B4-BE49-F238E27FC236}">
              <a16:creationId xmlns:a16="http://schemas.microsoft.com/office/drawing/2014/main" id="{B43C7CE9-03FD-41EE-8F1E-034884304EF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3" name="TextBox 3210">
          <a:extLst>
            <a:ext uri="{FF2B5EF4-FFF2-40B4-BE49-F238E27FC236}">
              <a16:creationId xmlns:a16="http://schemas.microsoft.com/office/drawing/2014/main" id="{D793457E-4F8A-4B08-99D7-417B3441D11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4" name="TextBox 3211">
          <a:extLst>
            <a:ext uri="{FF2B5EF4-FFF2-40B4-BE49-F238E27FC236}">
              <a16:creationId xmlns:a16="http://schemas.microsoft.com/office/drawing/2014/main" id="{5AF1EAED-6D55-4736-96CF-2B6D22500C5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5" name="TextBox 3212">
          <a:extLst>
            <a:ext uri="{FF2B5EF4-FFF2-40B4-BE49-F238E27FC236}">
              <a16:creationId xmlns:a16="http://schemas.microsoft.com/office/drawing/2014/main" id="{7E7681FB-C2BD-4A66-9BD9-9321211C765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6" name="TextBox 3213">
          <a:extLst>
            <a:ext uri="{FF2B5EF4-FFF2-40B4-BE49-F238E27FC236}">
              <a16:creationId xmlns:a16="http://schemas.microsoft.com/office/drawing/2014/main" id="{57FDB26A-50B9-4ECF-9391-3A84C079683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7" name="TextBox 3214">
          <a:extLst>
            <a:ext uri="{FF2B5EF4-FFF2-40B4-BE49-F238E27FC236}">
              <a16:creationId xmlns:a16="http://schemas.microsoft.com/office/drawing/2014/main" id="{20E668AB-56BF-41C6-89B3-E0BA35363A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8" name="TextBox 3215">
          <a:extLst>
            <a:ext uri="{FF2B5EF4-FFF2-40B4-BE49-F238E27FC236}">
              <a16:creationId xmlns:a16="http://schemas.microsoft.com/office/drawing/2014/main" id="{BD13E750-143D-4223-9402-46EE0E02136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29" name="TextBox 3216">
          <a:extLst>
            <a:ext uri="{FF2B5EF4-FFF2-40B4-BE49-F238E27FC236}">
              <a16:creationId xmlns:a16="http://schemas.microsoft.com/office/drawing/2014/main" id="{EF20950F-6526-4F91-B6BF-7C860E99DD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0" name="TextBox 13">
          <a:extLst>
            <a:ext uri="{FF2B5EF4-FFF2-40B4-BE49-F238E27FC236}">
              <a16:creationId xmlns:a16="http://schemas.microsoft.com/office/drawing/2014/main" id="{C764EAA6-792B-42C9-A4B0-BFD682C3FF3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1" name="TextBox 14">
          <a:extLst>
            <a:ext uri="{FF2B5EF4-FFF2-40B4-BE49-F238E27FC236}">
              <a16:creationId xmlns:a16="http://schemas.microsoft.com/office/drawing/2014/main" id="{E6CFE295-0025-481E-9BB7-FFF6658E654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2" name="TextBox 3219">
          <a:extLst>
            <a:ext uri="{FF2B5EF4-FFF2-40B4-BE49-F238E27FC236}">
              <a16:creationId xmlns:a16="http://schemas.microsoft.com/office/drawing/2014/main" id="{7998706F-09E9-4807-9DD1-D069CD401F5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3" name="TextBox 3220">
          <a:extLst>
            <a:ext uri="{FF2B5EF4-FFF2-40B4-BE49-F238E27FC236}">
              <a16:creationId xmlns:a16="http://schemas.microsoft.com/office/drawing/2014/main" id="{7CFBEF29-AF43-4104-A569-DF1165E46DC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4" name="TextBox 3221">
          <a:extLst>
            <a:ext uri="{FF2B5EF4-FFF2-40B4-BE49-F238E27FC236}">
              <a16:creationId xmlns:a16="http://schemas.microsoft.com/office/drawing/2014/main" id="{B3632F02-0029-4097-B722-74A7B91DC69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5" name="TextBox 3222">
          <a:extLst>
            <a:ext uri="{FF2B5EF4-FFF2-40B4-BE49-F238E27FC236}">
              <a16:creationId xmlns:a16="http://schemas.microsoft.com/office/drawing/2014/main" id="{E7E54492-2496-499C-A358-016AA6A0F99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6" name="TextBox 15">
          <a:extLst>
            <a:ext uri="{FF2B5EF4-FFF2-40B4-BE49-F238E27FC236}">
              <a16:creationId xmlns:a16="http://schemas.microsoft.com/office/drawing/2014/main" id="{348E7AF0-D7C8-4C0F-82BC-233E899CCF6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7" name="TextBox 16">
          <a:extLst>
            <a:ext uri="{FF2B5EF4-FFF2-40B4-BE49-F238E27FC236}">
              <a16:creationId xmlns:a16="http://schemas.microsoft.com/office/drawing/2014/main" id="{416BD8FC-1025-49A4-973D-644DE4EDCD7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8" name="TextBox 17">
          <a:extLst>
            <a:ext uri="{FF2B5EF4-FFF2-40B4-BE49-F238E27FC236}">
              <a16:creationId xmlns:a16="http://schemas.microsoft.com/office/drawing/2014/main" id="{103BFDC5-6C4C-4576-B7CC-D4BB86ED96A7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39" name="TextBox 18">
          <a:extLst>
            <a:ext uri="{FF2B5EF4-FFF2-40B4-BE49-F238E27FC236}">
              <a16:creationId xmlns:a16="http://schemas.microsoft.com/office/drawing/2014/main" id="{5C34FB9A-D324-493E-AC42-D31354DA65E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0" name="TextBox 3227">
          <a:extLst>
            <a:ext uri="{FF2B5EF4-FFF2-40B4-BE49-F238E27FC236}">
              <a16:creationId xmlns:a16="http://schemas.microsoft.com/office/drawing/2014/main" id="{100F4DC3-4A41-4B11-B7CA-A43DBCE9D38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1" name="TextBox 3228">
          <a:extLst>
            <a:ext uri="{FF2B5EF4-FFF2-40B4-BE49-F238E27FC236}">
              <a16:creationId xmlns:a16="http://schemas.microsoft.com/office/drawing/2014/main" id="{6DF483FF-A192-4224-8280-11D97CAABEF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2" name="TextBox 1">
          <a:extLst>
            <a:ext uri="{FF2B5EF4-FFF2-40B4-BE49-F238E27FC236}">
              <a16:creationId xmlns:a16="http://schemas.microsoft.com/office/drawing/2014/main" id="{20F31F72-1371-4754-BD47-359946288DE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3" name="TextBox 3">
          <a:extLst>
            <a:ext uri="{FF2B5EF4-FFF2-40B4-BE49-F238E27FC236}">
              <a16:creationId xmlns:a16="http://schemas.microsoft.com/office/drawing/2014/main" id="{D816BC6E-EEAF-40B1-8EB1-072226187F0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4" name="TextBox 3231">
          <a:extLst>
            <a:ext uri="{FF2B5EF4-FFF2-40B4-BE49-F238E27FC236}">
              <a16:creationId xmlns:a16="http://schemas.microsoft.com/office/drawing/2014/main" id="{36A8FA71-60E1-4600-837A-F56C3000C1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5" name="TextBox 3232">
          <a:extLst>
            <a:ext uri="{FF2B5EF4-FFF2-40B4-BE49-F238E27FC236}">
              <a16:creationId xmlns:a16="http://schemas.microsoft.com/office/drawing/2014/main" id="{448AEF2A-F27D-4A6A-8265-AF3FE44C4D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6" name="TextBox 3233">
          <a:extLst>
            <a:ext uri="{FF2B5EF4-FFF2-40B4-BE49-F238E27FC236}">
              <a16:creationId xmlns:a16="http://schemas.microsoft.com/office/drawing/2014/main" id="{BBC9E2C5-DBD4-40D3-BEE4-9F8CF4DC6B0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7" name="TextBox 3234">
          <a:extLst>
            <a:ext uri="{FF2B5EF4-FFF2-40B4-BE49-F238E27FC236}">
              <a16:creationId xmlns:a16="http://schemas.microsoft.com/office/drawing/2014/main" id="{C8FEBAC9-FEAE-4D36-8EC4-A515992743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8" name="TextBox 3235">
          <a:extLst>
            <a:ext uri="{FF2B5EF4-FFF2-40B4-BE49-F238E27FC236}">
              <a16:creationId xmlns:a16="http://schemas.microsoft.com/office/drawing/2014/main" id="{0A5F4821-0752-4A73-B3B3-83AFA2D5B74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49" name="TextBox 3236">
          <a:extLst>
            <a:ext uri="{FF2B5EF4-FFF2-40B4-BE49-F238E27FC236}">
              <a16:creationId xmlns:a16="http://schemas.microsoft.com/office/drawing/2014/main" id="{C5498ACA-E853-4585-B5E8-67414E220FA5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0" name="TextBox 3237">
          <a:extLst>
            <a:ext uri="{FF2B5EF4-FFF2-40B4-BE49-F238E27FC236}">
              <a16:creationId xmlns:a16="http://schemas.microsoft.com/office/drawing/2014/main" id="{4A53312D-B23D-470F-AEF0-11251D9359F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1" name="TextBox 3238">
          <a:extLst>
            <a:ext uri="{FF2B5EF4-FFF2-40B4-BE49-F238E27FC236}">
              <a16:creationId xmlns:a16="http://schemas.microsoft.com/office/drawing/2014/main" id="{AD15E83E-33B4-4F29-9C4F-145134B818E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2" name="TextBox 3239">
          <a:extLst>
            <a:ext uri="{FF2B5EF4-FFF2-40B4-BE49-F238E27FC236}">
              <a16:creationId xmlns:a16="http://schemas.microsoft.com/office/drawing/2014/main" id="{52D8C703-C23A-4B31-B4C9-B5C46FCE020D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3" name="TextBox 3240">
          <a:extLst>
            <a:ext uri="{FF2B5EF4-FFF2-40B4-BE49-F238E27FC236}">
              <a16:creationId xmlns:a16="http://schemas.microsoft.com/office/drawing/2014/main" id="{1D93CCE0-19B7-416B-ADE3-81005CD346D2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4" name="TextBox 13">
          <a:extLst>
            <a:ext uri="{FF2B5EF4-FFF2-40B4-BE49-F238E27FC236}">
              <a16:creationId xmlns:a16="http://schemas.microsoft.com/office/drawing/2014/main" id="{AAA4A800-F68D-490C-86E8-2C259D633C3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5" name="TextBox 14">
          <a:extLst>
            <a:ext uri="{FF2B5EF4-FFF2-40B4-BE49-F238E27FC236}">
              <a16:creationId xmlns:a16="http://schemas.microsoft.com/office/drawing/2014/main" id="{5160EEEE-40AA-4A08-8728-0D930805B55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6" name="TextBox 3243">
          <a:extLst>
            <a:ext uri="{FF2B5EF4-FFF2-40B4-BE49-F238E27FC236}">
              <a16:creationId xmlns:a16="http://schemas.microsoft.com/office/drawing/2014/main" id="{7C9EECC2-D5BE-40BF-B245-DDCB549849D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7" name="TextBox 3244">
          <a:extLst>
            <a:ext uri="{FF2B5EF4-FFF2-40B4-BE49-F238E27FC236}">
              <a16:creationId xmlns:a16="http://schemas.microsoft.com/office/drawing/2014/main" id="{B8E7A1F0-32F5-473B-B177-3D6C241DF12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8" name="TextBox 3245">
          <a:extLst>
            <a:ext uri="{FF2B5EF4-FFF2-40B4-BE49-F238E27FC236}">
              <a16:creationId xmlns:a16="http://schemas.microsoft.com/office/drawing/2014/main" id="{A692CB1E-9861-4104-BD66-C16605BEABA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59" name="TextBox 3246">
          <a:extLst>
            <a:ext uri="{FF2B5EF4-FFF2-40B4-BE49-F238E27FC236}">
              <a16:creationId xmlns:a16="http://schemas.microsoft.com/office/drawing/2014/main" id="{7FBD756E-E906-4EDE-B75B-2AE3531C973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0" name="TextBox 15">
          <a:extLst>
            <a:ext uri="{FF2B5EF4-FFF2-40B4-BE49-F238E27FC236}">
              <a16:creationId xmlns:a16="http://schemas.microsoft.com/office/drawing/2014/main" id="{2FBB0894-020F-4962-8641-013C9379865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1" name="TextBox 16">
          <a:extLst>
            <a:ext uri="{FF2B5EF4-FFF2-40B4-BE49-F238E27FC236}">
              <a16:creationId xmlns:a16="http://schemas.microsoft.com/office/drawing/2014/main" id="{862FA1D7-4E24-4107-AFE4-500EFA1AE6C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2" name="TextBox 17">
          <a:extLst>
            <a:ext uri="{FF2B5EF4-FFF2-40B4-BE49-F238E27FC236}">
              <a16:creationId xmlns:a16="http://schemas.microsoft.com/office/drawing/2014/main" id="{37ECB405-1FA4-4426-ABCE-D2D27CEC5154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3" name="TextBox 18">
          <a:extLst>
            <a:ext uri="{FF2B5EF4-FFF2-40B4-BE49-F238E27FC236}">
              <a16:creationId xmlns:a16="http://schemas.microsoft.com/office/drawing/2014/main" id="{F038EB83-63A5-49AF-80AE-7032FF9E62BC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4" name="TextBox 3251">
          <a:extLst>
            <a:ext uri="{FF2B5EF4-FFF2-40B4-BE49-F238E27FC236}">
              <a16:creationId xmlns:a16="http://schemas.microsoft.com/office/drawing/2014/main" id="{297E275C-9AA5-4013-AC20-D7009ED21E1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5" name="TextBox 3252">
          <a:extLst>
            <a:ext uri="{FF2B5EF4-FFF2-40B4-BE49-F238E27FC236}">
              <a16:creationId xmlns:a16="http://schemas.microsoft.com/office/drawing/2014/main" id="{CEA3F8BE-96C6-494A-9FB7-C0EE6B26F170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6" name="TextBox 1">
          <a:extLst>
            <a:ext uri="{FF2B5EF4-FFF2-40B4-BE49-F238E27FC236}">
              <a16:creationId xmlns:a16="http://schemas.microsoft.com/office/drawing/2014/main" id="{DC75FBF0-5CDF-453B-ABE3-106C61F368C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7" name="TextBox 3">
          <a:extLst>
            <a:ext uri="{FF2B5EF4-FFF2-40B4-BE49-F238E27FC236}">
              <a16:creationId xmlns:a16="http://schemas.microsoft.com/office/drawing/2014/main" id="{840BA90C-7D30-4DCB-A708-E268D61D921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8" name="TextBox 3255">
          <a:extLst>
            <a:ext uri="{FF2B5EF4-FFF2-40B4-BE49-F238E27FC236}">
              <a16:creationId xmlns:a16="http://schemas.microsoft.com/office/drawing/2014/main" id="{D10FF152-9450-4554-ACBB-6DE1670773B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69" name="TextBox 3256">
          <a:extLst>
            <a:ext uri="{FF2B5EF4-FFF2-40B4-BE49-F238E27FC236}">
              <a16:creationId xmlns:a16="http://schemas.microsoft.com/office/drawing/2014/main" id="{DA090409-9619-4B2D-ACC7-E7AF963B70F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0" name="TextBox 3257">
          <a:extLst>
            <a:ext uri="{FF2B5EF4-FFF2-40B4-BE49-F238E27FC236}">
              <a16:creationId xmlns:a16="http://schemas.microsoft.com/office/drawing/2014/main" id="{16DAFB98-A876-4DC9-B469-300DCEBD7DB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1" name="TextBox 3258">
          <a:extLst>
            <a:ext uri="{FF2B5EF4-FFF2-40B4-BE49-F238E27FC236}">
              <a16:creationId xmlns:a16="http://schemas.microsoft.com/office/drawing/2014/main" id="{AFE95747-8625-4E53-9B4D-316269C570B1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2" name="TextBox 3259">
          <a:extLst>
            <a:ext uri="{FF2B5EF4-FFF2-40B4-BE49-F238E27FC236}">
              <a16:creationId xmlns:a16="http://schemas.microsoft.com/office/drawing/2014/main" id="{B129D0D1-DD4D-4A02-BDFB-46241541C14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3" name="TextBox 3260">
          <a:extLst>
            <a:ext uri="{FF2B5EF4-FFF2-40B4-BE49-F238E27FC236}">
              <a16:creationId xmlns:a16="http://schemas.microsoft.com/office/drawing/2014/main" id="{0A17FF53-8782-44E2-B421-D887B6E89DE6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4" name="TextBox 3261">
          <a:extLst>
            <a:ext uri="{FF2B5EF4-FFF2-40B4-BE49-F238E27FC236}">
              <a16:creationId xmlns:a16="http://schemas.microsoft.com/office/drawing/2014/main" id="{4BC962D2-34BA-4372-8A02-DB0FAF9926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5" name="TextBox 3262">
          <a:extLst>
            <a:ext uri="{FF2B5EF4-FFF2-40B4-BE49-F238E27FC236}">
              <a16:creationId xmlns:a16="http://schemas.microsoft.com/office/drawing/2014/main" id="{EE7C00C7-9146-4D20-BD29-F2D66BA2EC7F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6" name="TextBox 3263">
          <a:extLst>
            <a:ext uri="{FF2B5EF4-FFF2-40B4-BE49-F238E27FC236}">
              <a16:creationId xmlns:a16="http://schemas.microsoft.com/office/drawing/2014/main" id="{40BAA6CA-264A-4F32-8721-2F387311648B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7" name="TextBox 3264">
          <a:extLst>
            <a:ext uri="{FF2B5EF4-FFF2-40B4-BE49-F238E27FC236}">
              <a16:creationId xmlns:a16="http://schemas.microsoft.com/office/drawing/2014/main" id="{07B7828F-A004-4047-AA30-D2160CA9184A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8" name="TextBox 13">
          <a:extLst>
            <a:ext uri="{FF2B5EF4-FFF2-40B4-BE49-F238E27FC236}">
              <a16:creationId xmlns:a16="http://schemas.microsoft.com/office/drawing/2014/main" id="{72CA02B6-127E-45B9-858D-FE6F3476222E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79" name="TextBox 14">
          <a:extLst>
            <a:ext uri="{FF2B5EF4-FFF2-40B4-BE49-F238E27FC236}">
              <a16:creationId xmlns:a16="http://schemas.microsoft.com/office/drawing/2014/main" id="{B7038301-CF9D-47DA-9A30-E468865CA0F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0" name="TextBox 3267">
          <a:extLst>
            <a:ext uri="{FF2B5EF4-FFF2-40B4-BE49-F238E27FC236}">
              <a16:creationId xmlns:a16="http://schemas.microsoft.com/office/drawing/2014/main" id="{02BDC37C-3D9D-4839-940A-D96604B1D608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1" name="TextBox 3268">
          <a:extLst>
            <a:ext uri="{FF2B5EF4-FFF2-40B4-BE49-F238E27FC236}">
              <a16:creationId xmlns:a16="http://schemas.microsoft.com/office/drawing/2014/main" id="{D8BED717-2446-4E03-B3BE-3A6B05DDDE59}"/>
            </a:ext>
          </a:extLst>
        </xdr:cNvPr>
        <xdr:cNvSpPr txBox="1"/>
      </xdr:nvSpPr>
      <xdr:spPr>
        <a:xfrm flipH="1">
          <a:off x="11235481457" y="156962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ar-LY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2" name="TextBox 2">
          <a:extLst>
            <a:ext uri="{FF2B5EF4-FFF2-40B4-BE49-F238E27FC236}">
              <a16:creationId xmlns:a16="http://schemas.microsoft.com/office/drawing/2014/main" id="{319AAA06-89F4-4F0B-9F94-0B762CB42BEB}"/>
            </a:ext>
          </a:extLst>
        </xdr:cNvPr>
        <xdr:cNvSpPr txBox="1"/>
      </xdr:nvSpPr>
      <xdr:spPr>
        <a:xfrm flipH="1">
          <a:off x="11394339407" y="10153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3" name="TextBox 4">
          <a:extLst>
            <a:ext uri="{FF2B5EF4-FFF2-40B4-BE49-F238E27FC236}">
              <a16:creationId xmlns:a16="http://schemas.microsoft.com/office/drawing/2014/main" id="{F8C2B216-4AB6-4CC5-9E74-2F4DD203FFD4}"/>
            </a:ext>
          </a:extLst>
        </xdr:cNvPr>
        <xdr:cNvSpPr txBox="1"/>
      </xdr:nvSpPr>
      <xdr:spPr>
        <a:xfrm flipH="1">
          <a:off x="11394339407" y="10153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4" name="TextBox 5">
          <a:extLst>
            <a:ext uri="{FF2B5EF4-FFF2-40B4-BE49-F238E27FC236}">
              <a16:creationId xmlns:a16="http://schemas.microsoft.com/office/drawing/2014/main" id="{91743884-8247-457A-BC04-80952BDE6C9E}"/>
            </a:ext>
          </a:extLst>
        </xdr:cNvPr>
        <xdr:cNvSpPr txBox="1"/>
      </xdr:nvSpPr>
      <xdr:spPr>
        <a:xfrm flipH="1">
          <a:off x="11394339407" y="10153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5" name="TextBox 6">
          <a:extLst>
            <a:ext uri="{FF2B5EF4-FFF2-40B4-BE49-F238E27FC236}">
              <a16:creationId xmlns:a16="http://schemas.microsoft.com/office/drawing/2014/main" id="{C5F4EDF8-093C-4455-B34F-8D792C620EE2}"/>
            </a:ext>
          </a:extLst>
        </xdr:cNvPr>
        <xdr:cNvSpPr txBox="1"/>
      </xdr:nvSpPr>
      <xdr:spPr>
        <a:xfrm flipH="1">
          <a:off x="11394339407" y="10153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6" name="TextBox 7">
          <a:extLst>
            <a:ext uri="{FF2B5EF4-FFF2-40B4-BE49-F238E27FC236}">
              <a16:creationId xmlns:a16="http://schemas.microsoft.com/office/drawing/2014/main" id="{A081AFFB-4E8D-4315-A0A2-DEF8C3B0D164}"/>
            </a:ext>
          </a:extLst>
        </xdr:cNvPr>
        <xdr:cNvSpPr txBox="1"/>
      </xdr:nvSpPr>
      <xdr:spPr>
        <a:xfrm flipH="1">
          <a:off x="11394339407" y="10153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7" name="TextBox 8">
          <a:extLst>
            <a:ext uri="{FF2B5EF4-FFF2-40B4-BE49-F238E27FC236}">
              <a16:creationId xmlns:a16="http://schemas.microsoft.com/office/drawing/2014/main" id="{82D19D39-C3C1-438E-BAF6-9F8FDAC47C5F}"/>
            </a:ext>
          </a:extLst>
        </xdr:cNvPr>
        <xdr:cNvSpPr txBox="1"/>
      </xdr:nvSpPr>
      <xdr:spPr>
        <a:xfrm flipH="1">
          <a:off x="11394339407" y="10153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8" name="TextBox 2">
          <a:extLst>
            <a:ext uri="{FF2B5EF4-FFF2-40B4-BE49-F238E27FC236}">
              <a16:creationId xmlns:a16="http://schemas.microsoft.com/office/drawing/2014/main" id="{28848D8B-DDAB-4A13-B41E-FCBF9E17DB99}"/>
            </a:ext>
          </a:extLst>
        </xdr:cNvPr>
        <xdr:cNvSpPr txBox="1"/>
      </xdr:nvSpPr>
      <xdr:spPr>
        <a:xfrm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89" name="TextBox 4">
          <a:extLst>
            <a:ext uri="{FF2B5EF4-FFF2-40B4-BE49-F238E27FC236}">
              <a16:creationId xmlns:a16="http://schemas.microsoft.com/office/drawing/2014/main" id="{09607505-2511-4401-A0E5-4601AE54C4F2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0" name="TextBox 5">
          <a:extLst>
            <a:ext uri="{FF2B5EF4-FFF2-40B4-BE49-F238E27FC236}">
              <a16:creationId xmlns:a16="http://schemas.microsoft.com/office/drawing/2014/main" id="{D97FF371-13E2-40C6-993D-CAF24D00EC47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1" name="TextBox 6">
          <a:extLst>
            <a:ext uri="{FF2B5EF4-FFF2-40B4-BE49-F238E27FC236}">
              <a16:creationId xmlns:a16="http://schemas.microsoft.com/office/drawing/2014/main" id="{4C4FF453-FF14-4E22-848B-5617D7DF042C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2" name="TextBox 7">
          <a:extLst>
            <a:ext uri="{FF2B5EF4-FFF2-40B4-BE49-F238E27FC236}">
              <a16:creationId xmlns:a16="http://schemas.microsoft.com/office/drawing/2014/main" id="{B57C3319-529C-4353-9F19-C0EADF04228C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3" name="TextBox 8">
          <a:extLst>
            <a:ext uri="{FF2B5EF4-FFF2-40B4-BE49-F238E27FC236}">
              <a16:creationId xmlns:a16="http://schemas.microsoft.com/office/drawing/2014/main" id="{E1F25573-88D4-46EC-B238-625DE495825F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4" name="TextBox 11">
          <a:extLst>
            <a:ext uri="{FF2B5EF4-FFF2-40B4-BE49-F238E27FC236}">
              <a16:creationId xmlns:a16="http://schemas.microsoft.com/office/drawing/2014/main" id="{E0FCFF76-6EE4-4080-BB2D-DA28E6B228A1}"/>
            </a:ext>
          </a:extLst>
        </xdr:cNvPr>
        <xdr:cNvSpPr txBox="1"/>
      </xdr:nvSpPr>
      <xdr:spPr>
        <a:xfrm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5" name="TextBox 12">
          <a:extLst>
            <a:ext uri="{FF2B5EF4-FFF2-40B4-BE49-F238E27FC236}">
              <a16:creationId xmlns:a16="http://schemas.microsoft.com/office/drawing/2014/main" id="{D6C971CA-C503-4116-90E0-44063C3C6B7A}"/>
            </a:ext>
          </a:extLst>
        </xdr:cNvPr>
        <xdr:cNvSpPr txBox="1"/>
      </xdr:nvSpPr>
      <xdr:spPr>
        <a:xfrm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6" name="TextBox 2">
          <a:extLst>
            <a:ext uri="{FF2B5EF4-FFF2-40B4-BE49-F238E27FC236}">
              <a16:creationId xmlns:a16="http://schemas.microsoft.com/office/drawing/2014/main" id="{838CD0F4-0154-4FF4-B5AB-5FC6C634172D}"/>
            </a:ext>
          </a:extLst>
        </xdr:cNvPr>
        <xdr:cNvSpPr txBox="1"/>
      </xdr:nvSpPr>
      <xdr:spPr>
        <a:xfrm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7" name="TextBox 4">
          <a:extLst>
            <a:ext uri="{FF2B5EF4-FFF2-40B4-BE49-F238E27FC236}">
              <a16:creationId xmlns:a16="http://schemas.microsoft.com/office/drawing/2014/main" id="{5AA05B78-7F86-4DFC-86C3-151EFA41926A}"/>
            </a:ext>
          </a:extLst>
        </xdr:cNvPr>
        <xdr:cNvSpPr txBox="1"/>
      </xdr:nvSpPr>
      <xdr:spPr>
        <a:xfrm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8" name="TextBox 5">
          <a:extLst>
            <a:ext uri="{FF2B5EF4-FFF2-40B4-BE49-F238E27FC236}">
              <a16:creationId xmlns:a16="http://schemas.microsoft.com/office/drawing/2014/main" id="{2A1465BB-D12B-4B39-AC85-9EAA7446C822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699" name="TextBox 6">
          <a:extLst>
            <a:ext uri="{FF2B5EF4-FFF2-40B4-BE49-F238E27FC236}">
              <a16:creationId xmlns:a16="http://schemas.microsoft.com/office/drawing/2014/main" id="{256B3A58-EFA6-47A0-997C-EA2781C5C659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0" name="TextBox 7">
          <a:extLst>
            <a:ext uri="{FF2B5EF4-FFF2-40B4-BE49-F238E27FC236}">
              <a16:creationId xmlns:a16="http://schemas.microsoft.com/office/drawing/2014/main" id="{3A356AF2-1CF1-4F9E-8DAC-07E249D9F5BA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1" name="TextBox 8">
          <a:extLst>
            <a:ext uri="{FF2B5EF4-FFF2-40B4-BE49-F238E27FC236}">
              <a16:creationId xmlns:a16="http://schemas.microsoft.com/office/drawing/2014/main" id="{B4C9B3D5-725A-4FB6-BC16-4CF8797458CE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2" name="TextBox 11">
          <a:extLst>
            <a:ext uri="{FF2B5EF4-FFF2-40B4-BE49-F238E27FC236}">
              <a16:creationId xmlns:a16="http://schemas.microsoft.com/office/drawing/2014/main" id="{59DE3207-0D69-4BDE-8BE2-52EAD8090FA2}"/>
            </a:ext>
          </a:extLst>
        </xdr:cNvPr>
        <xdr:cNvSpPr txBox="1"/>
      </xdr:nvSpPr>
      <xdr:spPr>
        <a:xfrm>
          <a:off x="1909762" y="10096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3" name="TextBox 12">
          <a:extLst>
            <a:ext uri="{FF2B5EF4-FFF2-40B4-BE49-F238E27FC236}">
              <a16:creationId xmlns:a16="http://schemas.microsoft.com/office/drawing/2014/main" id="{2C783180-F5F2-4F24-9F3E-3B4F0798414E}"/>
            </a:ext>
          </a:extLst>
        </xdr:cNvPr>
        <xdr:cNvSpPr txBox="1"/>
      </xdr:nvSpPr>
      <xdr:spPr>
        <a:xfrm>
          <a:off x="1909762" y="10096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4" name="TextBox 13">
          <a:extLst>
            <a:ext uri="{FF2B5EF4-FFF2-40B4-BE49-F238E27FC236}">
              <a16:creationId xmlns:a16="http://schemas.microsoft.com/office/drawing/2014/main" id="{462B9C09-20DD-49FC-BF25-B9FDEF53C3C5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5" name="TextBox 14">
          <a:extLst>
            <a:ext uri="{FF2B5EF4-FFF2-40B4-BE49-F238E27FC236}">
              <a16:creationId xmlns:a16="http://schemas.microsoft.com/office/drawing/2014/main" id="{F7F89A5E-003E-4A2D-A7C6-1BB6DFE9CF6D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6" name="TextBox 15">
          <a:extLst>
            <a:ext uri="{FF2B5EF4-FFF2-40B4-BE49-F238E27FC236}">
              <a16:creationId xmlns:a16="http://schemas.microsoft.com/office/drawing/2014/main" id="{81D7681C-43DF-42E2-BD4A-73429AC15CC2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7" name="TextBox 16">
          <a:extLst>
            <a:ext uri="{FF2B5EF4-FFF2-40B4-BE49-F238E27FC236}">
              <a16:creationId xmlns:a16="http://schemas.microsoft.com/office/drawing/2014/main" id="{5E7383A3-6FBB-4779-8861-8B77BC0B1D1A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8" name="TextBox 17">
          <a:extLst>
            <a:ext uri="{FF2B5EF4-FFF2-40B4-BE49-F238E27FC236}">
              <a16:creationId xmlns:a16="http://schemas.microsoft.com/office/drawing/2014/main" id="{1853CC98-A0F8-493E-8F50-E59E7DB047D9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09" name="TextBox 18">
          <a:extLst>
            <a:ext uri="{FF2B5EF4-FFF2-40B4-BE49-F238E27FC236}">
              <a16:creationId xmlns:a16="http://schemas.microsoft.com/office/drawing/2014/main" id="{44EC6AFB-7258-493A-B192-00B18C8E589C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0" name="TextBox 30">
          <a:extLst>
            <a:ext uri="{FF2B5EF4-FFF2-40B4-BE49-F238E27FC236}">
              <a16:creationId xmlns:a16="http://schemas.microsoft.com/office/drawing/2014/main" id="{3971A3EC-7947-492E-AE89-0A0D876DC6AE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1" name="TextBox 31">
          <a:extLst>
            <a:ext uri="{FF2B5EF4-FFF2-40B4-BE49-F238E27FC236}">
              <a16:creationId xmlns:a16="http://schemas.microsoft.com/office/drawing/2014/main" id="{390BD035-FC57-4DAD-A8B6-71931FDCCFCB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2" name="TextBox 1">
          <a:extLst>
            <a:ext uri="{FF2B5EF4-FFF2-40B4-BE49-F238E27FC236}">
              <a16:creationId xmlns:a16="http://schemas.microsoft.com/office/drawing/2014/main" id="{D4C3B64F-CDA5-4E59-A466-4CFD5963A1DD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3" name="TextBox 3">
          <a:extLst>
            <a:ext uri="{FF2B5EF4-FFF2-40B4-BE49-F238E27FC236}">
              <a16:creationId xmlns:a16="http://schemas.microsoft.com/office/drawing/2014/main" id="{5135F0BF-7C27-4A8E-A5AD-1758672EDE4F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4" name="TextBox 34">
          <a:extLst>
            <a:ext uri="{FF2B5EF4-FFF2-40B4-BE49-F238E27FC236}">
              <a16:creationId xmlns:a16="http://schemas.microsoft.com/office/drawing/2014/main" id="{6A0A340C-7800-460F-96C6-87D46E5D6443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5" name="TextBox 35">
          <a:extLst>
            <a:ext uri="{FF2B5EF4-FFF2-40B4-BE49-F238E27FC236}">
              <a16:creationId xmlns:a16="http://schemas.microsoft.com/office/drawing/2014/main" id="{F5439177-92BC-400F-B9E4-9234B95E67FE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6" name="TextBox 1">
          <a:extLst>
            <a:ext uri="{FF2B5EF4-FFF2-40B4-BE49-F238E27FC236}">
              <a16:creationId xmlns:a16="http://schemas.microsoft.com/office/drawing/2014/main" id="{46D5B3DB-CCB6-4EC4-B425-B8C6B26DF1E0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7" name="TextBox 3">
          <a:extLst>
            <a:ext uri="{FF2B5EF4-FFF2-40B4-BE49-F238E27FC236}">
              <a16:creationId xmlns:a16="http://schemas.microsoft.com/office/drawing/2014/main" id="{C179D058-0834-4855-B530-DDA67BE5E0D3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8" name="TextBox 80">
          <a:extLst>
            <a:ext uri="{FF2B5EF4-FFF2-40B4-BE49-F238E27FC236}">
              <a16:creationId xmlns:a16="http://schemas.microsoft.com/office/drawing/2014/main" id="{EEEA8A80-ED5D-4A9E-ACE1-90A096173F0E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19" name="TextBox 81">
          <a:extLst>
            <a:ext uri="{FF2B5EF4-FFF2-40B4-BE49-F238E27FC236}">
              <a16:creationId xmlns:a16="http://schemas.microsoft.com/office/drawing/2014/main" id="{12EB7AD2-DC95-4EC8-8A5C-14FAD2FD9D31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0" name="TextBox 82">
          <a:extLst>
            <a:ext uri="{FF2B5EF4-FFF2-40B4-BE49-F238E27FC236}">
              <a16:creationId xmlns:a16="http://schemas.microsoft.com/office/drawing/2014/main" id="{42D95420-EF87-4176-BC88-4194C2F24777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1" name="TextBox 83">
          <a:extLst>
            <a:ext uri="{FF2B5EF4-FFF2-40B4-BE49-F238E27FC236}">
              <a16:creationId xmlns:a16="http://schemas.microsoft.com/office/drawing/2014/main" id="{D05ED2CD-1D5B-452C-95CF-EEAA07D4B2AC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2" name="TextBox 84">
          <a:extLst>
            <a:ext uri="{FF2B5EF4-FFF2-40B4-BE49-F238E27FC236}">
              <a16:creationId xmlns:a16="http://schemas.microsoft.com/office/drawing/2014/main" id="{008788D2-50EE-44EA-BA3B-1E62948F4B28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3" name="TextBox 85">
          <a:extLst>
            <a:ext uri="{FF2B5EF4-FFF2-40B4-BE49-F238E27FC236}">
              <a16:creationId xmlns:a16="http://schemas.microsoft.com/office/drawing/2014/main" id="{68B7C8FE-D724-41B5-BA81-2D56A2E2E054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4" name="TextBox 86">
          <a:extLst>
            <a:ext uri="{FF2B5EF4-FFF2-40B4-BE49-F238E27FC236}">
              <a16:creationId xmlns:a16="http://schemas.microsoft.com/office/drawing/2014/main" id="{F3309B4D-3D39-4C14-9B0F-EC5D2E1E043A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5" name="TextBox 87">
          <a:extLst>
            <a:ext uri="{FF2B5EF4-FFF2-40B4-BE49-F238E27FC236}">
              <a16:creationId xmlns:a16="http://schemas.microsoft.com/office/drawing/2014/main" id="{3CECE023-0FE5-464C-99FE-492B35273F08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6" name="TextBox 88">
          <a:extLst>
            <a:ext uri="{FF2B5EF4-FFF2-40B4-BE49-F238E27FC236}">
              <a16:creationId xmlns:a16="http://schemas.microsoft.com/office/drawing/2014/main" id="{F0B03C33-8A4E-4A74-BD95-D8CEFB32461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7" name="TextBox 89">
          <a:extLst>
            <a:ext uri="{FF2B5EF4-FFF2-40B4-BE49-F238E27FC236}">
              <a16:creationId xmlns:a16="http://schemas.microsoft.com/office/drawing/2014/main" id="{C1A09EF6-57E3-486F-9E9B-314D6D54DCD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8" name="TextBox 90">
          <a:extLst>
            <a:ext uri="{FF2B5EF4-FFF2-40B4-BE49-F238E27FC236}">
              <a16:creationId xmlns:a16="http://schemas.microsoft.com/office/drawing/2014/main" id="{D6893A17-0A2F-4D41-A7DB-838D4B6B8FB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29" name="TextBox 91">
          <a:extLst>
            <a:ext uri="{FF2B5EF4-FFF2-40B4-BE49-F238E27FC236}">
              <a16:creationId xmlns:a16="http://schemas.microsoft.com/office/drawing/2014/main" id="{B9E8EBD2-1FD4-42CD-B5F3-A769E9E6F81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0" name="TextBox 92">
          <a:extLst>
            <a:ext uri="{FF2B5EF4-FFF2-40B4-BE49-F238E27FC236}">
              <a16:creationId xmlns:a16="http://schemas.microsoft.com/office/drawing/2014/main" id="{563F79D6-5C83-4874-AE3C-5CF7A5B857E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1" name="TextBox 93">
          <a:extLst>
            <a:ext uri="{FF2B5EF4-FFF2-40B4-BE49-F238E27FC236}">
              <a16:creationId xmlns:a16="http://schemas.microsoft.com/office/drawing/2014/main" id="{8BFC2098-7A32-4FDB-86B2-D3B012EFABE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2" name="TextBox 2">
          <a:extLst>
            <a:ext uri="{FF2B5EF4-FFF2-40B4-BE49-F238E27FC236}">
              <a16:creationId xmlns:a16="http://schemas.microsoft.com/office/drawing/2014/main" id="{71DC648C-93AF-4AE4-841E-22DEBA0C342C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3" name="TextBox 4">
          <a:extLst>
            <a:ext uri="{FF2B5EF4-FFF2-40B4-BE49-F238E27FC236}">
              <a16:creationId xmlns:a16="http://schemas.microsoft.com/office/drawing/2014/main" id="{5A11E184-3FFE-4DD2-A98B-8DC7AFC2BE2E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4" name="TextBox 5">
          <a:extLst>
            <a:ext uri="{FF2B5EF4-FFF2-40B4-BE49-F238E27FC236}">
              <a16:creationId xmlns:a16="http://schemas.microsoft.com/office/drawing/2014/main" id="{29D051DB-A1A4-439C-84D3-AE3F53590BB2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5" name="TextBox 6">
          <a:extLst>
            <a:ext uri="{FF2B5EF4-FFF2-40B4-BE49-F238E27FC236}">
              <a16:creationId xmlns:a16="http://schemas.microsoft.com/office/drawing/2014/main" id="{1C7B3DE9-7351-45AC-A39F-20A027F77E58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6" name="TextBox 7">
          <a:extLst>
            <a:ext uri="{FF2B5EF4-FFF2-40B4-BE49-F238E27FC236}">
              <a16:creationId xmlns:a16="http://schemas.microsoft.com/office/drawing/2014/main" id="{CE90AA44-1E2C-4328-94F8-0FC36EEA5C49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7" name="TextBox 8">
          <a:extLst>
            <a:ext uri="{FF2B5EF4-FFF2-40B4-BE49-F238E27FC236}">
              <a16:creationId xmlns:a16="http://schemas.microsoft.com/office/drawing/2014/main" id="{34CABBD0-6E12-434A-8B11-CC94808BA317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8" name="TextBox 11">
          <a:extLst>
            <a:ext uri="{FF2B5EF4-FFF2-40B4-BE49-F238E27FC236}">
              <a16:creationId xmlns:a16="http://schemas.microsoft.com/office/drawing/2014/main" id="{FFF276CD-FCA9-4899-B151-3618A7F1652F}"/>
            </a:ext>
          </a:extLst>
        </xdr:cNvPr>
        <xdr:cNvSpPr txBox="1"/>
      </xdr:nvSpPr>
      <xdr:spPr>
        <a:xfrm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39" name="TextBox 12">
          <a:extLst>
            <a:ext uri="{FF2B5EF4-FFF2-40B4-BE49-F238E27FC236}">
              <a16:creationId xmlns:a16="http://schemas.microsoft.com/office/drawing/2014/main" id="{C3A16F83-D06F-4456-8D5E-650C5EED62D2}"/>
            </a:ext>
          </a:extLst>
        </xdr:cNvPr>
        <xdr:cNvSpPr txBox="1"/>
      </xdr:nvSpPr>
      <xdr:spPr>
        <a:xfrm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0" name="TextBox 13">
          <a:extLst>
            <a:ext uri="{FF2B5EF4-FFF2-40B4-BE49-F238E27FC236}">
              <a16:creationId xmlns:a16="http://schemas.microsoft.com/office/drawing/2014/main" id="{92D26A71-53EA-4CA8-9F85-5D4FADF3DF5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1" name="TextBox 14">
          <a:extLst>
            <a:ext uri="{FF2B5EF4-FFF2-40B4-BE49-F238E27FC236}">
              <a16:creationId xmlns:a16="http://schemas.microsoft.com/office/drawing/2014/main" id="{F51DB592-6C72-492F-963E-D06BD5B948C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2" name="TextBox 15">
          <a:extLst>
            <a:ext uri="{FF2B5EF4-FFF2-40B4-BE49-F238E27FC236}">
              <a16:creationId xmlns:a16="http://schemas.microsoft.com/office/drawing/2014/main" id="{AB511BD6-6841-4845-A9AD-39E47F3E9974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3" name="TextBox 16">
          <a:extLst>
            <a:ext uri="{FF2B5EF4-FFF2-40B4-BE49-F238E27FC236}">
              <a16:creationId xmlns:a16="http://schemas.microsoft.com/office/drawing/2014/main" id="{1FF57D6B-FB97-422D-920B-69F2140BA369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4" name="TextBox 17">
          <a:extLst>
            <a:ext uri="{FF2B5EF4-FFF2-40B4-BE49-F238E27FC236}">
              <a16:creationId xmlns:a16="http://schemas.microsoft.com/office/drawing/2014/main" id="{C515503C-17D0-47E1-A462-C4D86708C64B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5" name="TextBox 18">
          <a:extLst>
            <a:ext uri="{FF2B5EF4-FFF2-40B4-BE49-F238E27FC236}">
              <a16:creationId xmlns:a16="http://schemas.microsoft.com/office/drawing/2014/main" id="{58CD650A-0467-44DA-9D91-902D2C17DD1B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6" name="TextBox 108">
          <a:extLst>
            <a:ext uri="{FF2B5EF4-FFF2-40B4-BE49-F238E27FC236}">
              <a16:creationId xmlns:a16="http://schemas.microsoft.com/office/drawing/2014/main" id="{FA8234A2-804E-476B-8608-368B2C605716}"/>
            </a:ext>
          </a:extLst>
        </xdr:cNvPr>
        <xdr:cNvSpPr txBox="1"/>
      </xdr:nvSpPr>
      <xdr:spPr>
        <a:xfrm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7" name="TextBox 109">
          <a:extLst>
            <a:ext uri="{FF2B5EF4-FFF2-40B4-BE49-F238E27FC236}">
              <a16:creationId xmlns:a16="http://schemas.microsoft.com/office/drawing/2014/main" id="{C098147A-666D-446E-BFB5-7A5FFA12BFA5}"/>
            </a:ext>
          </a:extLst>
        </xdr:cNvPr>
        <xdr:cNvSpPr txBox="1"/>
      </xdr:nvSpPr>
      <xdr:spPr>
        <a:xfrm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8" name="TextBox 1">
          <a:extLst>
            <a:ext uri="{FF2B5EF4-FFF2-40B4-BE49-F238E27FC236}">
              <a16:creationId xmlns:a16="http://schemas.microsoft.com/office/drawing/2014/main" id="{4BF5D3E1-BF1F-45BC-BDA5-D7D326895AB1}"/>
            </a:ext>
          </a:extLst>
        </xdr:cNvPr>
        <xdr:cNvSpPr txBox="1"/>
      </xdr:nvSpPr>
      <xdr:spPr>
        <a:xfrm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49" name="TextBox 3">
          <a:extLst>
            <a:ext uri="{FF2B5EF4-FFF2-40B4-BE49-F238E27FC236}">
              <a16:creationId xmlns:a16="http://schemas.microsoft.com/office/drawing/2014/main" id="{B065CB35-F655-4CD6-92D7-F44B606FF7EB}"/>
            </a:ext>
          </a:extLst>
        </xdr:cNvPr>
        <xdr:cNvSpPr txBox="1"/>
      </xdr:nvSpPr>
      <xdr:spPr>
        <a:xfrm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0" name="TextBox 112">
          <a:extLst>
            <a:ext uri="{FF2B5EF4-FFF2-40B4-BE49-F238E27FC236}">
              <a16:creationId xmlns:a16="http://schemas.microsoft.com/office/drawing/2014/main" id="{371549BF-0418-4686-BBDA-3229155B2A5F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1" name="TextBox 113">
          <a:extLst>
            <a:ext uri="{FF2B5EF4-FFF2-40B4-BE49-F238E27FC236}">
              <a16:creationId xmlns:a16="http://schemas.microsoft.com/office/drawing/2014/main" id="{5272ACC0-18D1-423F-8EE5-E8194AE80770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2" name="TextBox 1">
          <a:extLst>
            <a:ext uri="{FF2B5EF4-FFF2-40B4-BE49-F238E27FC236}">
              <a16:creationId xmlns:a16="http://schemas.microsoft.com/office/drawing/2014/main" id="{CF375EC4-5E80-4EF6-B274-ACA674A519D5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3" name="TextBox 3">
          <a:extLst>
            <a:ext uri="{FF2B5EF4-FFF2-40B4-BE49-F238E27FC236}">
              <a16:creationId xmlns:a16="http://schemas.microsoft.com/office/drawing/2014/main" id="{3D032CC2-3929-48AD-9A0D-5A4CE1E984BC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4" name="TextBox 116">
          <a:extLst>
            <a:ext uri="{FF2B5EF4-FFF2-40B4-BE49-F238E27FC236}">
              <a16:creationId xmlns:a16="http://schemas.microsoft.com/office/drawing/2014/main" id="{C4F85045-8F34-496A-88E9-BAC5E72E2C1A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5" name="TextBox 117">
          <a:extLst>
            <a:ext uri="{FF2B5EF4-FFF2-40B4-BE49-F238E27FC236}">
              <a16:creationId xmlns:a16="http://schemas.microsoft.com/office/drawing/2014/main" id="{39D9B117-57BE-4BF1-89F7-28B1AF9E7F0D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6" name="TextBox 118">
          <a:extLst>
            <a:ext uri="{FF2B5EF4-FFF2-40B4-BE49-F238E27FC236}">
              <a16:creationId xmlns:a16="http://schemas.microsoft.com/office/drawing/2014/main" id="{6E490FA0-0ACD-4707-BAE6-42D1C333858F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7" name="TextBox 119">
          <a:extLst>
            <a:ext uri="{FF2B5EF4-FFF2-40B4-BE49-F238E27FC236}">
              <a16:creationId xmlns:a16="http://schemas.microsoft.com/office/drawing/2014/main" id="{50C1F992-5FC9-43A2-9270-03C7429756B5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8" name="TextBox 120">
          <a:extLst>
            <a:ext uri="{FF2B5EF4-FFF2-40B4-BE49-F238E27FC236}">
              <a16:creationId xmlns:a16="http://schemas.microsoft.com/office/drawing/2014/main" id="{8412C472-EA6F-4525-B741-4A40BCDC8249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59" name="TextBox 121">
          <a:extLst>
            <a:ext uri="{FF2B5EF4-FFF2-40B4-BE49-F238E27FC236}">
              <a16:creationId xmlns:a16="http://schemas.microsoft.com/office/drawing/2014/main" id="{FC6B134C-5B9B-4E47-B675-2C286FF9C524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0" name="TextBox 122">
          <a:extLst>
            <a:ext uri="{FF2B5EF4-FFF2-40B4-BE49-F238E27FC236}">
              <a16:creationId xmlns:a16="http://schemas.microsoft.com/office/drawing/2014/main" id="{CA335F3F-6AA1-4AAC-B453-07E18F5E4D73}"/>
            </a:ext>
          </a:extLst>
        </xdr:cNvPr>
        <xdr:cNvSpPr txBox="1"/>
      </xdr:nvSpPr>
      <xdr:spPr>
        <a:xfrm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1" name="TextBox 123">
          <a:extLst>
            <a:ext uri="{FF2B5EF4-FFF2-40B4-BE49-F238E27FC236}">
              <a16:creationId xmlns:a16="http://schemas.microsoft.com/office/drawing/2014/main" id="{5D4FB640-AED8-409F-82BC-9D8638EE7928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2" name="TextBox 124">
          <a:extLst>
            <a:ext uri="{FF2B5EF4-FFF2-40B4-BE49-F238E27FC236}">
              <a16:creationId xmlns:a16="http://schemas.microsoft.com/office/drawing/2014/main" id="{A584C40A-6F96-4B9F-BBB8-1472C14AAA0D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3" name="TextBox 125">
          <a:extLst>
            <a:ext uri="{FF2B5EF4-FFF2-40B4-BE49-F238E27FC236}">
              <a16:creationId xmlns:a16="http://schemas.microsoft.com/office/drawing/2014/main" id="{499FF84D-946F-410B-983C-E56CF86D01E5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4" name="TextBox 126">
          <a:extLst>
            <a:ext uri="{FF2B5EF4-FFF2-40B4-BE49-F238E27FC236}">
              <a16:creationId xmlns:a16="http://schemas.microsoft.com/office/drawing/2014/main" id="{965106DF-3993-4D5B-8366-9FB5FCE17EA2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5" name="TextBox 127">
          <a:extLst>
            <a:ext uri="{FF2B5EF4-FFF2-40B4-BE49-F238E27FC236}">
              <a16:creationId xmlns:a16="http://schemas.microsoft.com/office/drawing/2014/main" id="{08D4D9A8-650B-4E84-898A-0DEDDF7BAA7F}"/>
            </a:ext>
          </a:extLst>
        </xdr:cNvPr>
        <xdr:cNvSpPr txBox="1"/>
      </xdr:nvSpPr>
      <xdr:spPr>
        <a:xfrm>
          <a:off x="1909762" y="18297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6" name="TextBox 128">
          <a:extLst>
            <a:ext uri="{FF2B5EF4-FFF2-40B4-BE49-F238E27FC236}">
              <a16:creationId xmlns:a16="http://schemas.microsoft.com/office/drawing/2014/main" id="{A32B8936-F994-4E28-A0F8-2CBB92167784}"/>
            </a:ext>
          </a:extLst>
        </xdr:cNvPr>
        <xdr:cNvSpPr txBox="1"/>
      </xdr:nvSpPr>
      <xdr:spPr>
        <a:xfrm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7" name="TextBox 129">
          <a:extLst>
            <a:ext uri="{FF2B5EF4-FFF2-40B4-BE49-F238E27FC236}">
              <a16:creationId xmlns:a16="http://schemas.microsoft.com/office/drawing/2014/main" id="{BD4EEA75-0B1C-4FFD-A288-7745774807F8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8" name="TextBox 130">
          <a:extLst>
            <a:ext uri="{FF2B5EF4-FFF2-40B4-BE49-F238E27FC236}">
              <a16:creationId xmlns:a16="http://schemas.microsoft.com/office/drawing/2014/main" id="{95D982FD-BF3F-46C0-AAA6-BC872E444B4C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69" name="TextBox 131">
          <a:extLst>
            <a:ext uri="{FF2B5EF4-FFF2-40B4-BE49-F238E27FC236}">
              <a16:creationId xmlns:a16="http://schemas.microsoft.com/office/drawing/2014/main" id="{332FD3D6-4132-4410-A51D-7D5F8249A8EE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0" name="TextBox 132">
          <a:extLst>
            <a:ext uri="{FF2B5EF4-FFF2-40B4-BE49-F238E27FC236}">
              <a16:creationId xmlns:a16="http://schemas.microsoft.com/office/drawing/2014/main" id="{1D0FA00B-B450-49F5-8D58-9DEFBAEFC923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1" name="TextBox 133">
          <a:extLst>
            <a:ext uri="{FF2B5EF4-FFF2-40B4-BE49-F238E27FC236}">
              <a16:creationId xmlns:a16="http://schemas.microsoft.com/office/drawing/2014/main" id="{BD41B734-BDD9-4FED-AE10-2B23BC4143C3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2" name="TextBox 134">
          <a:extLst>
            <a:ext uri="{FF2B5EF4-FFF2-40B4-BE49-F238E27FC236}">
              <a16:creationId xmlns:a16="http://schemas.microsoft.com/office/drawing/2014/main" id="{413EA564-4B04-41FC-893B-FFE0A6165D7F}"/>
            </a:ext>
          </a:extLst>
        </xdr:cNvPr>
        <xdr:cNvSpPr txBox="1"/>
      </xdr:nvSpPr>
      <xdr:spPr>
        <a:xfrm>
          <a:off x="1909762" y="9705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3" name="TextBox 135">
          <a:extLst>
            <a:ext uri="{FF2B5EF4-FFF2-40B4-BE49-F238E27FC236}">
              <a16:creationId xmlns:a16="http://schemas.microsoft.com/office/drawing/2014/main" id="{471FB8FF-2566-42CC-BBE6-58C485967E2E}"/>
            </a:ext>
          </a:extLst>
        </xdr:cNvPr>
        <xdr:cNvSpPr txBox="1"/>
      </xdr:nvSpPr>
      <xdr:spPr>
        <a:xfrm>
          <a:off x="1909762" y="9705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4" name="TextBox 2">
          <a:extLst>
            <a:ext uri="{FF2B5EF4-FFF2-40B4-BE49-F238E27FC236}">
              <a16:creationId xmlns:a16="http://schemas.microsoft.com/office/drawing/2014/main" id="{E8DB6B3E-6421-4FEF-9241-E1265991C259}"/>
            </a:ext>
          </a:extLst>
        </xdr:cNvPr>
        <xdr:cNvSpPr txBox="1"/>
      </xdr:nvSpPr>
      <xdr:spPr>
        <a:xfrm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5" name="TextBox 4">
          <a:extLst>
            <a:ext uri="{FF2B5EF4-FFF2-40B4-BE49-F238E27FC236}">
              <a16:creationId xmlns:a16="http://schemas.microsoft.com/office/drawing/2014/main" id="{31766B2D-7A4E-4614-A351-E0D18327A814}"/>
            </a:ext>
          </a:extLst>
        </xdr:cNvPr>
        <xdr:cNvSpPr txBox="1"/>
      </xdr:nvSpPr>
      <xdr:spPr>
        <a:xfrm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6" name="TextBox 5">
          <a:extLst>
            <a:ext uri="{FF2B5EF4-FFF2-40B4-BE49-F238E27FC236}">
              <a16:creationId xmlns:a16="http://schemas.microsoft.com/office/drawing/2014/main" id="{90B18C29-C7A1-4401-B39F-E573E1F38AB9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7" name="TextBox 6">
          <a:extLst>
            <a:ext uri="{FF2B5EF4-FFF2-40B4-BE49-F238E27FC236}">
              <a16:creationId xmlns:a16="http://schemas.microsoft.com/office/drawing/2014/main" id="{6411D257-646A-4EE1-BE09-2FB759759BF5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8" name="TextBox 7">
          <a:extLst>
            <a:ext uri="{FF2B5EF4-FFF2-40B4-BE49-F238E27FC236}">
              <a16:creationId xmlns:a16="http://schemas.microsoft.com/office/drawing/2014/main" id="{5306DD26-81CE-4C88-8F08-329B96CC681D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79" name="TextBox 8">
          <a:extLst>
            <a:ext uri="{FF2B5EF4-FFF2-40B4-BE49-F238E27FC236}">
              <a16:creationId xmlns:a16="http://schemas.microsoft.com/office/drawing/2014/main" id="{F48EF30C-2F34-4C07-BA1F-127780653B7A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0" name="TextBox 11">
          <a:extLst>
            <a:ext uri="{FF2B5EF4-FFF2-40B4-BE49-F238E27FC236}">
              <a16:creationId xmlns:a16="http://schemas.microsoft.com/office/drawing/2014/main" id="{D54D3259-9C71-4F50-BF68-EADC034FE30C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1" name="TextBox 12">
          <a:extLst>
            <a:ext uri="{FF2B5EF4-FFF2-40B4-BE49-F238E27FC236}">
              <a16:creationId xmlns:a16="http://schemas.microsoft.com/office/drawing/2014/main" id="{0D8ECA6A-D996-4B37-AC82-131DBDE324DE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2" name="TextBox 13">
          <a:extLst>
            <a:ext uri="{FF2B5EF4-FFF2-40B4-BE49-F238E27FC236}">
              <a16:creationId xmlns:a16="http://schemas.microsoft.com/office/drawing/2014/main" id="{14C5F2E9-ED82-417E-AF54-6AF5F0FEEACD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3" name="TextBox 14">
          <a:extLst>
            <a:ext uri="{FF2B5EF4-FFF2-40B4-BE49-F238E27FC236}">
              <a16:creationId xmlns:a16="http://schemas.microsoft.com/office/drawing/2014/main" id="{1A450FF9-F337-4886-9741-B7D3B5E1FF58}"/>
            </a:ext>
          </a:extLst>
        </xdr:cNvPr>
        <xdr:cNvSpPr txBox="1"/>
      </xdr:nvSpPr>
      <xdr:spPr>
        <a:xfrm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4" name="TextBox 15">
          <a:extLst>
            <a:ext uri="{FF2B5EF4-FFF2-40B4-BE49-F238E27FC236}">
              <a16:creationId xmlns:a16="http://schemas.microsoft.com/office/drawing/2014/main" id="{850D8F33-EF49-4BA7-8D78-A0A47E414707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5" name="TextBox 16">
          <a:extLst>
            <a:ext uri="{FF2B5EF4-FFF2-40B4-BE49-F238E27FC236}">
              <a16:creationId xmlns:a16="http://schemas.microsoft.com/office/drawing/2014/main" id="{E42C12C3-C69A-42A4-9897-E8EFA5DED267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6" name="TextBox 17">
          <a:extLst>
            <a:ext uri="{FF2B5EF4-FFF2-40B4-BE49-F238E27FC236}">
              <a16:creationId xmlns:a16="http://schemas.microsoft.com/office/drawing/2014/main" id="{AAB1C748-94DE-4FDB-8483-893499FCFDE1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7" name="TextBox 18">
          <a:extLst>
            <a:ext uri="{FF2B5EF4-FFF2-40B4-BE49-F238E27FC236}">
              <a16:creationId xmlns:a16="http://schemas.microsoft.com/office/drawing/2014/main" id="{D3AE190A-59E8-4B35-AEA2-411D3468D418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8" name="TextBox 150">
          <a:extLst>
            <a:ext uri="{FF2B5EF4-FFF2-40B4-BE49-F238E27FC236}">
              <a16:creationId xmlns:a16="http://schemas.microsoft.com/office/drawing/2014/main" id="{CC7A634F-11AF-4621-9993-31638BF7BA8D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89" name="TextBox 151">
          <a:extLst>
            <a:ext uri="{FF2B5EF4-FFF2-40B4-BE49-F238E27FC236}">
              <a16:creationId xmlns:a16="http://schemas.microsoft.com/office/drawing/2014/main" id="{9A953BE2-5BB9-434B-BE82-04D1064EE045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0" name="TextBox 1">
          <a:extLst>
            <a:ext uri="{FF2B5EF4-FFF2-40B4-BE49-F238E27FC236}">
              <a16:creationId xmlns:a16="http://schemas.microsoft.com/office/drawing/2014/main" id="{7D3DD14D-F82E-434D-80E0-CE08B009521D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1" name="TextBox 3">
          <a:extLst>
            <a:ext uri="{FF2B5EF4-FFF2-40B4-BE49-F238E27FC236}">
              <a16:creationId xmlns:a16="http://schemas.microsoft.com/office/drawing/2014/main" id="{A428511B-A78F-48BE-A938-01229A2660AD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2" name="TextBox 154">
          <a:extLst>
            <a:ext uri="{FF2B5EF4-FFF2-40B4-BE49-F238E27FC236}">
              <a16:creationId xmlns:a16="http://schemas.microsoft.com/office/drawing/2014/main" id="{DD90ED2C-E04D-411C-84FF-CD43D3EBCCEB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3" name="TextBox 155">
          <a:extLst>
            <a:ext uri="{FF2B5EF4-FFF2-40B4-BE49-F238E27FC236}">
              <a16:creationId xmlns:a16="http://schemas.microsoft.com/office/drawing/2014/main" id="{7DEA276E-EB7D-47B4-B028-049ED957F73F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4" name="TextBox 1">
          <a:extLst>
            <a:ext uri="{FF2B5EF4-FFF2-40B4-BE49-F238E27FC236}">
              <a16:creationId xmlns:a16="http://schemas.microsoft.com/office/drawing/2014/main" id="{0EDC1762-24C9-4819-9F49-B592E278A94A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5" name="TextBox 3">
          <a:extLst>
            <a:ext uri="{FF2B5EF4-FFF2-40B4-BE49-F238E27FC236}">
              <a16:creationId xmlns:a16="http://schemas.microsoft.com/office/drawing/2014/main" id="{FF780870-6FB8-4DC6-9353-226F12E1C479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6" name="TextBox 158">
          <a:extLst>
            <a:ext uri="{FF2B5EF4-FFF2-40B4-BE49-F238E27FC236}">
              <a16:creationId xmlns:a16="http://schemas.microsoft.com/office/drawing/2014/main" id="{3000FB24-94C2-4C09-84F4-5153C4D67BA0}"/>
            </a:ext>
          </a:extLst>
        </xdr:cNvPr>
        <xdr:cNvSpPr txBox="1"/>
      </xdr:nvSpPr>
      <xdr:spPr>
        <a:xfrm>
          <a:off x="1909762" y="14782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7" name="TextBox 159">
          <a:extLst>
            <a:ext uri="{FF2B5EF4-FFF2-40B4-BE49-F238E27FC236}">
              <a16:creationId xmlns:a16="http://schemas.microsoft.com/office/drawing/2014/main" id="{9F258A6D-7921-465F-8A04-EB6E4B7A351E}"/>
            </a:ext>
          </a:extLst>
        </xdr:cNvPr>
        <xdr:cNvSpPr txBox="1"/>
      </xdr:nvSpPr>
      <xdr:spPr>
        <a:xfrm>
          <a:off x="1909762" y="14782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8" name="TextBox 160">
          <a:extLst>
            <a:ext uri="{FF2B5EF4-FFF2-40B4-BE49-F238E27FC236}">
              <a16:creationId xmlns:a16="http://schemas.microsoft.com/office/drawing/2014/main" id="{4E175943-5296-402C-912D-EFFC792A7068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799" name="TextBox 161">
          <a:extLst>
            <a:ext uri="{FF2B5EF4-FFF2-40B4-BE49-F238E27FC236}">
              <a16:creationId xmlns:a16="http://schemas.microsoft.com/office/drawing/2014/main" id="{671E9416-62D5-4865-867B-C0643F930CDB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0" name="TextBox 162">
          <a:extLst>
            <a:ext uri="{FF2B5EF4-FFF2-40B4-BE49-F238E27FC236}">
              <a16:creationId xmlns:a16="http://schemas.microsoft.com/office/drawing/2014/main" id="{9E051BB3-2468-4725-AB3B-4B8AC508D995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1" name="TextBox 163">
          <a:extLst>
            <a:ext uri="{FF2B5EF4-FFF2-40B4-BE49-F238E27FC236}">
              <a16:creationId xmlns:a16="http://schemas.microsoft.com/office/drawing/2014/main" id="{31B227CE-5A7E-4F61-A1B3-8DB6E55422AC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2" name="TextBox 180">
          <a:extLst>
            <a:ext uri="{FF2B5EF4-FFF2-40B4-BE49-F238E27FC236}">
              <a16:creationId xmlns:a16="http://schemas.microsoft.com/office/drawing/2014/main" id="{FED6148A-CFFF-4278-B164-9453BD271027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3" name="TextBox 181">
          <a:extLst>
            <a:ext uri="{FF2B5EF4-FFF2-40B4-BE49-F238E27FC236}">
              <a16:creationId xmlns:a16="http://schemas.microsoft.com/office/drawing/2014/main" id="{11585150-8DCA-4AFD-8F2D-7ECC2ED669BE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4" name="TextBox 182">
          <a:extLst>
            <a:ext uri="{FF2B5EF4-FFF2-40B4-BE49-F238E27FC236}">
              <a16:creationId xmlns:a16="http://schemas.microsoft.com/office/drawing/2014/main" id="{877683B1-7345-4F54-B832-AB988EAE465D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5" name="TextBox 183">
          <a:extLst>
            <a:ext uri="{FF2B5EF4-FFF2-40B4-BE49-F238E27FC236}">
              <a16:creationId xmlns:a16="http://schemas.microsoft.com/office/drawing/2014/main" id="{976D9938-2D0C-478E-9089-9B1FDD445607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6" name="TextBox 13">
          <a:extLst>
            <a:ext uri="{FF2B5EF4-FFF2-40B4-BE49-F238E27FC236}">
              <a16:creationId xmlns:a16="http://schemas.microsoft.com/office/drawing/2014/main" id="{7907C5AB-2A8C-41DD-9EA5-833DC7D1C7CB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7" name="TextBox 14">
          <a:extLst>
            <a:ext uri="{FF2B5EF4-FFF2-40B4-BE49-F238E27FC236}">
              <a16:creationId xmlns:a16="http://schemas.microsoft.com/office/drawing/2014/main" id="{812AC6C3-C445-453A-A92E-98166E84C8E6}"/>
            </a:ext>
          </a:extLst>
        </xdr:cNvPr>
        <xdr:cNvSpPr txBox="1"/>
      </xdr:nvSpPr>
      <xdr:spPr>
        <a:xfrm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8" name="TextBox 186">
          <a:extLst>
            <a:ext uri="{FF2B5EF4-FFF2-40B4-BE49-F238E27FC236}">
              <a16:creationId xmlns:a16="http://schemas.microsoft.com/office/drawing/2014/main" id="{60D9BAC6-528B-4E7E-81AC-CE7BEC18E09A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09" name="TextBox 187">
          <a:extLst>
            <a:ext uri="{FF2B5EF4-FFF2-40B4-BE49-F238E27FC236}">
              <a16:creationId xmlns:a16="http://schemas.microsoft.com/office/drawing/2014/main" id="{E5EEB052-C0D1-4CE4-8C34-8C2486F830DC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0" name="TextBox 188">
          <a:extLst>
            <a:ext uri="{FF2B5EF4-FFF2-40B4-BE49-F238E27FC236}">
              <a16:creationId xmlns:a16="http://schemas.microsoft.com/office/drawing/2014/main" id="{BF52F649-F91D-4247-8CD7-CDE31B9FEE64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1" name="TextBox 189">
          <a:extLst>
            <a:ext uri="{FF2B5EF4-FFF2-40B4-BE49-F238E27FC236}">
              <a16:creationId xmlns:a16="http://schemas.microsoft.com/office/drawing/2014/main" id="{55902D20-EC53-4A91-B029-89BDABE8A2FA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2" name="TextBox 15">
          <a:extLst>
            <a:ext uri="{FF2B5EF4-FFF2-40B4-BE49-F238E27FC236}">
              <a16:creationId xmlns:a16="http://schemas.microsoft.com/office/drawing/2014/main" id="{3F6D0F9D-0D32-49DA-B50B-88DAED6B2E6D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3" name="TextBox 16">
          <a:extLst>
            <a:ext uri="{FF2B5EF4-FFF2-40B4-BE49-F238E27FC236}">
              <a16:creationId xmlns:a16="http://schemas.microsoft.com/office/drawing/2014/main" id="{C89DB2EF-ADD1-4D6A-9521-5211A8646841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4" name="TextBox 17">
          <a:extLst>
            <a:ext uri="{FF2B5EF4-FFF2-40B4-BE49-F238E27FC236}">
              <a16:creationId xmlns:a16="http://schemas.microsoft.com/office/drawing/2014/main" id="{509A019B-B499-4360-9B50-E6BFDAC5439F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5" name="TextBox 18">
          <a:extLst>
            <a:ext uri="{FF2B5EF4-FFF2-40B4-BE49-F238E27FC236}">
              <a16:creationId xmlns:a16="http://schemas.microsoft.com/office/drawing/2014/main" id="{BE95F7D0-7A37-448B-AAFB-BCBF3B4D2A67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6" name="TextBox 194">
          <a:extLst>
            <a:ext uri="{FF2B5EF4-FFF2-40B4-BE49-F238E27FC236}">
              <a16:creationId xmlns:a16="http://schemas.microsoft.com/office/drawing/2014/main" id="{30F89039-E486-4FE7-A2F9-F9B7A333CEA5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7" name="TextBox 195">
          <a:extLst>
            <a:ext uri="{FF2B5EF4-FFF2-40B4-BE49-F238E27FC236}">
              <a16:creationId xmlns:a16="http://schemas.microsoft.com/office/drawing/2014/main" id="{4D1C5DA8-6687-4BCD-B31A-43C9F9C9E48E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8" name="TextBox 1">
          <a:extLst>
            <a:ext uri="{FF2B5EF4-FFF2-40B4-BE49-F238E27FC236}">
              <a16:creationId xmlns:a16="http://schemas.microsoft.com/office/drawing/2014/main" id="{63964824-FD69-4671-9427-7114C9E9C36B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19" name="TextBox 3">
          <a:extLst>
            <a:ext uri="{FF2B5EF4-FFF2-40B4-BE49-F238E27FC236}">
              <a16:creationId xmlns:a16="http://schemas.microsoft.com/office/drawing/2014/main" id="{787EE8D2-77A8-4D31-825F-E51F6716E915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0" name="TextBox 198">
          <a:extLst>
            <a:ext uri="{FF2B5EF4-FFF2-40B4-BE49-F238E27FC236}">
              <a16:creationId xmlns:a16="http://schemas.microsoft.com/office/drawing/2014/main" id="{847E1937-C5CD-4EC7-89C4-2C232C3FD7D3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1" name="TextBox 199">
          <a:extLst>
            <a:ext uri="{FF2B5EF4-FFF2-40B4-BE49-F238E27FC236}">
              <a16:creationId xmlns:a16="http://schemas.microsoft.com/office/drawing/2014/main" id="{CBF14BB7-52AD-4E64-A939-9E0FD2FBFCCD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2" name="TextBox 200">
          <a:extLst>
            <a:ext uri="{FF2B5EF4-FFF2-40B4-BE49-F238E27FC236}">
              <a16:creationId xmlns:a16="http://schemas.microsoft.com/office/drawing/2014/main" id="{60EC8294-6007-4BA0-9637-7E31171AF1E1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3" name="TextBox 201">
          <a:extLst>
            <a:ext uri="{FF2B5EF4-FFF2-40B4-BE49-F238E27FC236}">
              <a16:creationId xmlns:a16="http://schemas.microsoft.com/office/drawing/2014/main" id="{8C601D11-89CA-4D42-98E4-E26447494250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4" name="TextBox 202">
          <a:extLst>
            <a:ext uri="{FF2B5EF4-FFF2-40B4-BE49-F238E27FC236}">
              <a16:creationId xmlns:a16="http://schemas.microsoft.com/office/drawing/2014/main" id="{08363654-97DD-482C-8959-6282E4E13FFC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5" name="TextBox 203">
          <a:extLst>
            <a:ext uri="{FF2B5EF4-FFF2-40B4-BE49-F238E27FC236}">
              <a16:creationId xmlns:a16="http://schemas.microsoft.com/office/drawing/2014/main" id="{4705A4C8-4BC8-488C-86FF-01807A5C574F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6" name="TextBox 204">
          <a:extLst>
            <a:ext uri="{FF2B5EF4-FFF2-40B4-BE49-F238E27FC236}">
              <a16:creationId xmlns:a16="http://schemas.microsoft.com/office/drawing/2014/main" id="{22C4EAB9-6A48-4AC9-ADC3-98D68F49AA14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7" name="TextBox 205">
          <a:extLst>
            <a:ext uri="{FF2B5EF4-FFF2-40B4-BE49-F238E27FC236}">
              <a16:creationId xmlns:a16="http://schemas.microsoft.com/office/drawing/2014/main" id="{95D6C6AD-DA9D-4792-9DD3-F61B3C83E75D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8" name="TextBox 206">
          <a:extLst>
            <a:ext uri="{FF2B5EF4-FFF2-40B4-BE49-F238E27FC236}">
              <a16:creationId xmlns:a16="http://schemas.microsoft.com/office/drawing/2014/main" id="{C43D0BA3-0B57-4A7D-B52D-3BB12428D4E7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29" name="TextBox 207">
          <a:extLst>
            <a:ext uri="{FF2B5EF4-FFF2-40B4-BE49-F238E27FC236}">
              <a16:creationId xmlns:a16="http://schemas.microsoft.com/office/drawing/2014/main" id="{E7FA8353-3BBA-4C46-99D2-3CA10EAB4869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0" name="TextBox 13">
          <a:extLst>
            <a:ext uri="{FF2B5EF4-FFF2-40B4-BE49-F238E27FC236}">
              <a16:creationId xmlns:a16="http://schemas.microsoft.com/office/drawing/2014/main" id="{F98ABC6D-0C03-433B-B50D-78F9663770FE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1" name="TextBox 14">
          <a:extLst>
            <a:ext uri="{FF2B5EF4-FFF2-40B4-BE49-F238E27FC236}">
              <a16:creationId xmlns:a16="http://schemas.microsoft.com/office/drawing/2014/main" id="{1AB17553-7694-4013-9320-A4F50FD830CC}"/>
            </a:ext>
          </a:extLst>
        </xdr:cNvPr>
        <xdr:cNvSpPr txBox="1"/>
      </xdr:nvSpPr>
      <xdr:spPr>
        <a:xfrm>
          <a:off x="1909762" y="17516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2" name="TextBox 210">
          <a:extLst>
            <a:ext uri="{FF2B5EF4-FFF2-40B4-BE49-F238E27FC236}">
              <a16:creationId xmlns:a16="http://schemas.microsoft.com/office/drawing/2014/main" id="{0D541AC4-9AF0-4EC1-8A07-A020C53E7B13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3" name="TextBox 211">
          <a:extLst>
            <a:ext uri="{FF2B5EF4-FFF2-40B4-BE49-F238E27FC236}">
              <a16:creationId xmlns:a16="http://schemas.microsoft.com/office/drawing/2014/main" id="{BBDE038A-437A-4A29-BE5B-81728CD00CCE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4" name="TextBox 212">
          <a:extLst>
            <a:ext uri="{FF2B5EF4-FFF2-40B4-BE49-F238E27FC236}">
              <a16:creationId xmlns:a16="http://schemas.microsoft.com/office/drawing/2014/main" id="{D22D0C44-D189-4D4E-BFAD-2ADCC7F06759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5" name="TextBox 213">
          <a:extLst>
            <a:ext uri="{FF2B5EF4-FFF2-40B4-BE49-F238E27FC236}">
              <a16:creationId xmlns:a16="http://schemas.microsoft.com/office/drawing/2014/main" id="{A832F050-B4AE-4BFC-A1DD-200652AC9020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6" name="TextBox 15">
          <a:extLst>
            <a:ext uri="{FF2B5EF4-FFF2-40B4-BE49-F238E27FC236}">
              <a16:creationId xmlns:a16="http://schemas.microsoft.com/office/drawing/2014/main" id="{26EA57E0-4F70-46C2-B1B4-1AC48E9BE660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7" name="TextBox 16">
          <a:extLst>
            <a:ext uri="{FF2B5EF4-FFF2-40B4-BE49-F238E27FC236}">
              <a16:creationId xmlns:a16="http://schemas.microsoft.com/office/drawing/2014/main" id="{35B06B5E-18BD-4A39-ADC9-619502888396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8" name="TextBox 17">
          <a:extLst>
            <a:ext uri="{FF2B5EF4-FFF2-40B4-BE49-F238E27FC236}">
              <a16:creationId xmlns:a16="http://schemas.microsoft.com/office/drawing/2014/main" id="{96A588F7-E0BB-44C4-96BE-F551C69276A1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39" name="TextBox 18">
          <a:extLst>
            <a:ext uri="{FF2B5EF4-FFF2-40B4-BE49-F238E27FC236}">
              <a16:creationId xmlns:a16="http://schemas.microsoft.com/office/drawing/2014/main" id="{5E57C677-CBBA-4C74-8CA8-EF94CC7AC51E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0" name="TextBox 218">
          <a:extLst>
            <a:ext uri="{FF2B5EF4-FFF2-40B4-BE49-F238E27FC236}">
              <a16:creationId xmlns:a16="http://schemas.microsoft.com/office/drawing/2014/main" id="{F7C1EB68-9587-4730-8536-3676EE680F52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1" name="TextBox 219">
          <a:extLst>
            <a:ext uri="{FF2B5EF4-FFF2-40B4-BE49-F238E27FC236}">
              <a16:creationId xmlns:a16="http://schemas.microsoft.com/office/drawing/2014/main" id="{00DA1E12-F302-46B8-9B4F-CBF9E2CD3FEE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2" name="TextBox 1">
          <a:extLst>
            <a:ext uri="{FF2B5EF4-FFF2-40B4-BE49-F238E27FC236}">
              <a16:creationId xmlns:a16="http://schemas.microsoft.com/office/drawing/2014/main" id="{4C190C5B-3AAD-4A73-8B93-C7CDDCDB2F54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3" name="TextBox 3">
          <a:extLst>
            <a:ext uri="{FF2B5EF4-FFF2-40B4-BE49-F238E27FC236}">
              <a16:creationId xmlns:a16="http://schemas.microsoft.com/office/drawing/2014/main" id="{A5D30301-99FD-4150-8AEA-2982A9F70032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4" name="TextBox 222">
          <a:extLst>
            <a:ext uri="{FF2B5EF4-FFF2-40B4-BE49-F238E27FC236}">
              <a16:creationId xmlns:a16="http://schemas.microsoft.com/office/drawing/2014/main" id="{9A865177-3B86-4E7D-B9C5-09CF60998C35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5" name="TextBox 223">
          <a:extLst>
            <a:ext uri="{FF2B5EF4-FFF2-40B4-BE49-F238E27FC236}">
              <a16:creationId xmlns:a16="http://schemas.microsoft.com/office/drawing/2014/main" id="{05CEF6A7-4BDF-4414-BDE8-58ED024FDF30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6" name="TextBox 224">
          <a:extLst>
            <a:ext uri="{FF2B5EF4-FFF2-40B4-BE49-F238E27FC236}">
              <a16:creationId xmlns:a16="http://schemas.microsoft.com/office/drawing/2014/main" id="{052EBDEB-2639-4937-BBA9-5D0C34205DA4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7" name="TextBox 225">
          <a:extLst>
            <a:ext uri="{FF2B5EF4-FFF2-40B4-BE49-F238E27FC236}">
              <a16:creationId xmlns:a16="http://schemas.microsoft.com/office/drawing/2014/main" id="{FC493D08-5966-4B23-BE30-E6F6D3566678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8" name="TextBox 226">
          <a:extLst>
            <a:ext uri="{FF2B5EF4-FFF2-40B4-BE49-F238E27FC236}">
              <a16:creationId xmlns:a16="http://schemas.microsoft.com/office/drawing/2014/main" id="{B9E03289-A06E-4B3A-B99A-110A6364B519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49" name="TextBox 227">
          <a:extLst>
            <a:ext uri="{FF2B5EF4-FFF2-40B4-BE49-F238E27FC236}">
              <a16:creationId xmlns:a16="http://schemas.microsoft.com/office/drawing/2014/main" id="{165B509F-33C6-49BA-B2B7-E05592222E00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0" name="TextBox 228">
          <a:extLst>
            <a:ext uri="{FF2B5EF4-FFF2-40B4-BE49-F238E27FC236}">
              <a16:creationId xmlns:a16="http://schemas.microsoft.com/office/drawing/2014/main" id="{9F8AA8D8-9D47-449E-8173-CF813561AAAE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1" name="TextBox 229">
          <a:extLst>
            <a:ext uri="{FF2B5EF4-FFF2-40B4-BE49-F238E27FC236}">
              <a16:creationId xmlns:a16="http://schemas.microsoft.com/office/drawing/2014/main" id="{BD28C15B-0EC3-4AD7-8B5A-D3FC654555E5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2" name="TextBox 230">
          <a:extLst>
            <a:ext uri="{FF2B5EF4-FFF2-40B4-BE49-F238E27FC236}">
              <a16:creationId xmlns:a16="http://schemas.microsoft.com/office/drawing/2014/main" id="{63E6ED48-FDEE-4E68-A39F-52EE70CCA421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3" name="TextBox 231">
          <a:extLst>
            <a:ext uri="{FF2B5EF4-FFF2-40B4-BE49-F238E27FC236}">
              <a16:creationId xmlns:a16="http://schemas.microsoft.com/office/drawing/2014/main" id="{DB7DC916-246C-4AE2-B971-D86F1CACB3CF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4" name="TextBox 13">
          <a:extLst>
            <a:ext uri="{FF2B5EF4-FFF2-40B4-BE49-F238E27FC236}">
              <a16:creationId xmlns:a16="http://schemas.microsoft.com/office/drawing/2014/main" id="{53615797-6981-4678-80BA-79DC3797F981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5" name="TextBox 14">
          <a:extLst>
            <a:ext uri="{FF2B5EF4-FFF2-40B4-BE49-F238E27FC236}">
              <a16:creationId xmlns:a16="http://schemas.microsoft.com/office/drawing/2014/main" id="{CDA2E59A-8C8A-4B52-98D7-9152AB285790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6" name="TextBox 234">
          <a:extLst>
            <a:ext uri="{FF2B5EF4-FFF2-40B4-BE49-F238E27FC236}">
              <a16:creationId xmlns:a16="http://schemas.microsoft.com/office/drawing/2014/main" id="{8BBC3858-6F1B-4D46-AF53-8A90EAB409A2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7" name="TextBox 235">
          <a:extLst>
            <a:ext uri="{FF2B5EF4-FFF2-40B4-BE49-F238E27FC236}">
              <a16:creationId xmlns:a16="http://schemas.microsoft.com/office/drawing/2014/main" id="{4B3CBFCA-4C2E-4DDB-B714-16BB7F782416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8" name="TextBox 236">
          <a:extLst>
            <a:ext uri="{FF2B5EF4-FFF2-40B4-BE49-F238E27FC236}">
              <a16:creationId xmlns:a16="http://schemas.microsoft.com/office/drawing/2014/main" id="{C44F339F-202D-417D-912E-16F33849D37B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59" name="TextBox 237">
          <a:extLst>
            <a:ext uri="{FF2B5EF4-FFF2-40B4-BE49-F238E27FC236}">
              <a16:creationId xmlns:a16="http://schemas.microsoft.com/office/drawing/2014/main" id="{5CAD2E8B-CE5B-43F8-992A-1C90756419DC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0" name="TextBox 15">
          <a:extLst>
            <a:ext uri="{FF2B5EF4-FFF2-40B4-BE49-F238E27FC236}">
              <a16:creationId xmlns:a16="http://schemas.microsoft.com/office/drawing/2014/main" id="{9527AA82-F888-4965-9102-754BC2C476AA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1" name="TextBox 16">
          <a:extLst>
            <a:ext uri="{FF2B5EF4-FFF2-40B4-BE49-F238E27FC236}">
              <a16:creationId xmlns:a16="http://schemas.microsoft.com/office/drawing/2014/main" id="{5EA9C1CA-B00B-4C6D-A83E-AF068C4A3FB0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2" name="TextBox 17">
          <a:extLst>
            <a:ext uri="{FF2B5EF4-FFF2-40B4-BE49-F238E27FC236}">
              <a16:creationId xmlns:a16="http://schemas.microsoft.com/office/drawing/2014/main" id="{56A3C95A-9884-43ED-ADB1-C0A11F41BCC9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3" name="TextBox 18">
          <a:extLst>
            <a:ext uri="{FF2B5EF4-FFF2-40B4-BE49-F238E27FC236}">
              <a16:creationId xmlns:a16="http://schemas.microsoft.com/office/drawing/2014/main" id="{31BC063E-DE94-4E6E-8CD9-23E95A43E25F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4" name="TextBox 242">
          <a:extLst>
            <a:ext uri="{FF2B5EF4-FFF2-40B4-BE49-F238E27FC236}">
              <a16:creationId xmlns:a16="http://schemas.microsoft.com/office/drawing/2014/main" id="{CFADA505-16FE-4653-A15A-FE00A9F4F99C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5" name="TextBox 243">
          <a:extLst>
            <a:ext uri="{FF2B5EF4-FFF2-40B4-BE49-F238E27FC236}">
              <a16:creationId xmlns:a16="http://schemas.microsoft.com/office/drawing/2014/main" id="{560A0A9E-D285-40D6-9385-FA51B2CD3F65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6" name="TextBox 1">
          <a:extLst>
            <a:ext uri="{FF2B5EF4-FFF2-40B4-BE49-F238E27FC236}">
              <a16:creationId xmlns:a16="http://schemas.microsoft.com/office/drawing/2014/main" id="{37E86A64-B977-4BF6-B18A-6400DCD6A437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7" name="TextBox 3">
          <a:extLst>
            <a:ext uri="{FF2B5EF4-FFF2-40B4-BE49-F238E27FC236}">
              <a16:creationId xmlns:a16="http://schemas.microsoft.com/office/drawing/2014/main" id="{DCCC02FC-34E2-43DF-A428-EE06A5912F75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8" name="TextBox 246">
          <a:extLst>
            <a:ext uri="{FF2B5EF4-FFF2-40B4-BE49-F238E27FC236}">
              <a16:creationId xmlns:a16="http://schemas.microsoft.com/office/drawing/2014/main" id="{F8B85114-952A-4562-9483-5285BFE56293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69" name="TextBox 247">
          <a:extLst>
            <a:ext uri="{FF2B5EF4-FFF2-40B4-BE49-F238E27FC236}">
              <a16:creationId xmlns:a16="http://schemas.microsoft.com/office/drawing/2014/main" id="{97DEFDFC-E657-4135-97B2-1CBAB2FDD998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0" name="TextBox 248">
          <a:extLst>
            <a:ext uri="{FF2B5EF4-FFF2-40B4-BE49-F238E27FC236}">
              <a16:creationId xmlns:a16="http://schemas.microsoft.com/office/drawing/2014/main" id="{673FE44E-1D13-421E-848F-D240B923EC0B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1" name="TextBox 249">
          <a:extLst>
            <a:ext uri="{FF2B5EF4-FFF2-40B4-BE49-F238E27FC236}">
              <a16:creationId xmlns:a16="http://schemas.microsoft.com/office/drawing/2014/main" id="{C9314265-E156-486C-958F-D8DE74FFE46A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2" name="TextBox 250">
          <a:extLst>
            <a:ext uri="{FF2B5EF4-FFF2-40B4-BE49-F238E27FC236}">
              <a16:creationId xmlns:a16="http://schemas.microsoft.com/office/drawing/2014/main" id="{4E61C7F9-B8DA-4325-902B-A56D352382C5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3" name="TextBox 251">
          <a:extLst>
            <a:ext uri="{FF2B5EF4-FFF2-40B4-BE49-F238E27FC236}">
              <a16:creationId xmlns:a16="http://schemas.microsoft.com/office/drawing/2014/main" id="{EA1A22F9-3E25-4708-AE0E-F0924CDC837C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4" name="TextBox 252">
          <a:extLst>
            <a:ext uri="{FF2B5EF4-FFF2-40B4-BE49-F238E27FC236}">
              <a16:creationId xmlns:a16="http://schemas.microsoft.com/office/drawing/2014/main" id="{7F0FEE55-5956-4B3F-8A40-7E6DC6D25B4F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5" name="TextBox 253">
          <a:extLst>
            <a:ext uri="{FF2B5EF4-FFF2-40B4-BE49-F238E27FC236}">
              <a16:creationId xmlns:a16="http://schemas.microsoft.com/office/drawing/2014/main" id="{E9C483A6-D5EE-4C40-BA48-C615C585AF94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6" name="TextBox 254">
          <a:extLst>
            <a:ext uri="{FF2B5EF4-FFF2-40B4-BE49-F238E27FC236}">
              <a16:creationId xmlns:a16="http://schemas.microsoft.com/office/drawing/2014/main" id="{0B2EB95A-BC60-4C67-947A-765EFEBE6748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7" name="TextBox 255">
          <a:extLst>
            <a:ext uri="{FF2B5EF4-FFF2-40B4-BE49-F238E27FC236}">
              <a16:creationId xmlns:a16="http://schemas.microsoft.com/office/drawing/2014/main" id="{4714B385-108B-4DFD-A968-2A9C24734B37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8" name="TextBox 13">
          <a:extLst>
            <a:ext uri="{FF2B5EF4-FFF2-40B4-BE49-F238E27FC236}">
              <a16:creationId xmlns:a16="http://schemas.microsoft.com/office/drawing/2014/main" id="{1CC0AED7-C799-40D9-BD57-9C3EE6AA62DF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79" name="TextBox 14">
          <a:extLst>
            <a:ext uri="{FF2B5EF4-FFF2-40B4-BE49-F238E27FC236}">
              <a16:creationId xmlns:a16="http://schemas.microsoft.com/office/drawing/2014/main" id="{7F8D4497-BB21-4E3A-98FF-A0B5F629D3B9}"/>
            </a:ext>
          </a:extLst>
        </xdr:cNvPr>
        <xdr:cNvSpPr txBox="1"/>
      </xdr:nvSpPr>
      <xdr:spPr>
        <a:xfrm>
          <a:off x="1909762" y="19469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0" name="TextBox 258">
          <a:extLst>
            <a:ext uri="{FF2B5EF4-FFF2-40B4-BE49-F238E27FC236}">
              <a16:creationId xmlns:a16="http://schemas.microsoft.com/office/drawing/2014/main" id="{17C4ABC3-0E97-4F64-88A9-ADA06A873926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1" name="TextBox 259">
          <a:extLst>
            <a:ext uri="{FF2B5EF4-FFF2-40B4-BE49-F238E27FC236}">
              <a16:creationId xmlns:a16="http://schemas.microsoft.com/office/drawing/2014/main" id="{4533B3D0-F500-4929-A938-6AD60BC622E5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2" name="TextBox 260">
          <a:extLst>
            <a:ext uri="{FF2B5EF4-FFF2-40B4-BE49-F238E27FC236}">
              <a16:creationId xmlns:a16="http://schemas.microsoft.com/office/drawing/2014/main" id="{8581DC1E-E070-4E6C-AEB4-5CE79724C394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3" name="TextBox 261">
          <a:extLst>
            <a:ext uri="{FF2B5EF4-FFF2-40B4-BE49-F238E27FC236}">
              <a16:creationId xmlns:a16="http://schemas.microsoft.com/office/drawing/2014/main" id="{65FBB0BE-1084-4529-A4EE-F36BD7C4E40A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4" name="TextBox 15">
          <a:extLst>
            <a:ext uri="{FF2B5EF4-FFF2-40B4-BE49-F238E27FC236}">
              <a16:creationId xmlns:a16="http://schemas.microsoft.com/office/drawing/2014/main" id="{A18BB234-383E-4C4C-BCA8-EEC237177B88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5" name="TextBox 16">
          <a:extLst>
            <a:ext uri="{FF2B5EF4-FFF2-40B4-BE49-F238E27FC236}">
              <a16:creationId xmlns:a16="http://schemas.microsoft.com/office/drawing/2014/main" id="{6CCE8561-C64B-4493-88E4-1268715CCFDF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6" name="TextBox 17">
          <a:extLst>
            <a:ext uri="{FF2B5EF4-FFF2-40B4-BE49-F238E27FC236}">
              <a16:creationId xmlns:a16="http://schemas.microsoft.com/office/drawing/2014/main" id="{B18CAFEF-5CA5-4FC7-AF55-3DC6A2D682EE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7" name="TextBox 18">
          <a:extLst>
            <a:ext uri="{FF2B5EF4-FFF2-40B4-BE49-F238E27FC236}">
              <a16:creationId xmlns:a16="http://schemas.microsoft.com/office/drawing/2014/main" id="{9A0BFAD3-7508-4E9A-ACC6-1014A667DD2D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8" name="TextBox 266">
          <a:extLst>
            <a:ext uri="{FF2B5EF4-FFF2-40B4-BE49-F238E27FC236}">
              <a16:creationId xmlns:a16="http://schemas.microsoft.com/office/drawing/2014/main" id="{6AE94E13-A654-471A-8418-880B287F65A5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89" name="TextBox 267">
          <a:extLst>
            <a:ext uri="{FF2B5EF4-FFF2-40B4-BE49-F238E27FC236}">
              <a16:creationId xmlns:a16="http://schemas.microsoft.com/office/drawing/2014/main" id="{83C139F7-8A9B-4687-A51A-2FAEAF460470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0" name="TextBox 1">
          <a:extLst>
            <a:ext uri="{FF2B5EF4-FFF2-40B4-BE49-F238E27FC236}">
              <a16:creationId xmlns:a16="http://schemas.microsoft.com/office/drawing/2014/main" id="{B0CBB09B-58B9-489B-BA78-E4C26C900176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1" name="TextBox 3">
          <a:extLst>
            <a:ext uri="{FF2B5EF4-FFF2-40B4-BE49-F238E27FC236}">
              <a16:creationId xmlns:a16="http://schemas.microsoft.com/office/drawing/2014/main" id="{38B2B557-8CF9-4D9A-A260-9511A8BB5C3A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2" name="TextBox 270">
          <a:extLst>
            <a:ext uri="{FF2B5EF4-FFF2-40B4-BE49-F238E27FC236}">
              <a16:creationId xmlns:a16="http://schemas.microsoft.com/office/drawing/2014/main" id="{75ECC412-F7BA-468C-BF71-66FF378BB572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3" name="TextBox 271">
          <a:extLst>
            <a:ext uri="{FF2B5EF4-FFF2-40B4-BE49-F238E27FC236}">
              <a16:creationId xmlns:a16="http://schemas.microsoft.com/office/drawing/2014/main" id="{7D2B37B3-B612-4F21-9934-99E6A8EB4DA3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4" name="TextBox 272">
          <a:extLst>
            <a:ext uri="{FF2B5EF4-FFF2-40B4-BE49-F238E27FC236}">
              <a16:creationId xmlns:a16="http://schemas.microsoft.com/office/drawing/2014/main" id="{F7D35678-0ACD-4F5A-B3B1-47443A0CC827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5" name="TextBox 273">
          <a:extLst>
            <a:ext uri="{FF2B5EF4-FFF2-40B4-BE49-F238E27FC236}">
              <a16:creationId xmlns:a16="http://schemas.microsoft.com/office/drawing/2014/main" id="{3A0CCAE8-A2B6-40FD-B9C7-6EDB29BF0FD6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6" name="TextBox 274">
          <a:extLst>
            <a:ext uri="{FF2B5EF4-FFF2-40B4-BE49-F238E27FC236}">
              <a16:creationId xmlns:a16="http://schemas.microsoft.com/office/drawing/2014/main" id="{41558605-8E38-43D1-9051-2E924A5ED7A2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7" name="TextBox 275">
          <a:extLst>
            <a:ext uri="{FF2B5EF4-FFF2-40B4-BE49-F238E27FC236}">
              <a16:creationId xmlns:a16="http://schemas.microsoft.com/office/drawing/2014/main" id="{336AB485-F1D3-4557-8F45-5A8FA49F345C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8" name="TextBox 276">
          <a:extLst>
            <a:ext uri="{FF2B5EF4-FFF2-40B4-BE49-F238E27FC236}">
              <a16:creationId xmlns:a16="http://schemas.microsoft.com/office/drawing/2014/main" id="{B84391DD-DFE0-4434-BE7E-1D96F9979D69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899" name="TextBox 277">
          <a:extLst>
            <a:ext uri="{FF2B5EF4-FFF2-40B4-BE49-F238E27FC236}">
              <a16:creationId xmlns:a16="http://schemas.microsoft.com/office/drawing/2014/main" id="{F215ED74-1D75-4BA8-B04D-788A4908FA3D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0" name="TextBox 278">
          <a:extLst>
            <a:ext uri="{FF2B5EF4-FFF2-40B4-BE49-F238E27FC236}">
              <a16:creationId xmlns:a16="http://schemas.microsoft.com/office/drawing/2014/main" id="{CBDF6B82-B4A6-4F0F-9F8D-9F16AE8B4FA3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1" name="TextBox 279">
          <a:extLst>
            <a:ext uri="{FF2B5EF4-FFF2-40B4-BE49-F238E27FC236}">
              <a16:creationId xmlns:a16="http://schemas.microsoft.com/office/drawing/2014/main" id="{266CFA5F-5023-4D52-A9D2-EC0CFAA9275C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2" name="TextBox 13">
          <a:extLst>
            <a:ext uri="{FF2B5EF4-FFF2-40B4-BE49-F238E27FC236}">
              <a16:creationId xmlns:a16="http://schemas.microsoft.com/office/drawing/2014/main" id="{E29ACCFE-AAB8-4566-BA6B-60527EE625F6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3" name="TextBox 14">
          <a:extLst>
            <a:ext uri="{FF2B5EF4-FFF2-40B4-BE49-F238E27FC236}">
              <a16:creationId xmlns:a16="http://schemas.microsoft.com/office/drawing/2014/main" id="{5A1FC7DE-5358-415F-A19F-ED705B0B1879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4" name="TextBox 282">
          <a:extLst>
            <a:ext uri="{FF2B5EF4-FFF2-40B4-BE49-F238E27FC236}">
              <a16:creationId xmlns:a16="http://schemas.microsoft.com/office/drawing/2014/main" id="{559AA1E0-6994-4151-8A1F-B93B3AB2C2AB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5" name="TextBox 283">
          <a:extLst>
            <a:ext uri="{FF2B5EF4-FFF2-40B4-BE49-F238E27FC236}">
              <a16:creationId xmlns:a16="http://schemas.microsoft.com/office/drawing/2014/main" id="{1C30AFCD-53E4-4A9C-A613-69E592BAE534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6" name="TextBox 284">
          <a:extLst>
            <a:ext uri="{FF2B5EF4-FFF2-40B4-BE49-F238E27FC236}">
              <a16:creationId xmlns:a16="http://schemas.microsoft.com/office/drawing/2014/main" id="{D8775084-0842-4F84-AD7D-E6C943EE6934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7" name="TextBox 285">
          <a:extLst>
            <a:ext uri="{FF2B5EF4-FFF2-40B4-BE49-F238E27FC236}">
              <a16:creationId xmlns:a16="http://schemas.microsoft.com/office/drawing/2014/main" id="{F7000750-3374-4BC2-A0C1-D4ADE70363EF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8" name="TextBox 15">
          <a:extLst>
            <a:ext uri="{FF2B5EF4-FFF2-40B4-BE49-F238E27FC236}">
              <a16:creationId xmlns:a16="http://schemas.microsoft.com/office/drawing/2014/main" id="{78BBD8C1-B6CD-470E-98F7-91B14DC2306C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09" name="TextBox 16">
          <a:extLst>
            <a:ext uri="{FF2B5EF4-FFF2-40B4-BE49-F238E27FC236}">
              <a16:creationId xmlns:a16="http://schemas.microsoft.com/office/drawing/2014/main" id="{E9076257-5FA4-4CF5-BFCE-1CEEDDAA8D51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0" name="TextBox 17">
          <a:extLst>
            <a:ext uri="{FF2B5EF4-FFF2-40B4-BE49-F238E27FC236}">
              <a16:creationId xmlns:a16="http://schemas.microsoft.com/office/drawing/2014/main" id="{2FAFAA66-C568-4E29-8364-CD4D42BEC3AF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1" name="TextBox 18">
          <a:extLst>
            <a:ext uri="{FF2B5EF4-FFF2-40B4-BE49-F238E27FC236}">
              <a16:creationId xmlns:a16="http://schemas.microsoft.com/office/drawing/2014/main" id="{5E8C9B4F-4664-42A9-89DB-4BD2E7C7FE96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2" name="TextBox 290">
          <a:extLst>
            <a:ext uri="{FF2B5EF4-FFF2-40B4-BE49-F238E27FC236}">
              <a16:creationId xmlns:a16="http://schemas.microsoft.com/office/drawing/2014/main" id="{8E3C769C-935C-4DCD-AAAA-B5DBC662526D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3" name="TextBox 291">
          <a:extLst>
            <a:ext uri="{FF2B5EF4-FFF2-40B4-BE49-F238E27FC236}">
              <a16:creationId xmlns:a16="http://schemas.microsoft.com/office/drawing/2014/main" id="{027FE70C-882B-4CC2-9A35-8B84008286B4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4" name="TextBox 1">
          <a:extLst>
            <a:ext uri="{FF2B5EF4-FFF2-40B4-BE49-F238E27FC236}">
              <a16:creationId xmlns:a16="http://schemas.microsoft.com/office/drawing/2014/main" id="{D7C3AF9B-B3CC-4AF7-BE1B-E3C670EFF57E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5" name="TextBox 3">
          <a:extLst>
            <a:ext uri="{FF2B5EF4-FFF2-40B4-BE49-F238E27FC236}">
              <a16:creationId xmlns:a16="http://schemas.microsoft.com/office/drawing/2014/main" id="{E673AA8F-40FA-4623-9965-194C0537869C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6" name="TextBox 294">
          <a:extLst>
            <a:ext uri="{FF2B5EF4-FFF2-40B4-BE49-F238E27FC236}">
              <a16:creationId xmlns:a16="http://schemas.microsoft.com/office/drawing/2014/main" id="{1659EC91-ED72-4EBF-8932-C1ED6B84E6C3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7" name="TextBox 295">
          <a:extLst>
            <a:ext uri="{FF2B5EF4-FFF2-40B4-BE49-F238E27FC236}">
              <a16:creationId xmlns:a16="http://schemas.microsoft.com/office/drawing/2014/main" id="{8C9835AE-0581-4984-8FCA-13E8DCAABC5E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8" name="TextBox 296">
          <a:extLst>
            <a:ext uri="{FF2B5EF4-FFF2-40B4-BE49-F238E27FC236}">
              <a16:creationId xmlns:a16="http://schemas.microsoft.com/office/drawing/2014/main" id="{5979B62E-96AE-400B-A5F2-D41056321668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19" name="TextBox 297">
          <a:extLst>
            <a:ext uri="{FF2B5EF4-FFF2-40B4-BE49-F238E27FC236}">
              <a16:creationId xmlns:a16="http://schemas.microsoft.com/office/drawing/2014/main" id="{BECEF38C-1D98-460E-A49F-99800C6CE9D1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0" name="TextBox 298">
          <a:extLst>
            <a:ext uri="{FF2B5EF4-FFF2-40B4-BE49-F238E27FC236}">
              <a16:creationId xmlns:a16="http://schemas.microsoft.com/office/drawing/2014/main" id="{E5F2CDC0-207D-4C11-AC10-AD83D0C4D3A1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1" name="TextBox 299">
          <a:extLst>
            <a:ext uri="{FF2B5EF4-FFF2-40B4-BE49-F238E27FC236}">
              <a16:creationId xmlns:a16="http://schemas.microsoft.com/office/drawing/2014/main" id="{6FA24998-5507-4A43-8135-6A6E44377859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2" name="TextBox 300">
          <a:extLst>
            <a:ext uri="{FF2B5EF4-FFF2-40B4-BE49-F238E27FC236}">
              <a16:creationId xmlns:a16="http://schemas.microsoft.com/office/drawing/2014/main" id="{B773BD33-4512-47C2-8421-2BD8B12D2010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3" name="TextBox 301">
          <a:extLst>
            <a:ext uri="{FF2B5EF4-FFF2-40B4-BE49-F238E27FC236}">
              <a16:creationId xmlns:a16="http://schemas.microsoft.com/office/drawing/2014/main" id="{7C2B56A4-450E-4CAA-941E-37CBE96CD261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4" name="TextBox 302">
          <a:extLst>
            <a:ext uri="{FF2B5EF4-FFF2-40B4-BE49-F238E27FC236}">
              <a16:creationId xmlns:a16="http://schemas.microsoft.com/office/drawing/2014/main" id="{30BF6DB9-EC22-4994-A4A9-1C453A633459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5" name="TextBox 303">
          <a:extLst>
            <a:ext uri="{FF2B5EF4-FFF2-40B4-BE49-F238E27FC236}">
              <a16:creationId xmlns:a16="http://schemas.microsoft.com/office/drawing/2014/main" id="{9BE8FE1D-7F71-4C8D-B308-513F47C423BC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6" name="TextBox 13">
          <a:extLst>
            <a:ext uri="{FF2B5EF4-FFF2-40B4-BE49-F238E27FC236}">
              <a16:creationId xmlns:a16="http://schemas.microsoft.com/office/drawing/2014/main" id="{5FAE3601-6656-4EF8-8127-3414AB865772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7" name="TextBox 14">
          <a:extLst>
            <a:ext uri="{FF2B5EF4-FFF2-40B4-BE49-F238E27FC236}">
              <a16:creationId xmlns:a16="http://schemas.microsoft.com/office/drawing/2014/main" id="{B4105D35-D2DD-4F1C-9C51-A5515CFA2726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8" name="TextBox 306">
          <a:extLst>
            <a:ext uri="{FF2B5EF4-FFF2-40B4-BE49-F238E27FC236}">
              <a16:creationId xmlns:a16="http://schemas.microsoft.com/office/drawing/2014/main" id="{37D26336-FBA1-4AB4-9FF5-BF6C2FDEC638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29" name="TextBox 307">
          <a:extLst>
            <a:ext uri="{FF2B5EF4-FFF2-40B4-BE49-F238E27FC236}">
              <a16:creationId xmlns:a16="http://schemas.microsoft.com/office/drawing/2014/main" id="{C1A7BD0E-B3CE-4AC3-8A2E-2E598FDBD09A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0" name="TextBox 308">
          <a:extLst>
            <a:ext uri="{FF2B5EF4-FFF2-40B4-BE49-F238E27FC236}">
              <a16:creationId xmlns:a16="http://schemas.microsoft.com/office/drawing/2014/main" id="{B117B59D-A056-4A11-B0E8-18265F42F164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1" name="TextBox 309">
          <a:extLst>
            <a:ext uri="{FF2B5EF4-FFF2-40B4-BE49-F238E27FC236}">
              <a16:creationId xmlns:a16="http://schemas.microsoft.com/office/drawing/2014/main" id="{C3D1605F-05BE-4013-A67A-4A80CC12ADBB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2" name="TextBox 15">
          <a:extLst>
            <a:ext uri="{FF2B5EF4-FFF2-40B4-BE49-F238E27FC236}">
              <a16:creationId xmlns:a16="http://schemas.microsoft.com/office/drawing/2014/main" id="{B11F2706-A409-4EE8-902E-A64E7AA7E148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3" name="TextBox 16">
          <a:extLst>
            <a:ext uri="{FF2B5EF4-FFF2-40B4-BE49-F238E27FC236}">
              <a16:creationId xmlns:a16="http://schemas.microsoft.com/office/drawing/2014/main" id="{AC24F29A-0B9D-47E7-8309-7B3605445961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4" name="TextBox 17">
          <a:extLst>
            <a:ext uri="{FF2B5EF4-FFF2-40B4-BE49-F238E27FC236}">
              <a16:creationId xmlns:a16="http://schemas.microsoft.com/office/drawing/2014/main" id="{5529F36B-44FE-4F81-BC05-B470E1FD4185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5" name="TextBox 18">
          <a:extLst>
            <a:ext uri="{FF2B5EF4-FFF2-40B4-BE49-F238E27FC236}">
              <a16:creationId xmlns:a16="http://schemas.microsoft.com/office/drawing/2014/main" id="{67E85E30-7C98-4E18-9105-39F61A0CB840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6" name="TextBox 314">
          <a:extLst>
            <a:ext uri="{FF2B5EF4-FFF2-40B4-BE49-F238E27FC236}">
              <a16:creationId xmlns:a16="http://schemas.microsoft.com/office/drawing/2014/main" id="{08406C6E-6A1B-45B9-9C40-EFC1B69DC334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7" name="TextBox 315">
          <a:extLst>
            <a:ext uri="{FF2B5EF4-FFF2-40B4-BE49-F238E27FC236}">
              <a16:creationId xmlns:a16="http://schemas.microsoft.com/office/drawing/2014/main" id="{6BC5EFA8-1689-43A2-B972-5203388EAD16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8" name="TextBox 1">
          <a:extLst>
            <a:ext uri="{FF2B5EF4-FFF2-40B4-BE49-F238E27FC236}">
              <a16:creationId xmlns:a16="http://schemas.microsoft.com/office/drawing/2014/main" id="{97302761-F549-45F8-BA1F-74171E6E1D03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39" name="TextBox 3">
          <a:extLst>
            <a:ext uri="{FF2B5EF4-FFF2-40B4-BE49-F238E27FC236}">
              <a16:creationId xmlns:a16="http://schemas.microsoft.com/office/drawing/2014/main" id="{9EDE7862-2FDF-4379-84A6-F400E57C38E5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0" name="TextBox 318">
          <a:extLst>
            <a:ext uri="{FF2B5EF4-FFF2-40B4-BE49-F238E27FC236}">
              <a16:creationId xmlns:a16="http://schemas.microsoft.com/office/drawing/2014/main" id="{1B6ED6BB-EC6E-4544-9FB2-A8A42AD4E5D8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1" name="TextBox 319">
          <a:extLst>
            <a:ext uri="{FF2B5EF4-FFF2-40B4-BE49-F238E27FC236}">
              <a16:creationId xmlns:a16="http://schemas.microsoft.com/office/drawing/2014/main" id="{52923EC0-7715-4F50-ADD1-2C5ACA0F8A6D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2" name="TextBox 320">
          <a:extLst>
            <a:ext uri="{FF2B5EF4-FFF2-40B4-BE49-F238E27FC236}">
              <a16:creationId xmlns:a16="http://schemas.microsoft.com/office/drawing/2014/main" id="{7CFA15A3-6E4A-43C6-A2D2-F62BC9F81F92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3" name="TextBox 321">
          <a:extLst>
            <a:ext uri="{FF2B5EF4-FFF2-40B4-BE49-F238E27FC236}">
              <a16:creationId xmlns:a16="http://schemas.microsoft.com/office/drawing/2014/main" id="{D464A3FB-443A-44E5-99FD-19BF55AB46FE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4" name="TextBox 322">
          <a:extLst>
            <a:ext uri="{FF2B5EF4-FFF2-40B4-BE49-F238E27FC236}">
              <a16:creationId xmlns:a16="http://schemas.microsoft.com/office/drawing/2014/main" id="{056D4F7B-8E44-4CDD-86DC-D258638B08A0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5" name="TextBox 323">
          <a:extLst>
            <a:ext uri="{FF2B5EF4-FFF2-40B4-BE49-F238E27FC236}">
              <a16:creationId xmlns:a16="http://schemas.microsoft.com/office/drawing/2014/main" id="{DA6E4F29-5863-4FB8-B356-3A72EC73DAA8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6" name="TextBox 324">
          <a:extLst>
            <a:ext uri="{FF2B5EF4-FFF2-40B4-BE49-F238E27FC236}">
              <a16:creationId xmlns:a16="http://schemas.microsoft.com/office/drawing/2014/main" id="{D4991090-4106-4C18-9212-CB7DCE7ADF7A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7" name="TextBox 325">
          <a:extLst>
            <a:ext uri="{FF2B5EF4-FFF2-40B4-BE49-F238E27FC236}">
              <a16:creationId xmlns:a16="http://schemas.microsoft.com/office/drawing/2014/main" id="{FCEEC9FE-02C4-4A77-B878-BDCBA01379C3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8" name="TextBox 326">
          <a:extLst>
            <a:ext uri="{FF2B5EF4-FFF2-40B4-BE49-F238E27FC236}">
              <a16:creationId xmlns:a16="http://schemas.microsoft.com/office/drawing/2014/main" id="{0D4804F9-8997-4F7B-92D4-53CF4B023BAB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49" name="TextBox 327">
          <a:extLst>
            <a:ext uri="{FF2B5EF4-FFF2-40B4-BE49-F238E27FC236}">
              <a16:creationId xmlns:a16="http://schemas.microsoft.com/office/drawing/2014/main" id="{E9F5956A-2323-438C-8BB0-66D31BD9B998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0" name="TextBox 13">
          <a:extLst>
            <a:ext uri="{FF2B5EF4-FFF2-40B4-BE49-F238E27FC236}">
              <a16:creationId xmlns:a16="http://schemas.microsoft.com/office/drawing/2014/main" id="{EE598AF1-4F39-4E28-B7C3-653218627B4D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1" name="TextBox 14">
          <a:extLst>
            <a:ext uri="{FF2B5EF4-FFF2-40B4-BE49-F238E27FC236}">
              <a16:creationId xmlns:a16="http://schemas.microsoft.com/office/drawing/2014/main" id="{0C27E94A-CF54-4883-B288-AFC403791698}"/>
            </a:ext>
          </a:extLst>
        </xdr:cNvPr>
        <xdr:cNvSpPr txBox="1"/>
      </xdr:nvSpPr>
      <xdr:spPr>
        <a:xfrm>
          <a:off x="1909762" y="23374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2" name="TextBox 330">
          <a:extLst>
            <a:ext uri="{FF2B5EF4-FFF2-40B4-BE49-F238E27FC236}">
              <a16:creationId xmlns:a16="http://schemas.microsoft.com/office/drawing/2014/main" id="{5C94B80A-F055-4DC3-800F-59092D6D771E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3" name="TextBox 331">
          <a:extLst>
            <a:ext uri="{FF2B5EF4-FFF2-40B4-BE49-F238E27FC236}">
              <a16:creationId xmlns:a16="http://schemas.microsoft.com/office/drawing/2014/main" id="{01CBAFF7-A9A2-4DC4-84DB-6FEA4F06ADE2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4" name="TextBox 332">
          <a:extLst>
            <a:ext uri="{FF2B5EF4-FFF2-40B4-BE49-F238E27FC236}">
              <a16:creationId xmlns:a16="http://schemas.microsoft.com/office/drawing/2014/main" id="{548EBA9F-99DF-4C9C-8240-D86259EA8B16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5" name="TextBox 333">
          <a:extLst>
            <a:ext uri="{FF2B5EF4-FFF2-40B4-BE49-F238E27FC236}">
              <a16:creationId xmlns:a16="http://schemas.microsoft.com/office/drawing/2014/main" id="{3F495A82-53FD-4B0C-A39C-4FD07BAB6BCD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6" name="TextBox 15">
          <a:extLst>
            <a:ext uri="{FF2B5EF4-FFF2-40B4-BE49-F238E27FC236}">
              <a16:creationId xmlns:a16="http://schemas.microsoft.com/office/drawing/2014/main" id="{190A0CAB-82A7-43E7-A091-9A0DC6F172C1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7" name="TextBox 16">
          <a:extLst>
            <a:ext uri="{FF2B5EF4-FFF2-40B4-BE49-F238E27FC236}">
              <a16:creationId xmlns:a16="http://schemas.microsoft.com/office/drawing/2014/main" id="{0C39F411-70D0-4737-9EC0-F17DD7112F6D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8" name="TextBox 17">
          <a:extLst>
            <a:ext uri="{FF2B5EF4-FFF2-40B4-BE49-F238E27FC236}">
              <a16:creationId xmlns:a16="http://schemas.microsoft.com/office/drawing/2014/main" id="{E41E4FB7-9647-470B-A010-62CC14A73B68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59" name="TextBox 18">
          <a:extLst>
            <a:ext uri="{FF2B5EF4-FFF2-40B4-BE49-F238E27FC236}">
              <a16:creationId xmlns:a16="http://schemas.microsoft.com/office/drawing/2014/main" id="{FD0B1D6E-9CA8-4017-BC16-E2D532F4ADA2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0" name="TextBox 338">
          <a:extLst>
            <a:ext uri="{FF2B5EF4-FFF2-40B4-BE49-F238E27FC236}">
              <a16:creationId xmlns:a16="http://schemas.microsoft.com/office/drawing/2014/main" id="{89C12A56-E508-4E0D-896F-1D4BB48EB783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1" name="TextBox 339">
          <a:extLst>
            <a:ext uri="{FF2B5EF4-FFF2-40B4-BE49-F238E27FC236}">
              <a16:creationId xmlns:a16="http://schemas.microsoft.com/office/drawing/2014/main" id="{CACA7E14-5E97-49CF-813C-C0FAC5F54D50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2" name="TextBox 1">
          <a:extLst>
            <a:ext uri="{FF2B5EF4-FFF2-40B4-BE49-F238E27FC236}">
              <a16:creationId xmlns:a16="http://schemas.microsoft.com/office/drawing/2014/main" id="{19B88742-E2D2-4D21-9E70-55C16F07EC01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3" name="TextBox 3">
          <a:extLst>
            <a:ext uri="{FF2B5EF4-FFF2-40B4-BE49-F238E27FC236}">
              <a16:creationId xmlns:a16="http://schemas.microsoft.com/office/drawing/2014/main" id="{1580743A-356E-49DD-B5B8-194937431317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4" name="TextBox 342">
          <a:extLst>
            <a:ext uri="{FF2B5EF4-FFF2-40B4-BE49-F238E27FC236}">
              <a16:creationId xmlns:a16="http://schemas.microsoft.com/office/drawing/2014/main" id="{2DCC5B85-021B-4F39-A371-38D48A92E385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5" name="TextBox 343">
          <a:extLst>
            <a:ext uri="{FF2B5EF4-FFF2-40B4-BE49-F238E27FC236}">
              <a16:creationId xmlns:a16="http://schemas.microsoft.com/office/drawing/2014/main" id="{53F8D379-9C1E-49C9-80F4-4A744EAB515F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6" name="TextBox 344">
          <a:extLst>
            <a:ext uri="{FF2B5EF4-FFF2-40B4-BE49-F238E27FC236}">
              <a16:creationId xmlns:a16="http://schemas.microsoft.com/office/drawing/2014/main" id="{0FA6BA34-19E3-43E0-9A82-C3E5608FF859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7" name="TextBox 345">
          <a:extLst>
            <a:ext uri="{FF2B5EF4-FFF2-40B4-BE49-F238E27FC236}">
              <a16:creationId xmlns:a16="http://schemas.microsoft.com/office/drawing/2014/main" id="{C995E506-93E5-4E6C-AE06-244A18BE3F83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8" name="TextBox 346">
          <a:extLst>
            <a:ext uri="{FF2B5EF4-FFF2-40B4-BE49-F238E27FC236}">
              <a16:creationId xmlns:a16="http://schemas.microsoft.com/office/drawing/2014/main" id="{02AB218D-F08F-4790-98DC-62D07C3A6207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69" name="TextBox 347">
          <a:extLst>
            <a:ext uri="{FF2B5EF4-FFF2-40B4-BE49-F238E27FC236}">
              <a16:creationId xmlns:a16="http://schemas.microsoft.com/office/drawing/2014/main" id="{13F71BBF-46FE-4DCF-8A02-F2EBD3760570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0" name="TextBox 348">
          <a:extLst>
            <a:ext uri="{FF2B5EF4-FFF2-40B4-BE49-F238E27FC236}">
              <a16:creationId xmlns:a16="http://schemas.microsoft.com/office/drawing/2014/main" id="{14FFBB09-6E23-41F5-AE3D-4FC40F224BBC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1" name="TextBox 349">
          <a:extLst>
            <a:ext uri="{FF2B5EF4-FFF2-40B4-BE49-F238E27FC236}">
              <a16:creationId xmlns:a16="http://schemas.microsoft.com/office/drawing/2014/main" id="{E1D4EED0-5F1E-4E97-B0C5-EEB705E1A433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2" name="TextBox 350">
          <a:extLst>
            <a:ext uri="{FF2B5EF4-FFF2-40B4-BE49-F238E27FC236}">
              <a16:creationId xmlns:a16="http://schemas.microsoft.com/office/drawing/2014/main" id="{681C328D-ECC7-44C0-972A-0A82828C2A54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3" name="TextBox 351">
          <a:extLst>
            <a:ext uri="{FF2B5EF4-FFF2-40B4-BE49-F238E27FC236}">
              <a16:creationId xmlns:a16="http://schemas.microsoft.com/office/drawing/2014/main" id="{4D762676-A65B-4296-AD62-45BEAAFFBB97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4" name="TextBox 13">
          <a:extLst>
            <a:ext uri="{FF2B5EF4-FFF2-40B4-BE49-F238E27FC236}">
              <a16:creationId xmlns:a16="http://schemas.microsoft.com/office/drawing/2014/main" id="{A25974F5-6127-44E4-8C6D-8E8EA225F389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5" name="TextBox 14">
          <a:extLst>
            <a:ext uri="{FF2B5EF4-FFF2-40B4-BE49-F238E27FC236}">
              <a16:creationId xmlns:a16="http://schemas.microsoft.com/office/drawing/2014/main" id="{E1D1354B-762C-4AB2-B294-34B0638D2FC4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6" name="TextBox 354">
          <a:extLst>
            <a:ext uri="{FF2B5EF4-FFF2-40B4-BE49-F238E27FC236}">
              <a16:creationId xmlns:a16="http://schemas.microsoft.com/office/drawing/2014/main" id="{CAA059B9-63F3-4A35-8117-E6357EC34CE6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7" name="TextBox 355">
          <a:extLst>
            <a:ext uri="{FF2B5EF4-FFF2-40B4-BE49-F238E27FC236}">
              <a16:creationId xmlns:a16="http://schemas.microsoft.com/office/drawing/2014/main" id="{9513B11A-FD37-4115-964D-926720C8535D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8" name="TextBox 356">
          <a:extLst>
            <a:ext uri="{FF2B5EF4-FFF2-40B4-BE49-F238E27FC236}">
              <a16:creationId xmlns:a16="http://schemas.microsoft.com/office/drawing/2014/main" id="{E781FD84-E2A4-4310-BCA9-F6AB65F12297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79" name="TextBox 357">
          <a:extLst>
            <a:ext uri="{FF2B5EF4-FFF2-40B4-BE49-F238E27FC236}">
              <a16:creationId xmlns:a16="http://schemas.microsoft.com/office/drawing/2014/main" id="{48B414E8-D307-4DFE-9597-E96C2D83EBE1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0" name="TextBox 15">
          <a:extLst>
            <a:ext uri="{FF2B5EF4-FFF2-40B4-BE49-F238E27FC236}">
              <a16:creationId xmlns:a16="http://schemas.microsoft.com/office/drawing/2014/main" id="{3B464C20-50A3-4F72-BB2C-C4DAC1B81254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1" name="TextBox 16">
          <a:extLst>
            <a:ext uri="{FF2B5EF4-FFF2-40B4-BE49-F238E27FC236}">
              <a16:creationId xmlns:a16="http://schemas.microsoft.com/office/drawing/2014/main" id="{82389A97-A734-456D-8E5E-FCBBBBA96EE2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2" name="TextBox 17">
          <a:extLst>
            <a:ext uri="{FF2B5EF4-FFF2-40B4-BE49-F238E27FC236}">
              <a16:creationId xmlns:a16="http://schemas.microsoft.com/office/drawing/2014/main" id="{8B16BDA7-6156-485A-8776-4B76AA086BB6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3" name="TextBox 18">
          <a:extLst>
            <a:ext uri="{FF2B5EF4-FFF2-40B4-BE49-F238E27FC236}">
              <a16:creationId xmlns:a16="http://schemas.microsoft.com/office/drawing/2014/main" id="{724F6AD6-4BE5-49DB-968D-5B2C03B01873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4" name="TextBox 362">
          <a:extLst>
            <a:ext uri="{FF2B5EF4-FFF2-40B4-BE49-F238E27FC236}">
              <a16:creationId xmlns:a16="http://schemas.microsoft.com/office/drawing/2014/main" id="{B42F4160-B9F1-434E-8D29-4F005511D94F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5" name="TextBox 363">
          <a:extLst>
            <a:ext uri="{FF2B5EF4-FFF2-40B4-BE49-F238E27FC236}">
              <a16:creationId xmlns:a16="http://schemas.microsoft.com/office/drawing/2014/main" id="{C5D09357-6C9E-4A3E-9918-9FB6F68FFBBB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6" name="TextBox 1">
          <a:extLst>
            <a:ext uri="{FF2B5EF4-FFF2-40B4-BE49-F238E27FC236}">
              <a16:creationId xmlns:a16="http://schemas.microsoft.com/office/drawing/2014/main" id="{D968F786-7C9E-4B56-8EDD-171D3A5DFE22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7" name="TextBox 3">
          <a:extLst>
            <a:ext uri="{FF2B5EF4-FFF2-40B4-BE49-F238E27FC236}">
              <a16:creationId xmlns:a16="http://schemas.microsoft.com/office/drawing/2014/main" id="{94C902C3-F372-4AD4-A4D6-E4A269948681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8" name="TextBox 366">
          <a:extLst>
            <a:ext uri="{FF2B5EF4-FFF2-40B4-BE49-F238E27FC236}">
              <a16:creationId xmlns:a16="http://schemas.microsoft.com/office/drawing/2014/main" id="{525B3A82-9B55-4F5F-B021-27A276F65EE7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89" name="TextBox 367">
          <a:extLst>
            <a:ext uri="{FF2B5EF4-FFF2-40B4-BE49-F238E27FC236}">
              <a16:creationId xmlns:a16="http://schemas.microsoft.com/office/drawing/2014/main" id="{54956BC8-5FF5-4E2A-960B-10976C3B8E51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0" name="TextBox 368">
          <a:extLst>
            <a:ext uri="{FF2B5EF4-FFF2-40B4-BE49-F238E27FC236}">
              <a16:creationId xmlns:a16="http://schemas.microsoft.com/office/drawing/2014/main" id="{611E9B97-7295-4974-8965-8DFE99F58DC0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1" name="TextBox 369">
          <a:extLst>
            <a:ext uri="{FF2B5EF4-FFF2-40B4-BE49-F238E27FC236}">
              <a16:creationId xmlns:a16="http://schemas.microsoft.com/office/drawing/2014/main" id="{E1DED9D3-D370-4478-A5B1-8B368D08043E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2" name="TextBox 370">
          <a:extLst>
            <a:ext uri="{FF2B5EF4-FFF2-40B4-BE49-F238E27FC236}">
              <a16:creationId xmlns:a16="http://schemas.microsoft.com/office/drawing/2014/main" id="{96D03451-E8FD-4ACD-89C5-3C4099727E2A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3" name="TextBox 371">
          <a:extLst>
            <a:ext uri="{FF2B5EF4-FFF2-40B4-BE49-F238E27FC236}">
              <a16:creationId xmlns:a16="http://schemas.microsoft.com/office/drawing/2014/main" id="{C5483C72-4F13-4D29-BF41-944EFC0E404A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4" name="TextBox 372">
          <a:extLst>
            <a:ext uri="{FF2B5EF4-FFF2-40B4-BE49-F238E27FC236}">
              <a16:creationId xmlns:a16="http://schemas.microsoft.com/office/drawing/2014/main" id="{06FDABAF-284E-4974-B617-99886604F760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5" name="TextBox 373">
          <a:extLst>
            <a:ext uri="{FF2B5EF4-FFF2-40B4-BE49-F238E27FC236}">
              <a16:creationId xmlns:a16="http://schemas.microsoft.com/office/drawing/2014/main" id="{358F1DA4-3F36-41A3-8275-8ED24F8F8161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6" name="TextBox 374">
          <a:extLst>
            <a:ext uri="{FF2B5EF4-FFF2-40B4-BE49-F238E27FC236}">
              <a16:creationId xmlns:a16="http://schemas.microsoft.com/office/drawing/2014/main" id="{7B7F16C8-3030-4CF7-9E80-CFB4D88B594D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7" name="TextBox 375">
          <a:extLst>
            <a:ext uri="{FF2B5EF4-FFF2-40B4-BE49-F238E27FC236}">
              <a16:creationId xmlns:a16="http://schemas.microsoft.com/office/drawing/2014/main" id="{4CEEC5BD-1B93-4D7C-93C4-71F5AC526214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8" name="TextBox 13">
          <a:extLst>
            <a:ext uri="{FF2B5EF4-FFF2-40B4-BE49-F238E27FC236}">
              <a16:creationId xmlns:a16="http://schemas.microsoft.com/office/drawing/2014/main" id="{CD6DB2CD-02AF-47D2-BB1F-248F21A914B9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5999" name="TextBox 14">
          <a:extLst>
            <a:ext uri="{FF2B5EF4-FFF2-40B4-BE49-F238E27FC236}">
              <a16:creationId xmlns:a16="http://schemas.microsoft.com/office/drawing/2014/main" id="{CC9EBF76-E06B-4E96-BFFE-09912071F851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0" name="TextBox 378">
          <a:extLst>
            <a:ext uri="{FF2B5EF4-FFF2-40B4-BE49-F238E27FC236}">
              <a16:creationId xmlns:a16="http://schemas.microsoft.com/office/drawing/2014/main" id="{7A7CD723-5021-4C98-AE3F-1B8F433CAD9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1" name="TextBox 379">
          <a:extLst>
            <a:ext uri="{FF2B5EF4-FFF2-40B4-BE49-F238E27FC236}">
              <a16:creationId xmlns:a16="http://schemas.microsoft.com/office/drawing/2014/main" id="{3E3AB2FE-4357-4B71-9048-B71CB7CB961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2" name="TextBox 380">
          <a:extLst>
            <a:ext uri="{FF2B5EF4-FFF2-40B4-BE49-F238E27FC236}">
              <a16:creationId xmlns:a16="http://schemas.microsoft.com/office/drawing/2014/main" id="{137BB121-B8E1-4899-8E28-FF9B3DA5188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3" name="TextBox 381">
          <a:extLst>
            <a:ext uri="{FF2B5EF4-FFF2-40B4-BE49-F238E27FC236}">
              <a16:creationId xmlns:a16="http://schemas.microsoft.com/office/drawing/2014/main" id="{9ECEE8C6-50C8-4002-BB48-FE28A63647C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4" name="TextBox 15">
          <a:extLst>
            <a:ext uri="{FF2B5EF4-FFF2-40B4-BE49-F238E27FC236}">
              <a16:creationId xmlns:a16="http://schemas.microsoft.com/office/drawing/2014/main" id="{091F9010-1AA2-4A4F-B8C2-6DF9167C659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5" name="TextBox 16">
          <a:extLst>
            <a:ext uri="{FF2B5EF4-FFF2-40B4-BE49-F238E27FC236}">
              <a16:creationId xmlns:a16="http://schemas.microsoft.com/office/drawing/2014/main" id="{52600FFA-BE33-4244-9856-7915ECB4EB2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6" name="TextBox 17">
          <a:extLst>
            <a:ext uri="{FF2B5EF4-FFF2-40B4-BE49-F238E27FC236}">
              <a16:creationId xmlns:a16="http://schemas.microsoft.com/office/drawing/2014/main" id="{7AEFE278-FBAD-4332-95CF-E82BF0D6906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7" name="TextBox 18">
          <a:extLst>
            <a:ext uri="{FF2B5EF4-FFF2-40B4-BE49-F238E27FC236}">
              <a16:creationId xmlns:a16="http://schemas.microsoft.com/office/drawing/2014/main" id="{7C23F10B-DF4B-4C87-8B40-263894855EF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8" name="TextBox 386">
          <a:extLst>
            <a:ext uri="{FF2B5EF4-FFF2-40B4-BE49-F238E27FC236}">
              <a16:creationId xmlns:a16="http://schemas.microsoft.com/office/drawing/2014/main" id="{8C4A0F59-3EEF-4AC3-A48B-DC98D460439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09" name="TextBox 387">
          <a:extLst>
            <a:ext uri="{FF2B5EF4-FFF2-40B4-BE49-F238E27FC236}">
              <a16:creationId xmlns:a16="http://schemas.microsoft.com/office/drawing/2014/main" id="{BC3768F4-9A10-492F-B148-CD675D6FC7E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0" name="TextBox 1">
          <a:extLst>
            <a:ext uri="{FF2B5EF4-FFF2-40B4-BE49-F238E27FC236}">
              <a16:creationId xmlns:a16="http://schemas.microsoft.com/office/drawing/2014/main" id="{A660C31D-B4FD-4FE6-8FD3-59DFE0624C2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1" name="TextBox 3">
          <a:extLst>
            <a:ext uri="{FF2B5EF4-FFF2-40B4-BE49-F238E27FC236}">
              <a16:creationId xmlns:a16="http://schemas.microsoft.com/office/drawing/2014/main" id="{92AC4963-53C5-4DF3-ADB7-238D4B96930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2" name="TextBox 390">
          <a:extLst>
            <a:ext uri="{FF2B5EF4-FFF2-40B4-BE49-F238E27FC236}">
              <a16:creationId xmlns:a16="http://schemas.microsoft.com/office/drawing/2014/main" id="{0D5EFD0E-3694-47AA-8C5F-838931DDDE4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3" name="TextBox 391">
          <a:extLst>
            <a:ext uri="{FF2B5EF4-FFF2-40B4-BE49-F238E27FC236}">
              <a16:creationId xmlns:a16="http://schemas.microsoft.com/office/drawing/2014/main" id="{B13719F0-8DA5-4A88-A938-C3B5D9FA64E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4" name="TextBox 392">
          <a:extLst>
            <a:ext uri="{FF2B5EF4-FFF2-40B4-BE49-F238E27FC236}">
              <a16:creationId xmlns:a16="http://schemas.microsoft.com/office/drawing/2014/main" id="{82B64703-CCCD-4908-9F1F-380379F2F03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5" name="TextBox 393">
          <a:extLst>
            <a:ext uri="{FF2B5EF4-FFF2-40B4-BE49-F238E27FC236}">
              <a16:creationId xmlns:a16="http://schemas.microsoft.com/office/drawing/2014/main" id="{EB4856A8-FA4C-44B3-8DAA-DA5978019DD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6" name="TextBox 394">
          <a:extLst>
            <a:ext uri="{FF2B5EF4-FFF2-40B4-BE49-F238E27FC236}">
              <a16:creationId xmlns:a16="http://schemas.microsoft.com/office/drawing/2014/main" id="{55E5FC09-280A-4088-B6F0-C20A209FC0A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7" name="TextBox 395">
          <a:extLst>
            <a:ext uri="{FF2B5EF4-FFF2-40B4-BE49-F238E27FC236}">
              <a16:creationId xmlns:a16="http://schemas.microsoft.com/office/drawing/2014/main" id="{07E233BC-476C-400D-8FFE-1BD250FDA0B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8" name="TextBox 396">
          <a:extLst>
            <a:ext uri="{FF2B5EF4-FFF2-40B4-BE49-F238E27FC236}">
              <a16:creationId xmlns:a16="http://schemas.microsoft.com/office/drawing/2014/main" id="{E00A73D9-F88E-4ED6-9F08-D0C654FCFB7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19" name="TextBox 397">
          <a:extLst>
            <a:ext uri="{FF2B5EF4-FFF2-40B4-BE49-F238E27FC236}">
              <a16:creationId xmlns:a16="http://schemas.microsoft.com/office/drawing/2014/main" id="{C6E854D9-7612-43E8-B8F0-B387E51EC29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0" name="TextBox 398">
          <a:extLst>
            <a:ext uri="{FF2B5EF4-FFF2-40B4-BE49-F238E27FC236}">
              <a16:creationId xmlns:a16="http://schemas.microsoft.com/office/drawing/2014/main" id="{EB9A8443-5ADB-4220-ABC3-5689F2FA626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1" name="TextBox 399">
          <a:extLst>
            <a:ext uri="{FF2B5EF4-FFF2-40B4-BE49-F238E27FC236}">
              <a16:creationId xmlns:a16="http://schemas.microsoft.com/office/drawing/2014/main" id="{E62B0ECE-77CF-4EC2-B47B-6EEE67E7812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2" name="TextBox 13">
          <a:extLst>
            <a:ext uri="{FF2B5EF4-FFF2-40B4-BE49-F238E27FC236}">
              <a16:creationId xmlns:a16="http://schemas.microsoft.com/office/drawing/2014/main" id="{731C22EA-7667-4FB7-89F8-3C1146B4C84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3" name="TextBox 14">
          <a:extLst>
            <a:ext uri="{FF2B5EF4-FFF2-40B4-BE49-F238E27FC236}">
              <a16:creationId xmlns:a16="http://schemas.microsoft.com/office/drawing/2014/main" id="{C5D16AAD-9C55-4E41-BA73-B39AF27C0FB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4" name="TextBox 402">
          <a:extLst>
            <a:ext uri="{FF2B5EF4-FFF2-40B4-BE49-F238E27FC236}">
              <a16:creationId xmlns:a16="http://schemas.microsoft.com/office/drawing/2014/main" id="{68B2A650-B0EB-4A51-8531-4B348C837B09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5" name="TextBox 403">
          <a:extLst>
            <a:ext uri="{FF2B5EF4-FFF2-40B4-BE49-F238E27FC236}">
              <a16:creationId xmlns:a16="http://schemas.microsoft.com/office/drawing/2014/main" id="{036B6ABC-96AE-42C3-ABA9-0A75E8E62393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6" name="TextBox 404">
          <a:extLst>
            <a:ext uri="{FF2B5EF4-FFF2-40B4-BE49-F238E27FC236}">
              <a16:creationId xmlns:a16="http://schemas.microsoft.com/office/drawing/2014/main" id="{19A61FD5-8EEA-455B-BCAE-44DF9AB4621B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7" name="TextBox 405">
          <a:extLst>
            <a:ext uri="{FF2B5EF4-FFF2-40B4-BE49-F238E27FC236}">
              <a16:creationId xmlns:a16="http://schemas.microsoft.com/office/drawing/2014/main" id="{50299362-E811-47A0-90DA-D0829D565F20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8" name="TextBox 15">
          <a:extLst>
            <a:ext uri="{FF2B5EF4-FFF2-40B4-BE49-F238E27FC236}">
              <a16:creationId xmlns:a16="http://schemas.microsoft.com/office/drawing/2014/main" id="{0C0E26E7-BB4C-4332-852A-7129D02B0430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29" name="TextBox 16">
          <a:extLst>
            <a:ext uri="{FF2B5EF4-FFF2-40B4-BE49-F238E27FC236}">
              <a16:creationId xmlns:a16="http://schemas.microsoft.com/office/drawing/2014/main" id="{2BC62CFA-69AB-423F-896E-9AF10458AC8A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0" name="TextBox 17">
          <a:extLst>
            <a:ext uri="{FF2B5EF4-FFF2-40B4-BE49-F238E27FC236}">
              <a16:creationId xmlns:a16="http://schemas.microsoft.com/office/drawing/2014/main" id="{2C0F1A87-EB49-4039-9619-C8A073151B01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1" name="TextBox 18">
          <a:extLst>
            <a:ext uri="{FF2B5EF4-FFF2-40B4-BE49-F238E27FC236}">
              <a16:creationId xmlns:a16="http://schemas.microsoft.com/office/drawing/2014/main" id="{BC8CAEDF-946A-4504-87AF-AC7C55B567F9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2" name="TextBox 410">
          <a:extLst>
            <a:ext uri="{FF2B5EF4-FFF2-40B4-BE49-F238E27FC236}">
              <a16:creationId xmlns:a16="http://schemas.microsoft.com/office/drawing/2014/main" id="{69D1CDFF-5CAD-4741-A42E-392683DDDA60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3" name="TextBox 411">
          <a:extLst>
            <a:ext uri="{FF2B5EF4-FFF2-40B4-BE49-F238E27FC236}">
              <a16:creationId xmlns:a16="http://schemas.microsoft.com/office/drawing/2014/main" id="{7574A11F-6262-44E9-BB50-E21761C28233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4" name="TextBox 1">
          <a:extLst>
            <a:ext uri="{FF2B5EF4-FFF2-40B4-BE49-F238E27FC236}">
              <a16:creationId xmlns:a16="http://schemas.microsoft.com/office/drawing/2014/main" id="{B7488DA3-F0FF-460A-92B5-60861D6BD306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5" name="TextBox 3">
          <a:extLst>
            <a:ext uri="{FF2B5EF4-FFF2-40B4-BE49-F238E27FC236}">
              <a16:creationId xmlns:a16="http://schemas.microsoft.com/office/drawing/2014/main" id="{BC5B252C-9AD6-4BA6-9D71-1B6480AE2CD9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6" name="TextBox 414">
          <a:extLst>
            <a:ext uri="{FF2B5EF4-FFF2-40B4-BE49-F238E27FC236}">
              <a16:creationId xmlns:a16="http://schemas.microsoft.com/office/drawing/2014/main" id="{41E686B4-E3DF-4354-8B00-61C6F855E88B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7" name="TextBox 415">
          <a:extLst>
            <a:ext uri="{FF2B5EF4-FFF2-40B4-BE49-F238E27FC236}">
              <a16:creationId xmlns:a16="http://schemas.microsoft.com/office/drawing/2014/main" id="{DB18686F-BBBB-4DE2-BC6F-E2D1588EF7EE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8" name="TextBox 416">
          <a:extLst>
            <a:ext uri="{FF2B5EF4-FFF2-40B4-BE49-F238E27FC236}">
              <a16:creationId xmlns:a16="http://schemas.microsoft.com/office/drawing/2014/main" id="{6C841982-B942-4BFD-99A3-755CF5191C3A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39" name="TextBox 417">
          <a:extLst>
            <a:ext uri="{FF2B5EF4-FFF2-40B4-BE49-F238E27FC236}">
              <a16:creationId xmlns:a16="http://schemas.microsoft.com/office/drawing/2014/main" id="{0441C6BE-769B-4C88-BF03-F4ABAC2BD63E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0" name="TextBox 418">
          <a:extLst>
            <a:ext uri="{FF2B5EF4-FFF2-40B4-BE49-F238E27FC236}">
              <a16:creationId xmlns:a16="http://schemas.microsoft.com/office/drawing/2014/main" id="{E8C7D231-EE51-43EA-B090-F47A33848116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1" name="TextBox 419">
          <a:extLst>
            <a:ext uri="{FF2B5EF4-FFF2-40B4-BE49-F238E27FC236}">
              <a16:creationId xmlns:a16="http://schemas.microsoft.com/office/drawing/2014/main" id="{B3556823-AACD-4FE6-B87E-B58526365C97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2" name="TextBox 420">
          <a:extLst>
            <a:ext uri="{FF2B5EF4-FFF2-40B4-BE49-F238E27FC236}">
              <a16:creationId xmlns:a16="http://schemas.microsoft.com/office/drawing/2014/main" id="{F4B8F685-EBA9-44D4-9864-685EC28C83AC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3" name="TextBox 421">
          <a:extLst>
            <a:ext uri="{FF2B5EF4-FFF2-40B4-BE49-F238E27FC236}">
              <a16:creationId xmlns:a16="http://schemas.microsoft.com/office/drawing/2014/main" id="{81C7A592-AE3C-4171-A371-37E8F37E1CC0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4" name="TextBox 422">
          <a:extLst>
            <a:ext uri="{FF2B5EF4-FFF2-40B4-BE49-F238E27FC236}">
              <a16:creationId xmlns:a16="http://schemas.microsoft.com/office/drawing/2014/main" id="{C0D9CD5B-CE7D-4D1C-9074-4386F64E7F8F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5" name="TextBox 423">
          <a:extLst>
            <a:ext uri="{FF2B5EF4-FFF2-40B4-BE49-F238E27FC236}">
              <a16:creationId xmlns:a16="http://schemas.microsoft.com/office/drawing/2014/main" id="{BECBCD01-05A6-4C4D-AC19-DD3BD989A167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6" name="TextBox 13">
          <a:extLst>
            <a:ext uri="{FF2B5EF4-FFF2-40B4-BE49-F238E27FC236}">
              <a16:creationId xmlns:a16="http://schemas.microsoft.com/office/drawing/2014/main" id="{9216BE56-F126-4EE4-8036-1540386C6378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7" name="TextBox 14">
          <a:extLst>
            <a:ext uri="{FF2B5EF4-FFF2-40B4-BE49-F238E27FC236}">
              <a16:creationId xmlns:a16="http://schemas.microsoft.com/office/drawing/2014/main" id="{D6FE96FA-0DBD-46E8-9C8B-778477B2025C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8" name="TextBox 426">
          <a:extLst>
            <a:ext uri="{FF2B5EF4-FFF2-40B4-BE49-F238E27FC236}">
              <a16:creationId xmlns:a16="http://schemas.microsoft.com/office/drawing/2014/main" id="{ED9FBA6E-20B3-471A-A260-4D29EC9B7423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49" name="TextBox 427">
          <a:extLst>
            <a:ext uri="{FF2B5EF4-FFF2-40B4-BE49-F238E27FC236}">
              <a16:creationId xmlns:a16="http://schemas.microsoft.com/office/drawing/2014/main" id="{3AF6FD15-59A4-4DB0-8075-15F9E5B9B62D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0" name="TextBox 428">
          <a:extLst>
            <a:ext uri="{FF2B5EF4-FFF2-40B4-BE49-F238E27FC236}">
              <a16:creationId xmlns:a16="http://schemas.microsoft.com/office/drawing/2014/main" id="{A56E9AA8-B59A-47EF-8A54-20F91A4448E9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1" name="TextBox 429">
          <a:extLst>
            <a:ext uri="{FF2B5EF4-FFF2-40B4-BE49-F238E27FC236}">
              <a16:creationId xmlns:a16="http://schemas.microsoft.com/office/drawing/2014/main" id="{4BF3FF00-FCBA-4246-9D56-E6C63E218F7C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2" name="TextBox 15">
          <a:extLst>
            <a:ext uri="{FF2B5EF4-FFF2-40B4-BE49-F238E27FC236}">
              <a16:creationId xmlns:a16="http://schemas.microsoft.com/office/drawing/2014/main" id="{5DB43B1D-B9C3-43FE-97BE-4B847B07624B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3" name="TextBox 16">
          <a:extLst>
            <a:ext uri="{FF2B5EF4-FFF2-40B4-BE49-F238E27FC236}">
              <a16:creationId xmlns:a16="http://schemas.microsoft.com/office/drawing/2014/main" id="{DA6B4794-CF27-4D67-B97F-93211EF8D60B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4" name="TextBox 17">
          <a:extLst>
            <a:ext uri="{FF2B5EF4-FFF2-40B4-BE49-F238E27FC236}">
              <a16:creationId xmlns:a16="http://schemas.microsoft.com/office/drawing/2014/main" id="{B049CEF6-D706-45CF-A832-DD4DF0CD5498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5" name="TextBox 18">
          <a:extLst>
            <a:ext uri="{FF2B5EF4-FFF2-40B4-BE49-F238E27FC236}">
              <a16:creationId xmlns:a16="http://schemas.microsoft.com/office/drawing/2014/main" id="{2E357EF8-D4EB-4069-A96A-373169812307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6" name="TextBox 434">
          <a:extLst>
            <a:ext uri="{FF2B5EF4-FFF2-40B4-BE49-F238E27FC236}">
              <a16:creationId xmlns:a16="http://schemas.microsoft.com/office/drawing/2014/main" id="{0268F992-96CF-4480-907F-7DD139AE27F2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7" name="TextBox 435">
          <a:extLst>
            <a:ext uri="{FF2B5EF4-FFF2-40B4-BE49-F238E27FC236}">
              <a16:creationId xmlns:a16="http://schemas.microsoft.com/office/drawing/2014/main" id="{C897EA0D-7D08-4C03-B98B-0030D434ACEB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8" name="TextBox 1">
          <a:extLst>
            <a:ext uri="{FF2B5EF4-FFF2-40B4-BE49-F238E27FC236}">
              <a16:creationId xmlns:a16="http://schemas.microsoft.com/office/drawing/2014/main" id="{F8565FF8-6020-461C-8F86-BFE9DF6F765F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59" name="TextBox 3">
          <a:extLst>
            <a:ext uri="{FF2B5EF4-FFF2-40B4-BE49-F238E27FC236}">
              <a16:creationId xmlns:a16="http://schemas.microsoft.com/office/drawing/2014/main" id="{01F3490C-DE77-4DA1-9DDC-4ED6705342EE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0" name="TextBox 438">
          <a:extLst>
            <a:ext uri="{FF2B5EF4-FFF2-40B4-BE49-F238E27FC236}">
              <a16:creationId xmlns:a16="http://schemas.microsoft.com/office/drawing/2014/main" id="{0E346747-6C54-4ACD-A8E7-445E5F5EB4D1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1" name="TextBox 439">
          <a:extLst>
            <a:ext uri="{FF2B5EF4-FFF2-40B4-BE49-F238E27FC236}">
              <a16:creationId xmlns:a16="http://schemas.microsoft.com/office/drawing/2014/main" id="{CD5D3F68-16FE-485E-B5F1-565B7EABA6C6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2" name="TextBox 440">
          <a:extLst>
            <a:ext uri="{FF2B5EF4-FFF2-40B4-BE49-F238E27FC236}">
              <a16:creationId xmlns:a16="http://schemas.microsoft.com/office/drawing/2014/main" id="{BB791156-180C-4F75-94F0-7ED99761C808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3" name="TextBox 441">
          <a:extLst>
            <a:ext uri="{FF2B5EF4-FFF2-40B4-BE49-F238E27FC236}">
              <a16:creationId xmlns:a16="http://schemas.microsoft.com/office/drawing/2014/main" id="{4961AC47-BD05-44ED-B268-1003E4BA00AC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4" name="TextBox 442">
          <a:extLst>
            <a:ext uri="{FF2B5EF4-FFF2-40B4-BE49-F238E27FC236}">
              <a16:creationId xmlns:a16="http://schemas.microsoft.com/office/drawing/2014/main" id="{C7893499-10D0-4E98-8988-B9D88B88BF62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5" name="TextBox 443">
          <a:extLst>
            <a:ext uri="{FF2B5EF4-FFF2-40B4-BE49-F238E27FC236}">
              <a16:creationId xmlns:a16="http://schemas.microsoft.com/office/drawing/2014/main" id="{E128340C-F230-424D-8B39-2FC181447106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6" name="TextBox 444">
          <a:extLst>
            <a:ext uri="{FF2B5EF4-FFF2-40B4-BE49-F238E27FC236}">
              <a16:creationId xmlns:a16="http://schemas.microsoft.com/office/drawing/2014/main" id="{E486C24E-1382-4ADA-9EFB-887C946D55E7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7" name="TextBox 445">
          <a:extLst>
            <a:ext uri="{FF2B5EF4-FFF2-40B4-BE49-F238E27FC236}">
              <a16:creationId xmlns:a16="http://schemas.microsoft.com/office/drawing/2014/main" id="{81BF9C18-81BE-4C27-989E-9949AAD01683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8" name="TextBox 446">
          <a:extLst>
            <a:ext uri="{FF2B5EF4-FFF2-40B4-BE49-F238E27FC236}">
              <a16:creationId xmlns:a16="http://schemas.microsoft.com/office/drawing/2014/main" id="{EEEAE7D3-D3C0-4708-AD3C-5A92665F8C62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69" name="TextBox 447">
          <a:extLst>
            <a:ext uri="{FF2B5EF4-FFF2-40B4-BE49-F238E27FC236}">
              <a16:creationId xmlns:a16="http://schemas.microsoft.com/office/drawing/2014/main" id="{FB48C33D-D499-48B2-87CF-8C85255C10E9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0" name="TextBox 13">
          <a:extLst>
            <a:ext uri="{FF2B5EF4-FFF2-40B4-BE49-F238E27FC236}">
              <a16:creationId xmlns:a16="http://schemas.microsoft.com/office/drawing/2014/main" id="{5FCAA5DF-0D67-4883-A8C6-0DA21F9027E7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1" name="TextBox 14">
          <a:extLst>
            <a:ext uri="{FF2B5EF4-FFF2-40B4-BE49-F238E27FC236}">
              <a16:creationId xmlns:a16="http://schemas.microsoft.com/office/drawing/2014/main" id="{97EADBA6-5C79-4CCB-8D82-ACF0339289EB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2" name="TextBox 450">
          <a:extLst>
            <a:ext uri="{FF2B5EF4-FFF2-40B4-BE49-F238E27FC236}">
              <a16:creationId xmlns:a16="http://schemas.microsoft.com/office/drawing/2014/main" id="{6D29E82F-B9D4-4803-AF39-D7F7E80AA085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3" name="TextBox 451">
          <a:extLst>
            <a:ext uri="{FF2B5EF4-FFF2-40B4-BE49-F238E27FC236}">
              <a16:creationId xmlns:a16="http://schemas.microsoft.com/office/drawing/2014/main" id="{E7A4639C-E639-4A12-874E-E3F7E64ED16A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4" name="TextBox 452">
          <a:extLst>
            <a:ext uri="{FF2B5EF4-FFF2-40B4-BE49-F238E27FC236}">
              <a16:creationId xmlns:a16="http://schemas.microsoft.com/office/drawing/2014/main" id="{5D926154-A3F7-4F1C-9DA4-10CDF5BE52FA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5" name="TextBox 453">
          <a:extLst>
            <a:ext uri="{FF2B5EF4-FFF2-40B4-BE49-F238E27FC236}">
              <a16:creationId xmlns:a16="http://schemas.microsoft.com/office/drawing/2014/main" id="{96615B58-BA49-4316-AE34-82769155A4B2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6" name="TextBox 15">
          <a:extLst>
            <a:ext uri="{FF2B5EF4-FFF2-40B4-BE49-F238E27FC236}">
              <a16:creationId xmlns:a16="http://schemas.microsoft.com/office/drawing/2014/main" id="{61B4F101-9958-4A6A-BAC6-E4CE50176317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7" name="TextBox 16">
          <a:extLst>
            <a:ext uri="{FF2B5EF4-FFF2-40B4-BE49-F238E27FC236}">
              <a16:creationId xmlns:a16="http://schemas.microsoft.com/office/drawing/2014/main" id="{EA8EF2A2-4CBF-4113-83C9-3F3B1EE9A4AD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8" name="TextBox 17">
          <a:extLst>
            <a:ext uri="{FF2B5EF4-FFF2-40B4-BE49-F238E27FC236}">
              <a16:creationId xmlns:a16="http://schemas.microsoft.com/office/drawing/2014/main" id="{65E8DFE3-47AB-420A-8F09-0B1292113CD0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79" name="TextBox 18">
          <a:extLst>
            <a:ext uri="{FF2B5EF4-FFF2-40B4-BE49-F238E27FC236}">
              <a16:creationId xmlns:a16="http://schemas.microsoft.com/office/drawing/2014/main" id="{D8FC4143-82A1-4590-BCC5-D887F4B1E5BD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0" name="TextBox 458">
          <a:extLst>
            <a:ext uri="{FF2B5EF4-FFF2-40B4-BE49-F238E27FC236}">
              <a16:creationId xmlns:a16="http://schemas.microsoft.com/office/drawing/2014/main" id="{87AE1BE4-F1E9-40B6-944F-BC968A0C7191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1" name="TextBox 459">
          <a:extLst>
            <a:ext uri="{FF2B5EF4-FFF2-40B4-BE49-F238E27FC236}">
              <a16:creationId xmlns:a16="http://schemas.microsoft.com/office/drawing/2014/main" id="{53E511B2-7464-4885-92D7-61ED38FC2B9E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2" name="TextBox 1">
          <a:extLst>
            <a:ext uri="{FF2B5EF4-FFF2-40B4-BE49-F238E27FC236}">
              <a16:creationId xmlns:a16="http://schemas.microsoft.com/office/drawing/2014/main" id="{E3405F67-C5D6-4578-BE39-C1DAB5CD0CA8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3" name="TextBox 3">
          <a:extLst>
            <a:ext uri="{FF2B5EF4-FFF2-40B4-BE49-F238E27FC236}">
              <a16:creationId xmlns:a16="http://schemas.microsoft.com/office/drawing/2014/main" id="{B3DBB115-C704-4EB7-8FC8-810E2F04BB87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4" name="TextBox 462">
          <a:extLst>
            <a:ext uri="{FF2B5EF4-FFF2-40B4-BE49-F238E27FC236}">
              <a16:creationId xmlns:a16="http://schemas.microsoft.com/office/drawing/2014/main" id="{186B9DFC-5A4A-417B-9B77-C540F9547488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5" name="TextBox 463">
          <a:extLst>
            <a:ext uri="{FF2B5EF4-FFF2-40B4-BE49-F238E27FC236}">
              <a16:creationId xmlns:a16="http://schemas.microsoft.com/office/drawing/2014/main" id="{BA8251E1-1417-4572-847B-69253C51206D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6" name="TextBox 464">
          <a:extLst>
            <a:ext uri="{FF2B5EF4-FFF2-40B4-BE49-F238E27FC236}">
              <a16:creationId xmlns:a16="http://schemas.microsoft.com/office/drawing/2014/main" id="{87F2390A-CE4D-40F9-93D4-FC307281D6F3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7" name="TextBox 465">
          <a:extLst>
            <a:ext uri="{FF2B5EF4-FFF2-40B4-BE49-F238E27FC236}">
              <a16:creationId xmlns:a16="http://schemas.microsoft.com/office/drawing/2014/main" id="{7A2598B0-FA63-47DB-812D-A6186E8155B8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8" name="TextBox 466">
          <a:extLst>
            <a:ext uri="{FF2B5EF4-FFF2-40B4-BE49-F238E27FC236}">
              <a16:creationId xmlns:a16="http://schemas.microsoft.com/office/drawing/2014/main" id="{FC4A12EA-D832-47DB-AA6C-1310F51175E1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89" name="TextBox 467">
          <a:extLst>
            <a:ext uri="{FF2B5EF4-FFF2-40B4-BE49-F238E27FC236}">
              <a16:creationId xmlns:a16="http://schemas.microsoft.com/office/drawing/2014/main" id="{CBD090AC-3128-4930-A31C-10170AE435BD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0" name="TextBox 468">
          <a:extLst>
            <a:ext uri="{FF2B5EF4-FFF2-40B4-BE49-F238E27FC236}">
              <a16:creationId xmlns:a16="http://schemas.microsoft.com/office/drawing/2014/main" id="{6F9000D8-D48A-4424-8575-CA1C45D784BC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1" name="TextBox 469">
          <a:extLst>
            <a:ext uri="{FF2B5EF4-FFF2-40B4-BE49-F238E27FC236}">
              <a16:creationId xmlns:a16="http://schemas.microsoft.com/office/drawing/2014/main" id="{2154F2C2-4245-4C99-A37C-BDCFAD0C9522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2" name="TextBox 470">
          <a:extLst>
            <a:ext uri="{FF2B5EF4-FFF2-40B4-BE49-F238E27FC236}">
              <a16:creationId xmlns:a16="http://schemas.microsoft.com/office/drawing/2014/main" id="{A514058C-7E99-4DBB-BD9B-BAAB02E0F5E2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3" name="TextBox 471">
          <a:extLst>
            <a:ext uri="{FF2B5EF4-FFF2-40B4-BE49-F238E27FC236}">
              <a16:creationId xmlns:a16="http://schemas.microsoft.com/office/drawing/2014/main" id="{D3866D23-65B1-483B-9D9E-3C14A233E837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4" name="TextBox 13">
          <a:extLst>
            <a:ext uri="{FF2B5EF4-FFF2-40B4-BE49-F238E27FC236}">
              <a16:creationId xmlns:a16="http://schemas.microsoft.com/office/drawing/2014/main" id="{8F4EEE8F-A996-4E5E-A0FD-62D764317F92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5" name="TextBox 14">
          <a:extLst>
            <a:ext uri="{FF2B5EF4-FFF2-40B4-BE49-F238E27FC236}">
              <a16:creationId xmlns:a16="http://schemas.microsoft.com/office/drawing/2014/main" id="{BD444477-1C39-41B3-9D98-3F79F6C250FA}"/>
            </a:ext>
          </a:extLst>
        </xdr:cNvPr>
        <xdr:cNvSpPr txBox="1"/>
      </xdr:nvSpPr>
      <xdr:spPr>
        <a:xfrm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6" name="TextBox 474">
          <a:extLst>
            <a:ext uri="{FF2B5EF4-FFF2-40B4-BE49-F238E27FC236}">
              <a16:creationId xmlns:a16="http://schemas.microsoft.com/office/drawing/2014/main" id="{2D971791-8EE7-42BB-BB4A-3B6EA6D2B803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7" name="TextBox 475">
          <a:extLst>
            <a:ext uri="{FF2B5EF4-FFF2-40B4-BE49-F238E27FC236}">
              <a16:creationId xmlns:a16="http://schemas.microsoft.com/office/drawing/2014/main" id="{483D3511-47AB-4FA8-8701-E6A08320F49D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8" name="TextBox 476">
          <a:extLst>
            <a:ext uri="{FF2B5EF4-FFF2-40B4-BE49-F238E27FC236}">
              <a16:creationId xmlns:a16="http://schemas.microsoft.com/office/drawing/2014/main" id="{D72DF02F-01E8-4EF1-AFD3-3C3C3564C249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099" name="TextBox 477">
          <a:extLst>
            <a:ext uri="{FF2B5EF4-FFF2-40B4-BE49-F238E27FC236}">
              <a16:creationId xmlns:a16="http://schemas.microsoft.com/office/drawing/2014/main" id="{EA84818F-562E-4F38-92BA-7C882AAA7929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0" name="TextBox 15">
          <a:extLst>
            <a:ext uri="{FF2B5EF4-FFF2-40B4-BE49-F238E27FC236}">
              <a16:creationId xmlns:a16="http://schemas.microsoft.com/office/drawing/2014/main" id="{8D3F1FEF-9CCC-4526-A53E-5CE03EB68DD1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1" name="TextBox 16">
          <a:extLst>
            <a:ext uri="{FF2B5EF4-FFF2-40B4-BE49-F238E27FC236}">
              <a16:creationId xmlns:a16="http://schemas.microsoft.com/office/drawing/2014/main" id="{A7C64E0F-6EF7-49F7-B603-6175AC6DD278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2" name="TextBox 17">
          <a:extLst>
            <a:ext uri="{FF2B5EF4-FFF2-40B4-BE49-F238E27FC236}">
              <a16:creationId xmlns:a16="http://schemas.microsoft.com/office/drawing/2014/main" id="{EFC9F91D-69B2-47B9-8D4E-71BF1855845D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3" name="TextBox 18">
          <a:extLst>
            <a:ext uri="{FF2B5EF4-FFF2-40B4-BE49-F238E27FC236}">
              <a16:creationId xmlns:a16="http://schemas.microsoft.com/office/drawing/2014/main" id="{96FA64ED-8864-4871-8A74-081B28764BF1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4" name="TextBox 482">
          <a:extLst>
            <a:ext uri="{FF2B5EF4-FFF2-40B4-BE49-F238E27FC236}">
              <a16:creationId xmlns:a16="http://schemas.microsoft.com/office/drawing/2014/main" id="{00FAD0CD-20C6-46B6-B4F1-2054707D4FDF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5" name="TextBox 483">
          <a:extLst>
            <a:ext uri="{FF2B5EF4-FFF2-40B4-BE49-F238E27FC236}">
              <a16:creationId xmlns:a16="http://schemas.microsoft.com/office/drawing/2014/main" id="{190A1AC2-D06F-4F1E-A937-3FD66ADB4920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6" name="TextBox 1">
          <a:extLst>
            <a:ext uri="{FF2B5EF4-FFF2-40B4-BE49-F238E27FC236}">
              <a16:creationId xmlns:a16="http://schemas.microsoft.com/office/drawing/2014/main" id="{7A67015D-C6D9-4C00-A450-ED0210E528EE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7" name="TextBox 3">
          <a:extLst>
            <a:ext uri="{FF2B5EF4-FFF2-40B4-BE49-F238E27FC236}">
              <a16:creationId xmlns:a16="http://schemas.microsoft.com/office/drawing/2014/main" id="{D1EA2A17-CE23-4B9F-9BBB-32191FD1EFC2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8" name="TextBox 486">
          <a:extLst>
            <a:ext uri="{FF2B5EF4-FFF2-40B4-BE49-F238E27FC236}">
              <a16:creationId xmlns:a16="http://schemas.microsoft.com/office/drawing/2014/main" id="{98306E96-3919-49C9-A516-1C896F1BCD81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09" name="TextBox 487">
          <a:extLst>
            <a:ext uri="{FF2B5EF4-FFF2-40B4-BE49-F238E27FC236}">
              <a16:creationId xmlns:a16="http://schemas.microsoft.com/office/drawing/2014/main" id="{E35E6CA8-B6B8-4710-8BD4-1382E015BDA3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0" name="TextBox 488">
          <a:extLst>
            <a:ext uri="{FF2B5EF4-FFF2-40B4-BE49-F238E27FC236}">
              <a16:creationId xmlns:a16="http://schemas.microsoft.com/office/drawing/2014/main" id="{52E260C2-C989-46A3-8EC8-B6D679FCFCB3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1" name="TextBox 489">
          <a:extLst>
            <a:ext uri="{FF2B5EF4-FFF2-40B4-BE49-F238E27FC236}">
              <a16:creationId xmlns:a16="http://schemas.microsoft.com/office/drawing/2014/main" id="{0164E983-BEC4-484F-A882-8C51ADBFD772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2" name="TextBox 490">
          <a:extLst>
            <a:ext uri="{FF2B5EF4-FFF2-40B4-BE49-F238E27FC236}">
              <a16:creationId xmlns:a16="http://schemas.microsoft.com/office/drawing/2014/main" id="{E502B094-AAB8-4E73-8F4D-C29EF4688C03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3" name="TextBox 491">
          <a:extLst>
            <a:ext uri="{FF2B5EF4-FFF2-40B4-BE49-F238E27FC236}">
              <a16:creationId xmlns:a16="http://schemas.microsoft.com/office/drawing/2014/main" id="{81DA82ED-7F85-46BC-8B23-5170DE985B87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4" name="TextBox 492">
          <a:extLst>
            <a:ext uri="{FF2B5EF4-FFF2-40B4-BE49-F238E27FC236}">
              <a16:creationId xmlns:a16="http://schemas.microsoft.com/office/drawing/2014/main" id="{689A5534-ABB8-4C1A-AB01-F909B5F82E63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5" name="TextBox 493">
          <a:extLst>
            <a:ext uri="{FF2B5EF4-FFF2-40B4-BE49-F238E27FC236}">
              <a16:creationId xmlns:a16="http://schemas.microsoft.com/office/drawing/2014/main" id="{1D516D4C-E8E8-44DB-A0B7-8F1C0079030C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6" name="TextBox 494">
          <a:extLst>
            <a:ext uri="{FF2B5EF4-FFF2-40B4-BE49-F238E27FC236}">
              <a16:creationId xmlns:a16="http://schemas.microsoft.com/office/drawing/2014/main" id="{5F5B72C1-FE42-4D5E-8B42-8D6C87CAAE24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7" name="TextBox 495">
          <a:extLst>
            <a:ext uri="{FF2B5EF4-FFF2-40B4-BE49-F238E27FC236}">
              <a16:creationId xmlns:a16="http://schemas.microsoft.com/office/drawing/2014/main" id="{8F424459-346F-4AE5-A702-E9A7B7F5F2FE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8" name="TextBox 13">
          <a:extLst>
            <a:ext uri="{FF2B5EF4-FFF2-40B4-BE49-F238E27FC236}">
              <a16:creationId xmlns:a16="http://schemas.microsoft.com/office/drawing/2014/main" id="{78712A81-93FC-4117-85EA-6DF6B4648BF7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19" name="TextBox 14">
          <a:extLst>
            <a:ext uri="{FF2B5EF4-FFF2-40B4-BE49-F238E27FC236}">
              <a16:creationId xmlns:a16="http://schemas.microsoft.com/office/drawing/2014/main" id="{E95A43EB-0E4C-4089-AE65-846B96347452}"/>
            </a:ext>
          </a:extLst>
        </xdr:cNvPr>
        <xdr:cNvSpPr txBox="1"/>
      </xdr:nvSpPr>
      <xdr:spPr>
        <a:xfrm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0" name="TextBox 498">
          <a:extLst>
            <a:ext uri="{FF2B5EF4-FFF2-40B4-BE49-F238E27FC236}">
              <a16:creationId xmlns:a16="http://schemas.microsoft.com/office/drawing/2014/main" id="{72FA4E75-43B1-410C-94BA-6EB632A83EB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1" name="TextBox 499">
          <a:extLst>
            <a:ext uri="{FF2B5EF4-FFF2-40B4-BE49-F238E27FC236}">
              <a16:creationId xmlns:a16="http://schemas.microsoft.com/office/drawing/2014/main" id="{EE1B11C2-64FA-4358-886D-2E20FF8D39F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2" name="TextBox 500">
          <a:extLst>
            <a:ext uri="{FF2B5EF4-FFF2-40B4-BE49-F238E27FC236}">
              <a16:creationId xmlns:a16="http://schemas.microsoft.com/office/drawing/2014/main" id="{D7E173E1-71F7-4CC7-A03B-571A4D794646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3" name="TextBox 501">
          <a:extLst>
            <a:ext uri="{FF2B5EF4-FFF2-40B4-BE49-F238E27FC236}">
              <a16:creationId xmlns:a16="http://schemas.microsoft.com/office/drawing/2014/main" id="{2FF45F70-59CB-4713-B1F6-FB2719E886D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4" name="TextBox 15">
          <a:extLst>
            <a:ext uri="{FF2B5EF4-FFF2-40B4-BE49-F238E27FC236}">
              <a16:creationId xmlns:a16="http://schemas.microsoft.com/office/drawing/2014/main" id="{C67483D7-B76C-45B7-9653-54423DBDCF3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5" name="TextBox 16">
          <a:extLst>
            <a:ext uri="{FF2B5EF4-FFF2-40B4-BE49-F238E27FC236}">
              <a16:creationId xmlns:a16="http://schemas.microsoft.com/office/drawing/2014/main" id="{9AD5E165-BA7A-434B-8F78-B7757D1BDF12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6" name="TextBox 17">
          <a:extLst>
            <a:ext uri="{FF2B5EF4-FFF2-40B4-BE49-F238E27FC236}">
              <a16:creationId xmlns:a16="http://schemas.microsoft.com/office/drawing/2014/main" id="{7BC9CF42-1427-4B19-8806-C9D689C5131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7" name="TextBox 18">
          <a:extLst>
            <a:ext uri="{FF2B5EF4-FFF2-40B4-BE49-F238E27FC236}">
              <a16:creationId xmlns:a16="http://schemas.microsoft.com/office/drawing/2014/main" id="{F16C5366-7C34-4044-B5E9-377194092DE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8" name="TextBox 506">
          <a:extLst>
            <a:ext uri="{FF2B5EF4-FFF2-40B4-BE49-F238E27FC236}">
              <a16:creationId xmlns:a16="http://schemas.microsoft.com/office/drawing/2014/main" id="{3DC557C6-6AA4-4274-97BC-D086D364264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29" name="TextBox 507">
          <a:extLst>
            <a:ext uri="{FF2B5EF4-FFF2-40B4-BE49-F238E27FC236}">
              <a16:creationId xmlns:a16="http://schemas.microsoft.com/office/drawing/2014/main" id="{D1AC325E-B5BE-4F01-887C-791BDF100CC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0" name="TextBox 1">
          <a:extLst>
            <a:ext uri="{FF2B5EF4-FFF2-40B4-BE49-F238E27FC236}">
              <a16:creationId xmlns:a16="http://schemas.microsoft.com/office/drawing/2014/main" id="{F49DB378-7A70-4704-8D68-E2AFD83833E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1" name="TextBox 3">
          <a:extLst>
            <a:ext uri="{FF2B5EF4-FFF2-40B4-BE49-F238E27FC236}">
              <a16:creationId xmlns:a16="http://schemas.microsoft.com/office/drawing/2014/main" id="{BA9E771B-0310-40A2-9FB0-03F1067083A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2" name="TextBox 510">
          <a:extLst>
            <a:ext uri="{FF2B5EF4-FFF2-40B4-BE49-F238E27FC236}">
              <a16:creationId xmlns:a16="http://schemas.microsoft.com/office/drawing/2014/main" id="{5C9B959C-5B1E-48DF-B977-D64350E5FCA3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3" name="TextBox 511">
          <a:extLst>
            <a:ext uri="{FF2B5EF4-FFF2-40B4-BE49-F238E27FC236}">
              <a16:creationId xmlns:a16="http://schemas.microsoft.com/office/drawing/2014/main" id="{75373CD0-6E7D-44EA-B099-04348DB0833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4" name="TextBox 512">
          <a:extLst>
            <a:ext uri="{FF2B5EF4-FFF2-40B4-BE49-F238E27FC236}">
              <a16:creationId xmlns:a16="http://schemas.microsoft.com/office/drawing/2014/main" id="{511954DF-245A-4BD0-B883-CF4793CDD80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5" name="TextBox 513">
          <a:extLst>
            <a:ext uri="{FF2B5EF4-FFF2-40B4-BE49-F238E27FC236}">
              <a16:creationId xmlns:a16="http://schemas.microsoft.com/office/drawing/2014/main" id="{6D4D5E40-5C2B-4B42-BFEB-3316B4B9486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6" name="TextBox 514">
          <a:extLst>
            <a:ext uri="{FF2B5EF4-FFF2-40B4-BE49-F238E27FC236}">
              <a16:creationId xmlns:a16="http://schemas.microsoft.com/office/drawing/2014/main" id="{59CCBC24-346A-4932-8534-EBF84C67D21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7" name="TextBox 515">
          <a:extLst>
            <a:ext uri="{FF2B5EF4-FFF2-40B4-BE49-F238E27FC236}">
              <a16:creationId xmlns:a16="http://schemas.microsoft.com/office/drawing/2014/main" id="{BD2CDBE9-D5F5-4846-8CB5-E991B5BEA7D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8" name="TextBox 516">
          <a:extLst>
            <a:ext uri="{FF2B5EF4-FFF2-40B4-BE49-F238E27FC236}">
              <a16:creationId xmlns:a16="http://schemas.microsoft.com/office/drawing/2014/main" id="{4FE2A4E5-3DAA-4C88-9CB3-0B3F8FA8BAC3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39" name="TextBox 517">
          <a:extLst>
            <a:ext uri="{FF2B5EF4-FFF2-40B4-BE49-F238E27FC236}">
              <a16:creationId xmlns:a16="http://schemas.microsoft.com/office/drawing/2014/main" id="{4D03ADF1-9C8F-470A-BFA4-5656C3D448F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0" name="TextBox 518">
          <a:extLst>
            <a:ext uri="{FF2B5EF4-FFF2-40B4-BE49-F238E27FC236}">
              <a16:creationId xmlns:a16="http://schemas.microsoft.com/office/drawing/2014/main" id="{B2364D26-471D-4D91-BDDC-64CE34D80B3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1" name="TextBox 519">
          <a:extLst>
            <a:ext uri="{FF2B5EF4-FFF2-40B4-BE49-F238E27FC236}">
              <a16:creationId xmlns:a16="http://schemas.microsoft.com/office/drawing/2014/main" id="{91A72AF7-148F-4C0A-A135-12A410BF1A0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2" name="TextBox 13">
          <a:extLst>
            <a:ext uri="{FF2B5EF4-FFF2-40B4-BE49-F238E27FC236}">
              <a16:creationId xmlns:a16="http://schemas.microsoft.com/office/drawing/2014/main" id="{AE64499D-A693-41ED-89A4-D7459E5AF72C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3" name="TextBox 14">
          <a:extLst>
            <a:ext uri="{FF2B5EF4-FFF2-40B4-BE49-F238E27FC236}">
              <a16:creationId xmlns:a16="http://schemas.microsoft.com/office/drawing/2014/main" id="{D14AB3F9-B8C2-4CA1-B53A-316A347D059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4" name="TextBox 522">
          <a:extLst>
            <a:ext uri="{FF2B5EF4-FFF2-40B4-BE49-F238E27FC236}">
              <a16:creationId xmlns:a16="http://schemas.microsoft.com/office/drawing/2014/main" id="{A9012AD6-0B20-4D0F-9CE4-D56761EB6A96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5" name="TextBox 523">
          <a:extLst>
            <a:ext uri="{FF2B5EF4-FFF2-40B4-BE49-F238E27FC236}">
              <a16:creationId xmlns:a16="http://schemas.microsoft.com/office/drawing/2014/main" id="{3BD13421-A411-4279-AC42-678F2EF01F08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6" name="TextBox 524">
          <a:extLst>
            <a:ext uri="{FF2B5EF4-FFF2-40B4-BE49-F238E27FC236}">
              <a16:creationId xmlns:a16="http://schemas.microsoft.com/office/drawing/2014/main" id="{02105F9A-7584-4A21-ABDF-44D2D0AA22DF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7" name="TextBox 525">
          <a:extLst>
            <a:ext uri="{FF2B5EF4-FFF2-40B4-BE49-F238E27FC236}">
              <a16:creationId xmlns:a16="http://schemas.microsoft.com/office/drawing/2014/main" id="{883F8F81-AD31-4AF7-8083-1B1A7C12946B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8" name="TextBox 15">
          <a:extLst>
            <a:ext uri="{FF2B5EF4-FFF2-40B4-BE49-F238E27FC236}">
              <a16:creationId xmlns:a16="http://schemas.microsoft.com/office/drawing/2014/main" id="{A4899592-A552-4602-8C57-B5D71B754C71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49" name="TextBox 16">
          <a:extLst>
            <a:ext uri="{FF2B5EF4-FFF2-40B4-BE49-F238E27FC236}">
              <a16:creationId xmlns:a16="http://schemas.microsoft.com/office/drawing/2014/main" id="{B8F0C87E-5E3F-405E-B087-44CDBABE145A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0" name="TextBox 17">
          <a:extLst>
            <a:ext uri="{FF2B5EF4-FFF2-40B4-BE49-F238E27FC236}">
              <a16:creationId xmlns:a16="http://schemas.microsoft.com/office/drawing/2014/main" id="{8A9D3534-733C-448B-9FB5-06827E949A99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1" name="TextBox 18">
          <a:extLst>
            <a:ext uri="{FF2B5EF4-FFF2-40B4-BE49-F238E27FC236}">
              <a16:creationId xmlns:a16="http://schemas.microsoft.com/office/drawing/2014/main" id="{4DC1B804-7BFD-4E5E-88E5-515443700D36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2" name="TextBox 530">
          <a:extLst>
            <a:ext uri="{FF2B5EF4-FFF2-40B4-BE49-F238E27FC236}">
              <a16:creationId xmlns:a16="http://schemas.microsoft.com/office/drawing/2014/main" id="{DA54F079-0B91-41CD-A539-2BD448BFC739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3" name="TextBox 531">
          <a:extLst>
            <a:ext uri="{FF2B5EF4-FFF2-40B4-BE49-F238E27FC236}">
              <a16:creationId xmlns:a16="http://schemas.microsoft.com/office/drawing/2014/main" id="{BD0284EE-FDD8-4718-89B6-EFEF8085334A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4" name="TextBox 1">
          <a:extLst>
            <a:ext uri="{FF2B5EF4-FFF2-40B4-BE49-F238E27FC236}">
              <a16:creationId xmlns:a16="http://schemas.microsoft.com/office/drawing/2014/main" id="{72698E18-2036-4504-9E12-67FA9CABE916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5" name="TextBox 3">
          <a:extLst>
            <a:ext uri="{FF2B5EF4-FFF2-40B4-BE49-F238E27FC236}">
              <a16:creationId xmlns:a16="http://schemas.microsoft.com/office/drawing/2014/main" id="{AFEF8081-EDCE-4E77-8F39-90C4C63C15DA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6" name="TextBox 534">
          <a:extLst>
            <a:ext uri="{FF2B5EF4-FFF2-40B4-BE49-F238E27FC236}">
              <a16:creationId xmlns:a16="http://schemas.microsoft.com/office/drawing/2014/main" id="{D51D5C7F-FABA-48C4-8943-83333EC184D6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7" name="TextBox 535">
          <a:extLst>
            <a:ext uri="{FF2B5EF4-FFF2-40B4-BE49-F238E27FC236}">
              <a16:creationId xmlns:a16="http://schemas.microsoft.com/office/drawing/2014/main" id="{BCEC8DDF-808E-47D6-BC6D-BF37DD1A08BF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8" name="TextBox 536">
          <a:extLst>
            <a:ext uri="{FF2B5EF4-FFF2-40B4-BE49-F238E27FC236}">
              <a16:creationId xmlns:a16="http://schemas.microsoft.com/office/drawing/2014/main" id="{257BE979-C2BB-4736-82E6-8B9E132FF84F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59" name="TextBox 537">
          <a:extLst>
            <a:ext uri="{FF2B5EF4-FFF2-40B4-BE49-F238E27FC236}">
              <a16:creationId xmlns:a16="http://schemas.microsoft.com/office/drawing/2014/main" id="{63964730-CC69-4CB8-9E8C-64C25AAF4BDB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0" name="TextBox 538">
          <a:extLst>
            <a:ext uri="{FF2B5EF4-FFF2-40B4-BE49-F238E27FC236}">
              <a16:creationId xmlns:a16="http://schemas.microsoft.com/office/drawing/2014/main" id="{4A07B3B6-0F43-4530-A7D7-5C5E8A282BC6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1" name="TextBox 539">
          <a:extLst>
            <a:ext uri="{FF2B5EF4-FFF2-40B4-BE49-F238E27FC236}">
              <a16:creationId xmlns:a16="http://schemas.microsoft.com/office/drawing/2014/main" id="{89013C2A-BACE-4C45-B1CE-65FEAB57DE99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2" name="TextBox 540">
          <a:extLst>
            <a:ext uri="{FF2B5EF4-FFF2-40B4-BE49-F238E27FC236}">
              <a16:creationId xmlns:a16="http://schemas.microsoft.com/office/drawing/2014/main" id="{E41669F0-5D7F-4042-9093-3C98689459C7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3" name="TextBox 541">
          <a:extLst>
            <a:ext uri="{FF2B5EF4-FFF2-40B4-BE49-F238E27FC236}">
              <a16:creationId xmlns:a16="http://schemas.microsoft.com/office/drawing/2014/main" id="{3F1F51A0-B985-444F-B5E4-5B6A8964CC3C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4" name="TextBox 542">
          <a:extLst>
            <a:ext uri="{FF2B5EF4-FFF2-40B4-BE49-F238E27FC236}">
              <a16:creationId xmlns:a16="http://schemas.microsoft.com/office/drawing/2014/main" id="{19B8A1C5-535D-4C74-B8B5-4F34356C9D19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5" name="TextBox 543">
          <a:extLst>
            <a:ext uri="{FF2B5EF4-FFF2-40B4-BE49-F238E27FC236}">
              <a16:creationId xmlns:a16="http://schemas.microsoft.com/office/drawing/2014/main" id="{91ED0D45-EE16-46D7-86C2-E5E940E4D631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6" name="TextBox 13">
          <a:extLst>
            <a:ext uri="{FF2B5EF4-FFF2-40B4-BE49-F238E27FC236}">
              <a16:creationId xmlns:a16="http://schemas.microsoft.com/office/drawing/2014/main" id="{B894D5C4-B69F-452F-9A6B-FC18D2368B6B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7" name="TextBox 14">
          <a:extLst>
            <a:ext uri="{FF2B5EF4-FFF2-40B4-BE49-F238E27FC236}">
              <a16:creationId xmlns:a16="http://schemas.microsoft.com/office/drawing/2014/main" id="{90BAA8F1-9FFF-4DB8-8F7E-472A8369AC53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8" name="TextBox 546">
          <a:extLst>
            <a:ext uri="{FF2B5EF4-FFF2-40B4-BE49-F238E27FC236}">
              <a16:creationId xmlns:a16="http://schemas.microsoft.com/office/drawing/2014/main" id="{453FB0F3-7D95-4536-B398-1DE1A957D4C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69" name="TextBox 547">
          <a:extLst>
            <a:ext uri="{FF2B5EF4-FFF2-40B4-BE49-F238E27FC236}">
              <a16:creationId xmlns:a16="http://schemas.microsoft.com/office/drawing/2014/main" id="{1C508FDB-73B1-48F4-BDB2-40A817B4547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0" name="TextBox 548">
          <a:extLst>
            <a:ext uri="{FF2B5EF4-FFF2-40B4-BE49-F238E27FC236}">
              <a16:creationId xmlns:a16="http://schemas.microsoft.com/office/drawing/2014/main" id="{D379A89B-A718-4623-90B2-E6FD4808987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1" name="TextBox 549">
          <a:extLst>
            <a:ext uri="{FF2B5EF4-FFF2-40B4-BE49-F238E27FC236}">
              <a16:creationId xmlns:a16="http://schemas.microsoft.com/office/drawing/2014/main" id="{049E9F11-2414-49AE-8C22-D2CEDEE62A5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2" name="TextBox 15">
          <a:extLst>
            <a:ext uri="{FF2B5EF4-FFF2-40B4-BE49-F238E27FC236}">
              <a16:creationId xmlns:a16="http://schemas.microsoft.com/office/drawing/2014/main" id="{7E0037A6-77E0-463C-BAAC-B271558DB49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3" name="TextBox 16">
          <a:extLst>
            <a:ext uri="{FF2B5EF4-FFF2-40B4-BE49-F238E27FC236}">
              <a16:creationId xmlns:a16="http://schemas.microsoft.com/office/drawing/2014/main" id="{955490BC-286D-4373-A0FA-F82B3BA75C7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4" name="TextBox 17">
          <a:extLst>
            <a:ext uri="{FF2B5EF4-FFF2-40B4-BE49-F238E27FC236}">
              <a16:creationId xmlns:a16="http://schemas.microsoft.com/office/drawing/2014/main" id="{6694588E-283B-4547-B119-2026D0A38CE0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5" name="TextBox 18">
          <a:extLst>
            <a:ext uri="{FF2B5EF4-FFF2-40B4-BE49-F238E27FC236}">
              <a16:creationId xmlns:a16="http://schemas.microsoft.com/office/drawing/2014/main" id="{4A25C775-D0DC-4A2E-B492-24B0A49DF1B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6" name="TextBox 554">
          <a:extLst>
            <a:ext uri="{FF2B5EF4-FFF2-40B4-BE49-F238E27FC236}">
              <a16:creationId xmlns:a16="http://schemas.microsoft.com/office/drawing/2014/main" id="{6C28E425-8BB1-4655-A981-1E6BB5EEC05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7" name="TextBox 555">
          <a:extLst>
            <a:ext uri="{FF2B5EF4-FFF2-40B4-BE49-F238E27FC236}">
              <a16:creationId xmlns:a16="http://schemas.microsoft.com/office/drawing/2014/main" id="{071EFA80-3143-4E50-B345-D384BE1400B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8" name="TextBox 1">
          <a:extLst>
            <a:ext uri="{FF2B5EF4-FFF2-40B4-BE49-F238E27FC236}">
              <a16:creationId xmlns:a16="http://schemas.microsoft.com/office/drawing/2014/main" id="{42BB917A-E343-4769-AEBC-651573A1854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79" name="TextBox 3">
          <a:extLst>
            <a:ext uri="{FF2B5EF4-FFF2-40B4-BE49-F238E27FC236}">
              <a16:creationId xmlns:a16="http://schemas.microsoft.com/office/drawing/2014/main" id="{C9F7F73F-6B74-43D5-A5DC-37C4EB22EF2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0" name="TextBox 558">
          <a:extLst>
            <a:ext uri="{FF2B5EF4-FFF2-40B4-BE49-F238E27FC236}">
              <a16:creationId xmlns:a16="http://schemas.microsoft.com/office/drawing/2014/main" id="{FFB02FDC-13C0-46C6-AF1F-A2047161D3D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1" name="TextBox 559">
          <a:extLst>
            <a:ext uri="{FF2B5EF4-FFF2-40B4-BE49-F238E27FC236}">
              <a16:creationId xmlns:a16="http://schemas.microsoft.com/office/drawing/2014/main" id="{03669A95-D266-4ACA-BE4B-527335B3BB8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2" name="TextBox 560">
          <a:extLst>
            <a:ext uri="{FF2B5EF4-FFF2-40B4-BE49-F238E27FC236}">
              <a16:creationId xmlns:a16="http://schemas.microsoft.com/office/drawing/2014/main" id="{F003B5F8-C08B-45C8-8E75-BA97F84F37B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3" name="TextBox 561">
          <a:extLst>
            <a:ext uri="{FF2B5EF4-FFF2-40B4-BE49-F238E27FC236}">
              <a16:creationId xmlns:a16="http://schemas.microsoft.com/office/drawing/2014/main" id="{4467961B-C736-44DB-8D20-DCA020B73A5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4" name="TextBox 562">
          <a:extLst>
            <a:ext uri="{FF2B5EF4-FFF2-40B4-BE49-F238E27FC236}">
              <a16:creationId xmlns:a16="http://schemas.microsoft.com/office/drawing/2014/main" id="{702E9F40-961E-472F-BBBF-4411BE13077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5" name="TextBox 563">
          <a:extLst>
            <a:ext uri="{FF2B5EF4-FFF2-40B4-BE49-F238E27FC236}">
              <a16:creationId xmlns:a16="http://schemas.microsoft.com/office/drawing/2014/main" id="{3090E1D8-5B5C-497F-B378-EB9EC3A7CB7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6" name="TextBox 564">
          <a:extLst>
            <a:ext uri="{FF2B5EF4-FFF2-40B4-BE49-F238E27FC236}">
              <a16:creationId xmlns:a16="http://schemas.microsoft.com/office/drawing/2014/main" id="{C81C472F-F397-44BF-BB54-A20216961F0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7" name="TextBox 565">
          <a:extLst>
            <a:ext uri="{FF2B5EF4-FFF2-40B4-BE49-F238E27FC236}">
              <a16:creationId xmlns:a16="http://schemas.microsoft.com/office/drawing/2014/main" id="{8C491586-9D51-4EAA-8162-73D45C2F119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8" name="TextBox 566">
          <a:extLst>
            <a:ext uri="{FF2B5EF4-FFF2-40B4-BE49-F238E27FC236}">
              <a16:creationId xmlns:a16="http://schemas.microsoft.com/office/drawing/2014/main" id="{F29DCD08-D2F3-41A0-BDE6-BB48ADA7DF84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89" name="TextBox 567">
          <a:extLst>
            <a:ext uri="{FF2B5EF4-FFF2-40B4-BE49-F238E27FC236}">
              <a16:creationId xmlns:a16="http://schemas.microsoft.com/office/drawing/2014/main" id="{CC1B9C29-05DF-4A1E-9D3D-9FD29659F9D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0" name="TextBox 13">
          <a:extLst>
            <a:ext uri="{FF2B5EF4-FFF2-40B4-BE49-F238E27FC236}">
              <a16:creationId xmlns:a16="http://schemas.microsoft.com/office/drawing/2014/main" id="{AF029FE1-1D16-4BB4-9362-113EFC263D7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1" name="TextBox 14">
          <a:extLst>
            <a:ext uri="{FF2B5EF4-FFF2-40B4-BE49-F238E27FC236}">
              <a16:creationId xmlns:a16="http://schemas.microsoft.com/office/drawing/2014/main" id="{9A6153F5-DFC5-4BDC-A3F1-9218A03D4FC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2" name="TextBox 570">
          <a:extLst>
            <a:ext uri="{FF2B5EF4-FFF2-40B4-BE49-F238E27FC236}">
              <a16:creationId xmlns:a16="http://schemas.microsoft.com/office/drawing/2014/main" id="{35601C4A-ECF9-4ADC-B100-613995C6F870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3" name="TextBox 571">
          <a:extLst>
            <a:ext uri="{FF2B5EF4-FFF2-40B4-BE49-F238E27FC236}">
              <a16:creationId xmlns:a16="http://schemas.microsoft.com/office/drawing/2014/main" id="{724A79A3-7ABB-4AAD-8D65-5FDBF5F4DCC2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4" name="TextBox 572">
          <a:extLst>
            <a:ext uri="{FF2B5EF4-FFF2-40B4-BE49-F238E27FC236}">
              <a16:creationId xmlns:a16="http://schemas.microsoft.com/office/drawing/2014/main" id="{B8106100-6320-4D4E-AF40-EBE68E3D202C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5" name="TextBox 573">
          <a:extLst>
            <a:ext uri="{FF2B5EF4-FFF2-40B4-BE49-F238E27FC236}">
              <a16:creationId xmlns:a16="http://schemas.microsoft.com/office/drawing/2014/main" id="{B6DB8C0B-9231-4312-81ED-B4BEAA3251E6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6" name="TextBox 15">
          <a:extLst>
            <a:ext uri="{FF2B5EF4-FFF2-40B4-BE49-F238E27FC236}">
              <a16:creationId xmlns:a16="http://schemas.microsoft.com/office/drawing/2014/main" id="{A003C083-9B40-46B0-8206-A4CD961CE2C7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7" name="TextBox 16">
          <a:extLst>
            <a:ext uri="{FF2B5EF4-FFF2-40B4-BE49-F238E27FC236}">
              <a16:creationId xmlns:a16="http://schemas.microsoft.com/office/drawing/2014/main" id="{E03BEAB7-A2B5-4EF5-8504-5C84363D17BC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8" name="TextBox 17">
          <a:extLst>
            <a:ext uri="{FF2B5EF4-FFF2-40B4-BE49-F238E27FC236}">
              <a16:creationId xmlns:a16="http://schemas.microsoft.com/office/drawing/2014/main" id="{51F13297-F44E-4388-8410-6BC4572EA013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199" name="TextBox 18">
          <a:extLst>
            <a:ext uri="{FF2B5EF4-FFF2-40B4-BE49-F238E27FC236}">
              <a16:creationId xmlns:a16="http://schemas.microsoft.com/office/drawing/2014/main" id="{0F539227-9E67-4B3D-A4ED-A446456B7F69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0" name="TextBox 578">
          <a:extLst>
            <a:ext uri="{FF2B5EF4-FFF2-40B4-BE49-F238E27FC236}">
              <a16:creationId xmlns:a16="http://schemas.microsoft.com/office/drawing/2014/main" id="{4FF4F4AC-7FF2-45AA-B940-BFE714497DEC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1" name="TextBox 579">
          <a:extLst>
            <a:ext uri="{FF2B5EF4-FFF2-40B4-BE49-F238E27FC236}">
              <a16:creationId xmlns:a16="http://schemas.microsoft.com/office/drawing/2014/main" id="{3255352C-97AB-49A8-8EE8-9BC006B29D87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2" name="TextBox 1">
          <a:extLst>
            <a:ext uri="{FF2B5EF4-FFF2-40B4-BE49-F238E27FC236}">
              <a16:creationId xmlns:a16="http://schemas.microsoft.com/office/drawing/2014/main" id="{EC7A6EF4-172E-4BC6-9FEE-71406326C65A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3" name="TextBox 3">
          <a:extLst>
            <a:ext uri="{FF2B5EF4-FFF2-40B4-BE49-F238E27FC236}">
              <a16:creationId xmlns:a16="http://schemas.microsoft.com/office/drawing/2014/main" id="{C4616E84-6455-48BF-8A15-21FAD4AF3797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4" name="TextBox 582">
          <a:extLst>
            <a:ext uri="{FF2B5EF4-FFF2-40B4-BE49-F238E27FC236}">
              <a16:creationId xmlns:a16="http://schemas.microsoft.com/office/drawing/2014/main" id="{6FB3C077-88C9-4BD5-A745-D3044FDC6420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5" name="TextBox 583">
          <a:extLst>
            <a:ext uri="{FF2B5EF4-FFF2-40B4-BE49-F238E27FC236}">
              <a16:creationId xmlns:a16="http://schemas.microsoft.com/office/drawing/2014/main" id="{5A344268-175F-47A1-A3D8-358F0306058D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6" name="TextBox 584">
          <a:extLst>
            <a:ext uri="{FF2B5EF4-FFF2-40B4-BE49-F238E27FC236}">
              <a16:creationId xmlns:a16="http://schemas.microsoft.com/office/drawing/2014/main" id="{7711B73B-BDFB-466D-A906-77E49E1E1A38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7" name="TextBox 585">
          <a:extLst>
            <a:ext uri="{FF2B5EF4-FFF2-40B4-BE49-F238E27FC236}">
              <a16:creationId xmlns:a16="http://schemas.microsoft.com/office/drawing/2014/main" id="{D268D2AB-1784-4467-A1F2-B0C45C904CD0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8" name="TextBox 586">
          <a:extLst>
            <a:ext uri="{FF2B5EF4-FFF2-40B4-BE49-F238E27FC236}">
              <a16:creationId xmlns:a16="http://schemas.microsoft.com/office/drawing/2014/main" id="{A92CFF7B-2ECD-440E-BBEB-03312F83294F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09" name="TextBox 587">
          <a:extLst>
            <a:ext uri="{FF2B5EF4-FFF2-40B4-BE49-F238E27FC236}">
              <a16:creationId xmlns:a16="http://schemas.microsoft.com/office/drawing/2014/main" id="{CD217133-A788-4DEF-B76B-768820DFBC04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0" name="TextBox 588">
          <a:extLst>
            <a:ext uri="{FF2B5EF4-FFF2-40B4-BE49-F238E27FC236}">
              <a16:creationId xmlns:a16="http://schemas.microsoft.com/office/drawing/2014/main" id="{D1352BDB-1D3F-4DC2-8866-D5982714214F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1" name="TextBox 589">
          <a:extLst>
            <a:ext uri="{FF2B5EF4-FFF2-40B4-BE49-F238E27FC236}">
              <a16:creationId xmlns:a16="http://schemas.microsoft.com/office/drawing/2014/main" id="{F7943806-ADE4-45EF-9A17-AD71965A733D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2" name="TextBox 590">
          <a:extLst>
            <a:ext uri="{FF2B5EF4-FFF2-40B4-BE49-F238E27FC236}">
              <a16:creationId xmlns:a16="http://schemas.microsoft.com/office/drawing/2014/main" id="{001A8582-F920-4FCE-80F5-BF1F97DF0563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3" name="TextBox 591">
          <a:extLst>
            <a:ext uri="{FF2B5EF4-FFF2-40B4-BE49-F238E27FC236}">
              <a16:creationId xmlns:a16="http://schemas.microsoft.com/office/drawing/2014/main" id="{1CBAB316-D21B-49E4-968F-F0724A10366F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4" name="TextBox 13">
          <a:extLst>
            <a:ext uri="{FF2B5EF4-FFF2-40B4-BE49-F238E27FC236}">
              <a16:creationId xmlns:a16="http://schemas.microsoft.com/office/drawing/2014/main" id="{BCF53B8C-A4F9-484D-8A75-5B57EAB1FBBB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5" name="TextBox 14">
          <a:extLst>
            <a:ext uri="{FF2B5EF4-FFF2-40B4-BE49-F238E27FC236}">
              <a16:creationId xmlns:a16="http://schemas.microsoft.com/office/drawing/2014/main" id="{A707DDD8-9A3E-4F02-8C1C-FCC0EFBBD52B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6" name="TextBox 594">
          <a:extLst>
            <a:ext uri="{FF2B5EF4-FFF2-40B4-BE49-F238E27FC236}">
              <a16:creationId xmlns:a16="http://schemas.microsoft.com/office/drawing/2014/main" id="{2470EF84-5E16-44C2-A278-45F50832ED15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7" name="TextBox 595">
          <a:extLst>
            <a:ext uri="{FF2B5EF4-FFF2-40B4-BE49-F238E27FC236}">
              <a16:creationId xmlns:a16="http://schemas.microsoft.com/office/drawing/2014/main" id="{C42BA0C8-6B15-456F-83B3-369B4F429E9E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8" name="TextBox 596">
          <a:extLst>
            <a:ext uri="{FF2B5EF4-FFF2-40B4-BE49-F238E27FC236}">
              <a16:creationId xmlns:a16="http://schemas.microsoft.com/office/drawing/2014/main" id="{9880E7BA-5E22-48C7-A001-10B3DA0335A4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19" name="TextBox 597">
          <a:extLst>
            <a:ext uri="{FF2B5EF4-FFF2-40B4-BE49-F238E27FC236}">
              <a16:creationId xmlns:a16="http://schemas.microsoft.com/office/drawing/2014/main" id="{E643C4B3-1B6B-4FA4-902A-85462A4CD074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0" name="TextBox 15">
          <a:extLst>
            <a:ext uri="{FF2B5EF4-FFF2-40B4-BE49-F238E27FC236}">
              <a16:creationId xmlns:a16="http://schemas.microsoft.com/office/drawing/2014/main" id="{61750B58-7C34-4A4E-8C4E-E158447F90C5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1" name="TextBox 16">
          <a:extLst>
            <a:ext uri="{FF2B5EF4-FFF2-40B4-BE49-F238E27FC236}">
              <a16:creationId xmlns:a16="http://schemas.microsoft.com/office/drawing/2014/main" id="{C239BFA4-7D79-4318-A50C-946899193FEB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2" name="TextBox 17">
          <a:extLst>
            <a:ext uri="{FF2B5EF4-FFF2-40B4-BE49-F238E27FC236}">
              <a16:creationId xmlns:a16="http://schemas.microsoft.com/office/drawing/2014/main" id="{35DEBED2-A56B-44CF-80B5-9AABC9D780E1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3" name="TextBox 18">
          <a:extLst>
            <a:ext uri="{FF2B5EF4-FFF2-40B4-BE49-F238E27FC236}">
              <a16:creationId xmlns:a16="http://schemas.microsoft.com/office/drawing/2014/main" id="{6DF3D3F8-F9F8-43E6-9F77-2E2EA364B331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4" name="TextBox 602">
          <a:extLst>
            <a:ext uri="{FF2B5EF4-FFF2-40B4-BE49-F238E27FC236}">
              <a16:creationId xmlns:a16="http://schemas.microsoft.com/office/drawing/2014/main" id="{F4540749-6F3D-4F5E-9022-C06E5A63BFDF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5" name="TextBox 603">
          <a:extLst>
            <a:ext uri="{FF2B5EF4-FFF2-40B4-BE49-F238E27FC236}">
              <a16:creationId xmlns:a16="http://schemas.microsoft.com/office/drawing/2014/main" id="{457CED2B-D73F-4DF0-A448-124B10CB86FE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6" name="TextBox 1">
          <a:extLst>
            <a:ext uri="{FF2B5EF4-FFF2-40B4-BE49-F238E27FC236}">
              <a16:creationId xmlns:a16="http://schemas.microsoft.com/office/drawing/2014/main" id="{B55ED510-CEF9-4F2E-88BB-116E461166E5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7" name="TextBox 3">
          <a:extLst>
            <a:ext uri="{FF2B5EF4-FFF2-40B4-BE49-F238E27FC236}">
              <a16:creationId xmlns:a16="http://schemas.microsoft.com/office/drawing/2014/main" id="{849218BE-6C22-4407-9355-23F4401A03AE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8" name="TextBox 606">
          <a:extLst>
            <a:ext uri="{FF2B5EF4-FFF2-40B4-BE49-F238E27FC236}">
              <a16:creationId xmlns:a16="http://schemas.microsoft.com/office/drawing/2014/main" id="{C9728765-D2BC-480A-B5A3-F8ABB9F9FEEC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29" name="TextBox 607">
          <a:extLst>
            <a:ext uri="{FF2B5EF4-FFF2-40B4-BE49-F238E27FC236}">
              <a16:creationId xmlns:a16="http://schemas.microsoft.com/office/drawing/2014/main" id="{A86DB12B-14BA-4A9F-AADC-8F69428192A8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0" name="TextBox 608">
          <a:extLst>
            <a:ext uri="{FF2B5EF4-FFF2-40B4-BE49-F238E27FC236}">
              <a16:creationId xmlns:a16="http://schemas.microsoft.com/office/drawing/2014/main" id="{A5CDDABD-2E72-4B7B-BD06-027477AD4016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1" name="TextBox 609">
          <a:extLst>
            <a:ext uri="{FF2B5EF4-FFF2-40B4-BE49-F238E27FC236}">
              <a16:creationId xmlns:a16="http://schemas.microsoft.com/office/drawing/2014/main" id="{5E9092E5-B875-48BB-8DFA-6C39333BB421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2" name="TextBox 610">
          <a:extLst>
            <a:ext uri="{FF2B5EF4-FFF2-40B4-BE49-F238E27FC236}">
              <a16:creationId xmlns:a16="http://schemas.microsoft.com/office/drawing/2014/main" id="{2D7683D2-E879-4FD6-92E5-FFB003ECFF8A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3" name="TextBox 611">
          <a:extLst>
            <a:ext uri="{FF2B5EF4-FFF2-40B4-BE49-F238E27FC236}">
              <a16:creationId xmlns:a16="http://schemas.microsoft.com/office/drawing/2014/main" id="{6EC92EBF-6543-4BAD-8D26-920C31F2FFC1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4" name="TextBox 612">
          <a:extLst>
            <a:ext uri="{FF2B5EF4-FFF2-40B4-BE49-F238E27FC236}">
              <a16:creationId xmlns:a16="http://schemas.microsoft.com/office/drawing/2014/main" id="{9229CBFA-BF3D-4503-805F-A9172499502B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5" name="TextBox 613">
          <a:extLst>
            <a:ext uri="{FF2B5EF4-FFF2-40B4-BE49-F238E27FC236}">
              <a16:creationId xmlns:a16="http://schemas.microsoft.com/office/drawing/2014/main" id="{0C63E659-401E-4E5C-AD54-CBE6631F4DE5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6" name="TextBox 614">
          <a:extLst>
            <a:ext uri="{FF2B5EF4-FFF2-40B4-BE49-F238E27FC236}">
              <a16:creationId xmlns:a16="http://schemas.microsoft.com/office/drawing/2014/main" id="{477603B5-6047-4C55-9715-C4D94A77D817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7" name="TextBox 615">
          <a:extLst>
            <a:ext uri="{FF2B5EF4-FFF2-40B4-BE49-F238E27FC236}">
              <a16:creationId xmlns:a16="http://schemas.microsoft.com/office/drawing/2014/main" id="{8EF6D031-9652-4726-83F2-73091649CE77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8" name="TextBox 13">
          <a:extLst>
            <a:ext uri="{FF2B5EF4-FFF2-40B4-BE49-F238E27FC236}">
              <a16:creationId xmlns:a16="http://schemas.microsoft.com/office/drawing/2014/main" id="{EA115620-76DC-43F3-95C2-7F386452A5F2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39" name="TextBox 14">
          <a:extLst>
            <a:ext uri="{FF2B5EF4-FFF2-40B4-BE49-F238E27FC236}">
              <a16:creationId xmlns:a16="http://schemas.microsoft.com/office/drawing/2014/main" id="{4CDC993D-7BB1-404C-BDCD-645709996D9C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0" name="TextBox 618">
          <a:extLst>
            <a:ext uri="{FF2B5EF4-FFF2-40B4-BE49-F238E27FC236}">
              <a16:creationId xmlns:a16="http://schemas.microsoft.com/office/drawing/2014/main" id="{C60D4234-DD02-47F2-AC8A-17657D2277D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1" name="TextBox 619">
          <a:extLst>
            <a:ext uri="{FF2B5EF4-FFF2-40B4-BE49-F238E27FC236}">
              <a16:creationId xmlns:a16="http://schemas.microsoft.com/office/drawing/2014/main" id="{A3DA0D22-F2A7-475B-9B0D-73FE962DC4DE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2" name="TextBox 620">
          <a:extLst>
            <a:ext uri="{FF2B5EF4-FFF2-40B4-BE49-F238E27FC236}">
              <a16:creationId xmlns:a16="http://schemas.microsoft.com/office/drawing/2014/main" id="{D0236EA0-4424-45E5-9FD4-06FE0D84CF0C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3" name="TextBox 621">
          <a:extLst>
            <a:ext uri="{FF2B5EF4-FFF2-40B4-BE49-F238E27FC236}">
              <a16:creationId xmlns:a16="http://schemas.microsoft.com/office/drawing/2014/main" id="{450A4E58-4A99-4BE9-A037-B0CF27F99CE3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4" name="TextBox 15">
          <a:extLst>
            <a:ext uri="{FF2B5EF4-FFF2-40B4-BE49-F238E27FC236}">
              <a16:creationId xmlns:a16="http://schemas.microsoft.com/office/drawing/2014/main" id="{98E51CCD-7041-4550-81AB-C9B91B3A3DF0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5" name="TextBox 16">
          <a:extLst>
            <a:ext uri="{FF2B5EF4-FFF2-40B4-BE49-F238E27FC236}">
              <a16:creationId xmlns:a16="http://schemas.microsoft.com/office/drawing/2014/main" id="{828DADEA-1104-4DCD-A291-72E5CBEEF6C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6" name="TextBox 17">
          <a:extLst>
            <a:ext uri="{FF2B5EF4-FFF2-40B4-BE49-F238E27FC236}">
              <a16:creationId xmlns:a16="http://schemas.microsoft.com/office/drawing/2014/main" id="{0638540F-CAA3-428F-B5BA-BE15D8527352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7" name="TextBox 18">
          <a:extLst>
            <a:ext uri="{FF2B5EF4-FFF2-40B4-BE49-F238E27FC236}">
              <a16:creationId xmlns:a16="http://schemas.microsoft.com/office/drawing/2014/main" id="{16B305D1-F377-46BE-85D5-1F425375606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8" name="TextBox 626">
          <a:extLst>
            <a:ext uri="{FF2B5EF4-FFF2-40B4-BE49-F238E27FC236}">
              <a16:creationId xmlns:a16="http://schemas.microsoft.com/office/drawing/2014/main" id="{63E643A8-89D3-413F-B3DC-1D5F5B300264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49" name="TextBox 627">
          <a:extLst>
            <a:ext uri="{FF2B5EF4-FFF2-40B4-BE49-F238E27FC236}">
              <a16:creationId xmlns:a16="http://schemas.microsoft.com/office/drawing/2014/main" id="{BD05B8DC-D6FE-4064-A592-D089E58CC2E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0" name="TextBox 1">
          <a:extLst>
            <a:ext uri="{FF2B5EF4-FFF2-40B4-BE49-F238E27FC236}">
              <a16:creationId xmlns:a16="http://schemas.microsoft.com/office/drawing/2014/main" id="{0FB996D5-B6D8-4FE8-811A-7B20D69C93EF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1" name="TextBox 3">
          <a:extLst>
            <a:ext uri="{FF2B5EF4-FFF2-40B4-BE49-F238E27FC236}">
              <a16:creationId xmlns:a16="http://schemas.microsoft.com/office/drawing/2014/main" id="{3988B923-F143-4658-8AC6-C096ED76D377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2" name="TextBox 630">
          <a:extLst>
            <a:ext uri="{FF2B5EF4-FFF2-40B4-BE49-F238E27FC236}">
              <a16:creationId xmlns:a16="http://schemas.microsoft.com/office/drawing/2014/main" id="{5F627F7D-A83B-41D6-A89D-FB2C83798951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3" name="TextBox 631">
          <a:extLst>
            <a:ext uri="{FF2B5EF4-FFF2-40B4-BE49-F238E27FC236}">
              <a16:creationId xmlns:a16="http://schemas.microsoft.com/office/drawing/2014/main" id="{9497AB06-2B36-49BD-85B0-7CAFCD75DB56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4" name="TextBox 632">
          <a:extLst>
            <a:ext uri="{FF2B5EF4-FFF2-40B4-BE49-F238E27FC236}">
              <a16:creationId xmlns:a16="http://schemas.microsoft.com/office/drawing/2014/main" id="{59406F71-AC00-4FE7-818D-0BD8716228A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5" name="TextBox 633">
          <a:extLst>
            <a:ext uri="{FF2B5EF4-FFF2-40B4-BE49-F238E27FC236}">
              <a16:creationId xmlns:a16="http://schemas.microsoft.com/office/drawing/2014/main" id="{EF6BE448-67F8-4ED0-AAEB-5B20CC355C65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6" name="TextBox 634">
          <a:extLst>
            <a:ext uri="{FF2B5EF4-FFF2-40B4-BE49-F238E27FC236}">
              <a16:creationId xmlns:a16="http://schemas.microsoft.com/office/drawing/2014/main" id="{62750076-FA47-4162-87EE-06BE6EC0BF23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7" name="TextBox 635">
          <a:extLst>
            <a:ext uri="{FF2B5EF4-FFF2-40B4-BE49-F238E27FC236}">
              <a16:creationId xmlns:a16="http://schemas.microsoft.com/office/drawing/2014/main" id="{99090C15-AD41-4C09-86DB-EC0DD271192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8" name="TextBox 636">
          <a:extLst>
            <a:ext uri="{FF2B5EF4-FFF2-40B4-BE49-F238E27FC236}">
              <a16:creationId xmlns:a16="http://schemas.microsoft.com/office/drawing/2014/main" id="{70F1D1DA-379B-4942-BFDB-CD503E40910C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59" name="TextBox 637">
          <a:extLst>
            <a:ext uri="{FF2B5EF4-FFF2-40B4-BE49-F238E27FC236}">
              <a16:creationId xmlns:a16="http://schemas.microsoft.com/office/drawing/2014/main" id="{408699F6-8BB0-4AC0-86B9-58624A35A632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0" name="TextBox 638">
          <a:extLst>
            <a:ext uri="{FF2B5EF4-FFF2-40B4-BE49-F238E27FC236}">
              <a16:creationId xmlns:a16="http://schemas.microsoft.com/office/drawing/2014/main" id="{2C592AE7-233C-4931-9E7E-B59E4AEC85E1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1" name="TextBox 639">
          <a:extLst>
            <a:ext uri="{FF2B5EF4-FFF2-40B4-BE49-F238E27FC236}">
              <a16:creationId xmlns:a16="http://schemas.microsoft.com/office/drawing/2014/main" id="{343CBF45-AAC4-4E0D-8A0F-A6DD7740ABFC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2" name="TextBox 13">
          <a:extLst>
            <a:ext uri="{FF2B5EF4-FFF2-40B4-BE49-F238E27FC236}">
              <a16:creationId xmlns:a16="http://schemas.microsoft.com/office/drawing/2014/main" id="{1109217E-7BB5-4C98-A767-3E33212B8D37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3" name="TextBox 14">
          <a:extLst>
            <a:ext uri="{FF2B5EF4-FFF2-40B4-BE49-F238E27FC236}">
              <a16:creationId xmlns:a16="http://schemas.microsoft.com/office/drawing/2014/main" id="{20E3EA94-FC0B-430C-B165-90BDDD320597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4" name="TextBox 642">
          <a:extLst>
            <a:ext uri="{FF2B5EF4-FFF2-40B4-BE49-F238E27FC236}">
              <a16:creationId xmlns:a16="http://schemas.microsoft.com/office/drawing/2014/main" id="{3F914C2C-D928-4AFA-9259-A98056BDE220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5" name="TextBox 643">
          <a:extLst>
            <a:ext uri="{FF2B5EF4-FFF2-40B4-BE49-F238E27FC236}">
              <a16:creationId xmlns:a16="http://schemas.microsoft.com/office/drawing/2014/main" id="{C755662A-9903-4516-BAAF-345103C16840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6" name="TextBox 644">
          <a:extLst>
            <a:ext uri="{FF2B5EF4-FFF2-40B4-BE49-F238E27FC236}">
              <a16:creationId xmlns:a16="http://schemas.microsoft.com/office/drawing/2014/main" id="{C943CFBA-9B10-4C2A-80F2-923006ACC6AA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7" name="TextBox 645">
          <a:extLst>
            <a:ext uri="{FF2B5EF4-FFF2-40B4-BE49-F238E27FC236}">
              <a16:creationId xmlns:a16="http://schemas.microsoft.com/office/drawing/2014/main" id="{047B9420-7DB1-46EA-8831-B41CEB9B5899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8" name="TextBox 15">
          <a:extLst>
            <a:ext uri="{FF2B5EF4-FFF2-40B4-BE49-F238E27FC236}">
              <a16:creationId xmlns:a16="http://schemas.microsoft.com/office/drawing/2014/main" id="{57343C43-EEA8-4154-A4D0-7DA2B10B4A40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69" name="TextBox 16">
          <a:extLst>
            <a:ext uri="{FF2B5EF4-FFF2-40B4-BE49-F238E27FC236}">
              <a16:creationId xmlns:a16="http://schemas.microsoft.com/office/drawing/2014/main" id="{2F2FBE2B-E21D-41DC-915C-D91B499A0803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0" name="TextBox 17">
          <a:extLst>
            <a:ext uri="{FF2B5EF4-FFF2-40B4-BE49-F238E27FC236}">
              <a16:creationId xmlns:a16="http://schemas.microsoft.com/office/drawing/2014/main" id="{E6AF5CE9-3060-4D11-BD9F-ACBFFD5C0C23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1" name="TextBox 18">
          <a:extLst>
            <a:ext uri="{FF2B5EF4-FFF2-40B4-BE49-F238E27FC236}">
              <a16:creationId xmlns:a16="http://schemas.microsoft.com/office/drawing/2014/main" id="{2372DAAC-ACDD-482D-BF9A-5CD5A8F9F7AA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2" name="TextBox 650">
          <a:extLst>
            <a:ext uri="{FF2B5EF4-FFF2-40B4-BE49-F238E27FC236}">
              <a16:creationId xmlns:a16="http://schemas.microsoft.com/office/drawing/2014/main" id="{E51BA9EF-B20A-4BF7-9FF9-7F21B014F890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3" name="TextBox 651">
          <a:extLst>
            <a:ext uri="{FF2B5EF4-FFF2-40B4-BE49-F238E27FC236}">
              <a16:creationId xmlns:a16="http://schemas.microsoft.com/office/drawing/2014/main" id="{FC0B7787-518C-46D4-B47A-BF75074E4F23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4" name="TextBox 1">
          <a:extLst>
            <a:ext uri="{FF2B5EF4-FFF2-40B4-BE49-F238E27FC236}">
              <a16:creationId xmlns:a16="http://schemas.microsoft.com/office/drawing/2014/main" id="{05C94DED-CC47-4BAE-AE37-2843D236546C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5" name="TextBox 3">
          <a:extLst>
            <a:ext uri="{FF2B5EF4-FFF2-40B4-BE49-F238E27FC236}">
              <a16:creationId xmlns:a16="http://schemas.microsoft.com/office/drawing/2014/main" id="{B77E1DC4-0FBF-4308-B188-B148C3770A4E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6" name="TextBox 654">
          <a:extLst>
            <a:ext uri="{FF2B5EF4-FFF2-40B4-BE49-F238E27FC236}">
              <a16:creationId xmlns:a16="http://schemas.microsoft.com/office/drawing/2014/main" id="{358C4636-CC03-4122-BAA2-0B2A3D788137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7" name="TextBox 655">
          <a:extLst>
            <a:ext uri="{FF2B5EF4-FFF2-40B4-BE49-F238E27FC236}">
              <a16:creationId xmlns:a16="http://schemas.microsoft.com/office/drawing/2014/main" id="{05CDE380-A096-485C-84E8-5036260018E9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8" name="TextBox 656">
          <a:extLst>
            <a:ext uri="{FF2B5EF4-FFF2-40B4-BE49-F238E27FC236}">
              <a16:creationId xmlns:a16="http://schemas.microsoft.com/office/drawing/2014/main" id="{286F1532-A26A-4FA8-B7A2-2B512F9879D0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79" name="TextBox 657">
          <a:extLst>
            <a:ext uri="{FF2B5EF4-FFF2-40B4-BE49-F238E27FC236}">
              <a16:creationId xmlns:a16="http://schemas.microsoft.com/office/drawing/2014/main" id="{B6AAC23D-4250-4D6C-9FA7-F27FC4F0FDD3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0" name="TextBox 658">
          <a:extLst>
            <a:ext uri="{FF2B5EF4-FFF2-40B4-BE49-F238E27FC236}">
              <a16:creationId xmlns:a16="http://schemas.microsoft.com/office/drawing/2014/main" id="{2A94CB02-A296-4205-8C46-9CBE604231F7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1" name="TextBox 659">
          <a:extLst>
            <a:ext uri="{FF2B5EF4-FFF2-40B4-BE49-F238E27FC236}">
              <a16:creationId xmlns:a16="http://schemas.microsoft.com/office/drawing/2014/main" id="{FEE113C9-F870-4F5A-ACD0-5EE9BEAB0D67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2" name="TextBox 660">
          <a:extLst>
            <a:ext uri="{FF2B5EF4-FFF2-40B4-BE49-F238E27FC236}">
              <a16:creationId xmlns:a16="http://schemas.microsoft.com/office/drawing/2014/main" id="{3D3EA4C6-42C8-479C-A9FE-F7AE937AEF55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3" name="TextBox 661">
          <a:extLst>
            <a:ext uri="{FF2B5EF4-FFF2-40B4-BE49-F238E27FC236}">
              <a16:creationId xmlns:a16="http://schemas.microsoft.com/office/drawing/2014/main" id="{5C9AD735-50C4-4DB2-AD17-8437F6CE3021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4" name="TextBox 662">
          <a:extLst>
            <a:ext uri="{FF2B5EF4-FFF2-40B4-BE49-F238E27FC236}">
              <a16:creationId xmlns:a16="http://schemas.microsoft.com/office/drawing/2014/main" id="{A7B80868-00BD-49B4-9124-3B73ED062A97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5" name="TextBox 663">
          <a:extLst>
            <a:ext uri="{FF2B5EF4-FFF2-40B4-BE49-F238E27FC236}">
              <a16:creationId xmlns:a16="http://schemas.microsoft.com/office/drawing/2014/main" id="{EDBFA7E3-96F9-40B8-ADEC-8FC212D28BB5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6" name="TextBox 13">
          <a:extLst>
            <a:ext uri="{FF2B5EF4-FFF2-40B4-BE49-F238E27FC236}">
              <a16:creationId xmlns:a16="http://schemas.microsoft.com/office/drawing/2014/main" id="{D5DAA200-5494-45F9-9C33-FBEF15511B0F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7" name="TextBox 14">
          <a:extLst>
            <a:ext uri="{FF2B5EF4-FFF2-40B4-BE49-F238E27FC236}">
              <a16:creationId xmlns:a16="http://schemas.microsoft.com/office/drawing/2014/main" id="{CBA00D4B-8F24-4937-97FA-42549E4C6EF1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8" name="TextBox 666">
          <a:extLst>
            <a:ext uri="{FF2B5EF4-FFF2-40B4-BE49-F238E27FC236}">
              <a16:creationId xmlns:a16="http://schemas.microsoft.com/office/drawing/2014/main" id="{A2E99ABE-DB0A-4DD5-A26C-A37FCE2D88B4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89" name="TextBox 667">
          <a:extLst>
            <a:ext uri="{FF2B5EF4-FFF2-40B4-BE49-F238E27FC236}">
              <a16:creationId xmlns:a16="http://schemas.microsoft.com/office/drawing/2014/main" id="{8677E033-51BA-472D-9525-823C58D24968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0" name="TextBox 668">
          <a:extLst>
            <a:ext uri="{FF2B5EF4-FFF2-40B4-BE49-F238E27FC236}">
              <a16:creationId xmlns:a16="http://schemas.microsoft.com/office/drawing/2014/main" id="{CCF0FC3F-1E70-46C1-A757-8D8A434D2359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1" name="TextBox 669">
          <a:extLst>
            <a:ext uri="{FF2B5EF4-FFF2-40B4-BE49-F238E27FC236}">
              <a16:creationId xmlns:a16="http://schemas.microsoft.com/office/drawing/2014/main" id="{698C3BF8-4E6B-4C56-A336-4677C3AC1A62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2" name="TextBox 15">
          <a:extLst>
            <a:ext uri="{FF2B5EF4-FFF2-40B4-BE49-F238E27FC236}">
              <a16:creationId xmlns:a16="http://schemas.microsoft.com/office/drawing/2014/main" id="{C057C33C-D537-428C-A7CD-A4F6677D6F80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3" name="TextBox 16">
          <a:extLst>
            <a:ext uri="{FF2B5EF4-FFF2-40B4-BE49-F238E27FC236}">
              <a16:creationId xmlns:a16="http://schemas.microsoft.com/office/drawing/2014/main" id="{BA7A955D-6946-4860-87C8-76DF7BC2A22B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4" name="TextBox 17">
          <a:extLst>
            <a:ext uri="{FF2B5EF4-FFF2-40B4-BE49-F238E27FC236}">
              <a16:creationId xmlns:a16="http://schemas.microsoft.com/office/drawing/2014/main" id="{82492881-CF8D-49FC-A0A6-6966248CD18D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5" name="TextBox 18">
          <a:extLst>
            <a:ext uri="{FF2B5EF4-FFF2-40B4-BE49-F238E27FC236}">
              <a16:creationId xmlns:a16="http://schemas.microsoft.com/office/drawing/2014/main" id="{154F7DB9-0E90-4769-BEF9-02C9BC0858AC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6" name="TextBox 674">
          <a:extLst>
            <a:ext uri="{FF2B5EF4-FFF2-40B4-BE49-F238E27FC236}">
              <a16:creationId xmlns:a16="http://schemas.microsoft.com/office/drawing/2014/main" id="{AA5177EB-32A2-4D24-B2FF-4CA4095BF602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7" name="TextBox 675">
          <a:extLst>
            <a:ext uri="{FF2B5EF4-FFF2-40B4-BE49-F238E27FC236}">
              <a16:creationId xmlns:a16="http://schemas.microsoft.com/office/drawing/2014/main" id="{32678AE2-A3D7-4853-9561-1BFC07A93CB3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8" name="TextBox 1">
          <a:extLst>
            <a:ext uri="{FF2B5EF4-FFF2-40B4-BE49-F238E27FC236}">
              <a16:creationId xmlns:a16="http://schemas.microsoft.com/office/drawing/2014/main" id="{5C506D56-211E-4A36-9225-71009D65ACF6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299" name="TextBox 3">
          <a:extLst>
            <a:ext uri="{FF2B5EF4-FFF2-40B4-BE49-F238E27FC236}">
              <a16:creationId xmlns:a16="http://schemas.microsoft.com/office/drawing/2014/main" id="{D101DCAC-4AF3-42C9-A9A2-AE39EFA91FD5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0" name="TextBox 678">
          <a:extLst>
            <a:ext uri="{FF2B5EF4-FFF2-40B4-BE49-F238E27FC236}">
              <a16:creationId xmlns:a16="http://schemas.microsoft.com/office/drawing/2014/main" id="{28292CEF-B11B-498D-8224-E32E4A5749CC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1" name="TextBox 679">
          <a:extLst>
            <a:ext uri="{FF2B5EF4-FFF2-40B4-BE49-F238E27FC236}">
              <a16:creationId xmlns:a16="http://schemas.microsoft.com/office/drawing/2014/main" id="{31467605-61A6-4574-8D66-A536946682F7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2" name="TextBox 680">
          <a:extLst>
            <a:ext uri="{FF2B5EF4-FFF2-40B4-BE49-F238E27FC236}">
              <a16:creationId xmlns:a16="http://schemas.microsoft.com/office/drawing/2014/main" id="{826F1AA6-B99A-4674-846F-835C71F8F759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3" name="TextBox 681">
          <a:extLst>
            <a:ext uri="{FF2B5EF4-FFF2-40B4-BE49-F238E27FC236}">
              <a16:creationId xmlns:a16="http://schemas.microsoft.com/office/drawing/2014/main" id="{0FA1DABE-6A5A-4FB2-AEF6-1ABA2C01079D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4" name="TextBox 682">
          <a:extLst>
            <a:ext uri="{FF2B5EF4-FFF2-40B4-BE49-F238E27FC236}">
              <a16:creationId xmlns:a16="http://schemas.microsoft.com/office/drawing/2014/main" id="{3F685868-E352-4D79-B07A-80AE70C2BA34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5" name="TextBox 683">
          <a:extLst>
            <a:ext uri="{FF2B5EF4-FFF2-40B4-BE49-F238E27FC236}">
              <a16:creationId xmlns:a16="http://schemas.microsoft.com/office/drawing/2014/main" id="{2B518B17-731C-44D2-93F3-067DAA331FB6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6" name="TextBox 684">
          <a:extLst>
            <a:ext uri="{FF2B5EF4-FFF2-40B4-BE49-F238E27FC236}">
              <a16:creationId xmlns:a16="http://schemas.microsoft.com/office/drawing/2014/main" id="{655FAB09-40BB-4936-96FE-4F3B0CBD87F3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7" name="TextBox 685">
          <a:extLst>
            <a:ext uri="{FF2B5EF4-FFF2-40B4-BE49-F238E27FC236}">
              <a16:creationId xmlns:a16="http://schemas.microsoft.com/office/drawing/2014/main" id="{009A77A5-4E4C-4CFC-96E3-422CB95B1896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8" name="TextBox 686">
          <a:extLst>
            <a:ext uri="{FF2B5EF4-FFF2-40B4-BE49-F238E27FC236}">
              <a16:creationId xmlns:a16="http://schemas.microsoft.com/office/drawing/2014/main" id="{4C9619BE-BA06-4063-A72D-22D23168A2F4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09" name="TextBox 687">
          <a:extLst>
            <a:ext uri="{FF2B5EF4-FFF2-40B4-BE49-F238E27FC236}">
              <a16:creationId xmlns:a16="http://schemas.microsoft.com/office/drawing/2014/main" id="{318BD21A-0F71-4D53-A014-A88D4EEF4A82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0" name="TextBox 13">
          <a:extLst>
            <a:ext uri="{FF2B5EF4-FFF2-40B4-BE49-F238E27FC236}">
              <a16:creationId xmlns:a16="http://schemas.microsoft.com/office/drawing/2014/main" id="{7B28FFB8-9056-41D0-9517-0F690BC45D17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1" name="TextBox 14">
          <a:extLst>
            <a:ext uri="{FF2B5EF4-FFF2-40B4-BE49-F238E27FC236}">
              <a16:creationId xmlns:a16="http://schemas.microsoft.com/office/drawing/2014/main" id="{2FFEAB0A-085E-4FE8-A7F8-5F18E2E70841}"/>
            </a:ext>
          </a:extLst>
        </xdr:cNvPr>
        <xdr:cNvSpPr txBox="1"/>
      </xdr:nvSpPr>
      <xdr:spPr>
        <a:xfrm>
          <a:off x="1909762" y="29622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2" name="TextBox 690">
          <a:extLst>
            <a:ext uri="{FF2B5EF4-FFF2-40B4-BE49-F238E27FC236}">
              <a16:creationId xmlns:a16="http://schemas.microsoft.com/office/drawing/2014/main" id="{D41BCA53-A9A9-43E7-B1D0-1A5C5D725F79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3" name="TextBox 691">
          <a:extLst>
            <a:ext uri="{FF2B5EF4-FFF2-40B4-BE49-F238E27FC236}">
              <a16:creationId xmlns:a16="http://schemas.microsoft.com/office/drawing/2014/main" id="{966ABD76-C4AD-40A7-99B9-141DFBC41C6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4" name="TextBox 692">
          <a:extLst>
            <a:ext uri="{FF2B5EF4-FFF2-40B4-BE49-F238E27FC236}">
              <a16:creationId xmlns:a16="http://schemas.microsoft.com/office/drawing/2014/main" id="{6DF7EFE8-D75B-45E6-8625-F83ABC1E76D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5" name="TextBox 693">
          <a:extLst>
            <a:ext uri="{FF2B5EF4-FFF2-40B4-BE49-F238E27FC236}">
              <a16:creationId xmlns:a16="http://schemas.microsoft.com/office/drawing/2014/main" id="{A6938807-12E2-4DA6-8F5E-DF5197EE1F1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6" name="TextBox 15">
          <a:extLst>
            <a:ext uri="{FF2B5EF4-FFF2-40B4-BE49-F238E27FC236}">
              <a16:creationId xmlns:a16="http://schemas.microsoft.com/office/drawing/2014/main" id="{EDD65FC5-3F67-4610-B8BE-35CA064BB526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7" name="TextBox 16">
          <a:extLst>
            <a:ext uri="{FF2B5EF4-FFF2-40B4-BE49-F238E27FC236}">
              <a16:creationId xmlns:a16="http://schemas.microsoft.com/office/drawing/2014/main" id="{1D0FCE1D-0E54-4578-AF6E-11A66A428016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8" name="TextBox 17">
          <a:extLst>
            <a:ext uri="{FF2B5EF4-FFF2-40B4-BE49-F238E27FC236}">
              <a16:creationId xmlns:a16="http://schemas.microsoft.com/office/drawing/2014/main" id="{B9C5BC45-74C0-4E26-B3BA-931DBB4E305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19" name="TextBox 18">
          <a:extLst>
            <a:ext uri="{FF2B5EF4-FFF2-40B4-BE49-F238E27FC236}">
              <a16:creationId xmlns:a16="http://schemas.microsoft.com/office/drawing/2014/main" id="{1B974256-F823-4777-98C8-AEA158F729F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0" name="TextBox 698">
          <a:extLst>
            <a:ext uri="{FF2B5EF4-FFF2-40B4-BE49-F238E27FC236}">
              <a16:creationId xmlns:a16="http://schemas.microsoft.com/office/drawing/2014/main" id="{8235D8AA-B8E4-49C9-A966-0BBA02F5EBC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1" name="TextBox 699">
          <a:extLst>
            <a:ext uri="{FF2B5EF4-FFF2-40B4-BE49-F238E27FC236}">
              <a16:creationId xmlns:a16="http://schemas.microsoft.com/office/drawing/2014/main" id="{FA7B8BC5-8EA0-4559-A891-D99CF781EB13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2" name="TextBox 1">
          <a:extLst>
            <a:ext uri="{FF2B5EF4-FFF2-40B4-BE49-F238E27FC236}">
              <a16:creationId xmlns:a16="http://schemas.microsoft.com/office/drawing/2014/main" id="{BF7410B0-1458-4ED5-A75F-DDABEA85EC5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3" name="TextBox 3">
          <a:extLst>
            <a:ext uri="{FF2B5EF4-FFF2-40B4-BE49-F238E27FC236}">
              <a16:creationId xmlns:a16="http://schemas.microsoft.com/office/drawing/2014/main" id="{6965CDAF-CD34-41E2-B131-09B6E5C559A4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4" name="TextBox 702">
          <a:extLst>
            <a:ext uri="{FF2B5EF4-FFF2-40B4-BE49-F238E27FC236}">
              <a16:creationId xmlns:a16="http://schemas.microsoft.com/office/drawing/2014/main" id="{88833DF0-B3B9-433F-ABDB-00579B0462C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5" name="TextBox 703">
          <a:extLst>
            <a:ext uri="{FF2B5EF4-FFF2-40B4-BE49-F238E27FC236}">
              <a16:creationId xmlns:a16="http://schemas.microsoft.com/office/drawing/2014/main" id="{0481EE87-A1AB-46B4-A948-2E283950841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6" name="TextBox 704">
          <a:extLst>
            <a:ext uri="{FF2B5EF4-FFF2-40B4-BE49-F238E27FC236}">
              <a16:creationId xmlns:a16="http://schemas.microsoft.com/office/drawing/2014/main" id="{389CA5DD-980B-4F0B-9C4D-8E28DF72F705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7" name="TextBox 705">
          <a:extLst>
            <a:ext uri="{FF2B5EF4-FFF2-40B4-BE49-F238E27FC236}">
              <a16:creationId xmlns:a16="http://schemas.microsoft.com/office/drawing/2014/main" id="{F8DE14CF-8FD3-4969-B411-A2AD9DCF01C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8" name="TextBox 706">
          <a:extLst>
            <a:ext uri="{FF2B5EF4-FFF2-40B4-BE49-F238E27FC236}">
              <a16:creationId xmlns:a16="http://schemas.microsoft.com/office/drawing/2014/main" id="{8AB690C3-2D2D-4AD2-9151-19F3F2CA6FCA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29" name="TextBox 707">
          <a:extLst>
            <a:ext uri="{FF2B5EF4-FFF2-40B4-BE49-F238E27FC236}">
              <a16:creationId xmlns:a16="http://schemas.microsoft.com/office/drawing/2014/main" id="{F77B1A24-18AB-466D-AC91-4AAA05DCFC3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0" name="TextBox 708">
          <a:extLst>
            <a:ext uri="{FF2B5EF4-FFF2-40B4-BE49-F238E27FC236}">
              <a16:creationId xmlns:a16="http://schemas.microsoft.com/office/drawing/2014/main" id="{D1DC0D03-5DC8-46F8-8AC2-093504CD2EC6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1" name="TextBox 709">
          <a:extLst>
            <a:ext uri="{FF2B5EF4-FFF2-40B4-BE49-F238E27FC236}">
              <a16:creationId xmlns:a16="http://schemas.microsoft.com/office/drawing/2014/main" id="{4FCD66A3-36A5-497D-A210-273F7EBBB7C4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2" name="TextBox 710">
          <a:extLst>
            <a:ext uri="{FF2B5EF4-FFF2-40B4-BE49-F238E27FC236}">
              <a16:creationId xmlns:a16="http://schemas.microsoft.com/office/drawing/2014/main" id="{C4546FDD-1CE0-47C2-B0DE-46F49CD577B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3" name="TextBox 711">
          <a:extLst>
            <a:ext uri="{FF2B5EF4-FFF2-40B4-BE49-F238E27FC236}">
              <a16:creationId xmlns:a16="http://schemas.microsoft.com/office/drawing/2014/main" id="{A67828F1-E2EB-46D4-8126-8A0604FFD31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4" name="TextBox 13">
          <a:extLst>
            <a:ext uri="{FF2B5EF4-FFF2-40B4-BE49-F238E27FC236}">
              <a16:creationId xmlns:a16="http://schemas.microsoft.com/office/drawing/2014/main" id="{D7F9482F-E1BB-47C3-95FB-D66A9AA6999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5" name="TextBox 14">
          <a:extLst>
            <a:ext uri="{FF2B5EF4-FFF2-40B4-BE49-F238E27FC236}">
              <a16:creationId xmlns:a16="http://schemas.microsoft.com/office/drawing/2014/main" id="{CECD25E8-A1E5-4B7F-9739-B8AFEFD7F8D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6" name="TextBox 714">
          <a:extLst>
            <a:ext uri="{FF2B5EF4-FFF2-40B4-BE49-F238E27FC236}">
              <a16:creationId xmlns:a16="http://schemas.microsoft.com/office/drawing/2014/main" id="{95F80FD4-90E1-42E4-A37D-CF7A3D012250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7" name="TextBox 715">
          <a:extLst>
            <a:ext uri="{FF2B5EF4-FFF2-40B4-BE49-F238E27FC236}">
              <a16:creationId xmlns:a16="http://schemas.microsoft.com/office/drawing/2014/main" id="{FF191BA6-5B01-40A6-9B1B-59A65A20AE9A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8" name="TextBox 716">
          <a:extLst>
            <a:ext uri="{FF2B5EF4-FFF2-40B4-BE49-F238E27FC236}">
              <a16:creationId xmlns:a16="http://schemas.microsoft.com/office/drawing/2014/main" id="{36A99344-8679-49F6-BDFC-68A2AC8A4005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39" name="TextBox 717">
          <a:extLst>
            <a:ext uri="{FF2B5EF4-FFF2-40B4-BE49-F238E27FC236}">
              <a16:creationId xmlns:a16="http://schemas.microsoft.com/office/drawing/2014/main" id="{2B6988B1-E19F-4F1C-85B7-3860943BDB33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0" name="TextBox 15">
          <a:extLst>
            <a:ext uri="{FF2B5EF4-FFF2-40B4-BE49-F238E27FC236}">
              <a16:creationId xmlns:a16="http://schemas.microsoft.com/office/drawing/2014/main" id="{0FAA116B-FC7E-48F6-81EE-0C47F9A75E2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1" name="TextBox 16">
          <a:extLst>
            <a:ext uri="{FF2B5EF4-FFF2-40B4-BE49-F238E27FC236}">
              <a16:creationId xmlns:a16="http://schemas.microsoft.com/office/drawing/2014/main" id="{1E330FBF-82FF-4771-9C2E-B8CE050E736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2" name="TextBox 17">
          <a:extLst>
            <a:ext uri="{FF2B5EF4-FFF2-40B4-BE49-F238E27FC236}">
              <a16:creationId xmlns:a16="http://schemas.microsoft.com/office/drawing/2014/main" id="{66E2E440-4BF0-4259-9917-4E80BACE017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3" name="TextBox 18">
          <a:extLst>
            <a:ext uri="{FF2B5EF4-FFF2-40B4-BE49-F238E27FC236}">
              <a16:creationId xmlns:a16="http://schemas.microsoft.com/office/drawing/2014/main" id="{061D76F7-67B1-4DB0-9ECC-B8284C8509B7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4" name="TextBox 722">
          <a:extLst>
            <a:ext uri="{FF2B5EF4-FFF2-40B4-BE49-F238E27FC236}">
              <a16:creationId xmlns:a16="http://schemas.microsoft.com/office/drawing/2014/main" id="{193094E4-A692-486E-AF8A-7109C91EFC33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5" name="TextBox 723">
          <a:extLst>
            <a:ext uri="{FF2B5EF4-FFF2-40B4-BE49-F238E27FC236}">
              <a16:creationId xmlns:a16="http://schemas.microsoft.com/office/drawing/2014/main" id="{9EDCA765-8130-4A32-91FB-61C104093194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6" name="TextBox 1">
          <a:extLst>
            <a:ext uri="{FF2B5EF4-FFF2-40B4-BE49-F238E27FC236}">
              <a16:creationId xmlns:a16="http://schemas.microsoft.com/office/drawing/2014/main" id="{1000D7C1-2002-47B3-B3B0-1DFEEC279C8D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7" name="TextBox 3">
          <a:extLst>
            <a:ext uri="{FF2B5EF4-FFF2-40B4-BE49-F238E27FC236}">
              <a16:creationId xmlns:a16="http://schemas.microsoft.com/office/drawing/2014/main" id="{08E474C8-6613-4FE2-8CD5-A3C263565BC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8" name="TextBox 726">
          <a:extLst>
            <a:ext uri="{FF2B5EF4-FFF2-40B4-BE49-F238E27FC236}">
              <a16:creationId xmlns:a16="http://schemas.microsoft.com/office/drawing/2014/main" id="{13FBAD29-A5EF-4759-8E78-2DAAA0BF4CA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49" name="TextBox 727">
          <a:extLst>
            <a:ext uri="{FF2B5EF4-FFF2-40B4-BE49-F238E27FC236}">
              <a16:creationId xmlns:a16="http://schemas.microsoft.com/office/drawing/2014/main" id="{80F2DDA4-2306-46AB-AF88-648F924A0D3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0" name="TextBox 728">
          <a:extLst>
            <a:ext uri="{FF2B5EF4-FFF2-40B4-BE49-F238E27FC236}">
              <a16:creationId xmlns:a16="http://schemas.microsoft.com/office/drawing/2014/main" id="{0C581DD8-92BA-4A57-A7ED-ADF27679437E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1" name="TextBox 729">
          <a:extLst>
            <a:ext uri="{FF2B5EF4-FFF2-40B4-BE49-F238E27FC236}">
              <a16:creationId xmlns:a16="http://schemas.microsoft.com/office/drawing/2014/main" id="{784FC733-B5AA-47C6-9380-7794C192996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2" name="TextBox 730">
          <a:extLst>
            <a:ext uri="{FF2B5EF4-FFF2-40B4-BE49-F238E27FC236}">
              <a16:creationId xmlns:a16="http://schemas.microsoft.com/office/drawing/2014/main" id="{83F16762-49CB-4400-88A2-246F1B95473B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3" name="TextBox 731">
          <a:extLst>
            <a:ext uri="{FF2B5EF4-FFF2-40B4-BE49-F238E27FC236}">
              <a16:creationId xmlns:a16="http://schemas.microsoft.com/office/drawing/2014/main" id="{022D9E88-CA03-4E04-AC23-BA1964C9723A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4" name="TextBox 732">
          <a:extLst>
            <a:ext uri="{FF2B5EF4-FFF2-40B4-BE49-F238E27FC236}">
              <a16:creationId xmlns:a16="http://schemas.microsoft.com/office/drawing/2014/main" id="{B1E71DF5-4DD8-4121-ADB3-4F698D9B2590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5" name="TextBox 733">
          <a:extLst>
            <a:ext uri="{FF2B5EF4-FFF2-40B4-BE49-F238E27FC236}">
              <a16:creationId xmlns:a16="http://schemas.microsoft.com/office/drawing/2014/main" id="{F68C1879-5D38-4358-A22B-127130A72FEA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6" name="TextBox 734">
          <a:extLst>
            <a:ext uri="{FF2B5EF4-FFF2-40B4-BE49-F238E27FC236}">
              <a16:creationId xmlns:a16="http://schemas.microsoft.com/office/drawing/2014/main" id="{F409FF92-2581-4CAC-9E31-40FE1B919B4A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7" name="TextBox 735">
          <a:extLst>
            <a:ext uri="{FF2B5EF4-FFF2-40B4-BE49-F238E27FC236}">
              <a16:creationId xmlns:a16="http://schemas.microsoft.com/office/drawing/2014/main" id="{3147105D-3772-46F1-A88C-ABA09018F682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8" name="TextBox 13">
          <a:extLst>
            <a:ext uri="{FF2B5EF4-FFF2-40B4-BE49-F238E27FC236}">
              <a16:creationId xmlns:a16="http://schemas.microsoft.com/office/drawing/2014/main" id="{884232CD-CCD1-4188-90D1-FD505A57235D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59" name="TextBox 14">
          <a:extLst>
            <a:ext uri="{FF2B5EF4-FFF2-40B4-BE49-F238E27FC236}">
              <a16:creationId xmlns:a16="http://schemas.microsoft.com/office/drawing/2014/main" id="{7CB01A32-4ECB-4CF4-A776-C84469F829E0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0" name="TextBox 738">
          <a:extLst>
            <a:ext uri="{FF2B5EF4-FFF2-40B4-BE49-F238E27FC236}">
              <a16:creationId xmlns:a16="http://schemas.microsoft.com/office/drawing/2014/main" id="{3A677FB7-2C5D-49B5-945F-036617574D4E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1" name="TextBox 739">
          <a:extLst>
            <a:ext uri="{FF2B5EF4-FFF2-40B4-BE49-F238E27FC236}">
              <a16:creationId xmlns:a16="http://schemas.microsoft.com/office/drawing/2014/main" id="{A51F63CE-7EE1-4108-B8B7-0A6DF6361C8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2" name="TextBox 740">
          <a:extLst>
            <a:ext uri="{FF2B5EF4-FFF2-40B4-BE49-F238E27FC236}">
              <a16:creationId xmlns:a16="http://schemas.microsoft.com/office/drawing/2014/main" id="{EB0C9E73-F344-4BEF-862E-91704700E6C7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3" name="TextBox 741">
          <a:extLst>
            <a:ext uri="{FF2B5EF4-FFF2-40B4-BE49-F238E27FC236}">
              <a16:creationId xmlns:a16="http://schemas.microsoft.com/office/drawing/2014/main" id="{4FBEC496-E960-4809-BA28-2755D5835002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4" name="TextBox 15">
          <a:extLst>
            <a:ext uri="{FF2B5EF4-FFF2-40B4-BE49-F238E27FC236}">
              <a16:creationId xmlns:a16="http://schemas.microsoft.com/office/drawing/2014/main" id="{0B1184DA-7F4A-4C62-99CA-BFDFB46DE148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5" name="TextBox 16">
          <a:extLst>
            <a:ext uri="{FF2B5EF4-FFF2-40B4-BE49-F238E27FC236}">
              <a16:creationId xmlns:a16="http://schemas.microsoft.com/office/drawing/2014/main" id="{D2019C33-0215-4977-BBDD-71B3D8DB2DD1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6" name="TextBox 17">
          <a:extLst>
            <a:ext uri="{FF2B5EF4-FFF2-40B4-BE49-F238E27FC236}">
              <a16:creationId xmlns:a16="http://schemas.microsoft.com/office/drawing/2014/main" id="{E7171DA4-3FD3-4C6A-8494-A402ACB26AAB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7" name="TextBox 18">
          <a:extLst>
            <a:ext uri="{FF2B5EF4-FFF2-40B4-BE49-F238E27FC236}">
              <a16:creationId xmlns:a16="http://schemas.microsoft.com/office/drawing/2014/main" id="{C00A944C-3211-4BC5-AF07-7ABD3BC7FE2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8" name="TextBox 746">
          <a:extLst>
            <a:ext uri="{FF2B5EF4-FFF2-40B4-BE49-F238E27FC236}">
              <a16:creationId xmlns:a16="http://schemas.microsoft.com/office/drawing/2014/main" id="{69220515-3806-4F4A-A249-516F8976C41D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69" name="TextBox 747">
          <a:extLst>
            <a:ext uri="{FF2B5EF4-FFF2-40B4-BE49-F238E27FC236}">
              <a16:creationId xmlns:a16="http://schemas.microsoft.com/office/drawing/2014/main" id="{A4170074-955E-4138-A791-A371B9D72951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0" name="TextBox 1">
          <a:extLst>
            <a:ext uri="{FF2B5EF4-FFF2-40B4-BE49-F238E27FC236}">
              <a16:creationId xmlns:a16="http://schemas.microsoft.com/office/drawing/2014/main" id="{1E0BD4D5-447A-4E80-BD68-D9FFC4FD78A5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1" name="TextBox 3">
          <a:extLst>
            <a:ext uri="{FF2B5EF4-FFF2-40B4-BE49-F238E27FC236}">
              <a16:creationId xmlns:a16="http://schemas.microsoft.com/office/drawing/2014/main" id="{01A5565A-BB95-4989-AFA3-108B0CE164B7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2" name="TextBox 750">
          <a:extLst>
            <a:ext uri="{FF2B5EF4-FFF2-40B4-BE49-F238E27FC236}">
              <a16:creationId xmlns:a16="http://schemas.microsoft.com/office/drawing/2014/main" id="{CAE6CEC3-1DE1-4421-A677-CCD0E3CF0925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3" name="TextBox 751">
          <a:extLst>
            <a:ext uri="{FF2B5EF4-FFF2-40B4-BE49-F238E27FC236}">
              <a16:creationId xmlns:a16="http://schemas.microsoft.com/office/drawing/2014/main" id="{21D87398-23B3-4293-9F66-3EFB0118C0FD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4" name="TextBox 752">
          <a:extLst>
            <a:ext uri="{FF2B5EF4-FFF2-40B4-BE49-F238E27FC236}">
              <a16:creationId xmlns:a16="http://schemas.microsoft.com/office/drawing/2014/main" id="{A5E19807-3876-4B19-A56B-C97EDB880CFA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5" name="TextBox 753">
          <a:extLst>
            <a:ext uri="{FF2B5EF4-FFF2-40B4-BE49-F238E27FC236}">
              <a16:creationId xmlns:a16="http://schemas.microsoft.com/office/drawing/2014/main" id="{28DEF5D9-D774-40BD-A0B1-7B4BA1DE2059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6" name="TextBox 754">
          <a:extLst>
            <a:ext uri="{FF2B5EF4-FFF2-40B4-BE49-F238E27FC236}">
              <a16:creationId xmlns:a16="http://schemas.microsoft.com/office/drawing/2014/main" id="{9FA27827-FB14-4C90-AFCC-6DB4930948DD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7" name="TextBox 755">
          <a:extLst>
            <a:ext uri="{FF2B5EF4-FFF2-40B4-BE49-F238E27FC236}">
              <a16:creationId xmlns:a16="http://schemas.microsoft.com/office/drawing/2014/main" id="{3627A38A-9B74-41DB-9D6E-4A9134962411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8" name="TextBox 756">
          <a:extLst>
            <a:ext uri="{FF2B5EF4-FFF2-40B4-BE49-F238E27FC236}">
              <a16:creationId xmlns:a16="http://schemas.microsoft.com/office/drawing/2014/main" id="{94176463-53D9-4375-ADEF-1959C9E80ECD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79" name="TextBox 757">
          <a:extLst>
            <a:ext uri="{FF2B5EF4-FFF2-40B4-BE49-F238E27FC236}">
              <a16:creationId xmlns:a16="http://schemas.microsoft.com/office/drawing/2014/main" id="{BF1207AE-13F9-41B5-912F-6904D7346E27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0" name="TextBox 758">
          <a:extLst>
            <a:ext uri="{FF2B5EF4-FFF2-40B4-BE49-F238E27FC236}">
              <a16:creationId xmlns:a16="http://schemas.microsoft.com/office/drawing/2014/main" id="{73C759FA-DF87-4220-B6A6-BAFF92693ADD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1" name="TextBox 759">
          <a:extLst>
            <a:ext uri="{FF2B5EF4-FFF2-40B4-BE49-F238E27FC236}">
              <a16:creationId xmlns:a16="http://schemas.microsoft.com/office/drawing/2014/main" id="{4E8BEB4D-6F46-4BDA-A2B2-9BE118AD546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2" name="TextBox 13">
          <a:extLst>
            <a:ext uri="{FF2B5EF4-FFF2-40B4-BE49-F238E27FC236}">
              <a16:creationId xmlns:a16="http://schemas.microsoft.com/office/drawing/2014/main" id="{559B9695-ABFB-4F27-B806-C8341F36AD5D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3" name="TextBox 14">
          <a:extLst>
            <a:ext uri="{FF2B5EF4-FFF2-40B4-BE49-F238E27FC236}">
              <a16:creationId xmlns:a16="http://schemas.microsoft.com/office/drawing/2014/main" id="{9D0BB7B6-8018-4355-9962-A769541AF418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4" name="TextBox 762">
          <a:extLst>
            <a:ext uri="{FF2B5EF4-FFF2-40B4-BE49-F238E27FC236}">
              <a16:creationId xmlns:a16="http://schemas.microsoft.com/office/drawing/2014/main" id="{6930B2D4-0C6E-49CE-ADB4-628CB685DF68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5" name="TextBox 763">
          <a:extLst>
            <a:ext uri="{FF2B5EF4-FFF2-40B4-BE49-F238E27FC236}">
              <a16:creationId xmlns:a16="http://schemas.microsoft.com/office/drawing/2014/main" id="{BD8644D4-50A6-424A-8135-E39DD73BA138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6" name="TextBox 764">
          <a:extLst>
            <a:ext uri="{FF2B5EF4-FFF2-40B4-BE49-F238E27FC236}">
              <a16:creationId xmlns:a16="http://schemas.microsoft.com/office/drawing/2014/main" id="{A77FCCBD-51CE-490A-A574-BF834FF48CEC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7" name="TextBox 765">
          <a:extLst>
            <a:ext uri="{FF2B5EF4-FFF2-40B4-BE49-F238E27FC236}">
              <a16:creationId xmlns:a16="http://schemas.microsoft.com/office/drawing/2014/main" id="{106D8547-6D36-4172-BE06-C416E849A65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8" name="TextBox 15">
          <a:extLst>
            <a:ext uri="{FF2B5EF4-FFF2-40B4-BE49-F238E27FC236}">
              <a16:creationId xmlns:a16="http://schemas.microsoft.com/office/drawing/2014/main" id="{55ACCEBF-8CFC-467A-B664-AC0EE855FA7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89" name="TextBox 16">
          <a:extLst>
            <a:ext uri="{FF2B5EF4-FFF2-40B4-BE49-F238E27FC236}">
              <a16:creationId xmlns:a16="http://schemas.microsoft.com/office/drawing/2014/main" id="{99D9FB40-D415-43A4-B177-294DC4319BDC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0" name="TextBox 17">
          <a:extLst>
            <a:ext uri="{FF2B5EF4-FFF2-40B4-BE49-F238E27FC236}">
              <a16:creationId xmlns:a16="http://schemas.microsoft.com/office/drawing/2014/main" id="{D736B0F5-4735-4C83-8BDA-37FDDBB06123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1" name="TextBox 18">
          <a:extLst>
            <a:ext uri="{FF2B5EF4-FFF2-40B4-BE49-F238E27FC236}">
              <a16:creationId xmlns:a16="http://schemas.microsoft.com/office/drawing/2014/main" id="{A663622E-1936-429D-BBB8-0CE6B1871B32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2" name="TextBox 770">
          <a:extLst>
            <a:ext uri="{FF2B5EF4-FFF2-40B4-BE49-F238E27FC236}">
              <a16:creationId xmlns:a16="http://schemas.microsoft.com/office/drawing/2014/main" id="{DE42EBFD-0656-4908-9499-B3C904348937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3" name="TextBox 771">
          <a:extLst>
            <a:ext uri="{FF2B5EF4-FFF2-40B4-BE49-F238E27FC236}">
              <a16:creationId xmlns:a16="http://schemas.microsoft.com/office/drawing/2014/main" id="{D4FD2D3F-398A-4514-9B77-8BF48CBFEF7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4" name="TextBox 1">
          <a:extLst>
            <a:ext uri="{FF2B5EF4-FFF2-40B4-BE49-F238E27FC236}">
              <a16:creationId xmlns:a16="http://schemas.microsoft.com/office/drawing/2014/main" id="{A8F42578-E701-4D4E-80C8-D45B208DD5B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5" name="TextBox 3">
          <a:extLst>
            <a:ext uri="{FF2B5EF4-FFF2-40B4-BE49-F238E27FC236}">
              <a16:creationId xmlns:a16="http://schemas.microsoft.com/office/drawing/2014/main" id="{64844B31-7359-4F85-A8C7-8181337CC988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6" name="TextBox 774">
          <a:extLst>
            <a:ext uri="{FF2B5EF4-FFF2-40B4-BE49-F238E27FC236}">
              <a16:creationId xmlns:a16="http://schemas.microsoft.com/office/drawing/2014/main" id="{DDEDE06B-9BE7-4AB6-A40F-C8B8FEF330A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7" name="TextBox 775">
          <a:extLst>
            <a:ext uri="{FF2B5EF4-FFF2-40B4-BE49-F238E27FC236}">
              <a16:creationId xmlns:a16="http://schemas.microsoft.com/office/drawing/2014/main" id="{963B20AC-B99D-4AEF-9F67-C99E27CA67D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8" name="TextBox 776">
          <a:extLst>
            <a:ext uri="{FF2B5EF4-FFF2-40B4-BE49-F238E27FC236}">
              <a16:creationId xmlns:a16="http://schemas.microsoft.com/office/drawing/2014/main" id="{0176B347-CB3D-4169-AF06-8A614B631B6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399" name="TextBox 777">
          <a:extLst>
            <a:ext uri="{FF2B5EF4-FFF2-40B4-BE49-F238E27FC236}">
              <a16:creationId xmlns:a16="http://schemas.microsoft.com/office/drawing/2014/main" id="{4CC10FC5-73FE-4FDF-94BF-42AA5D1F420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0" name="TextBox 778">
          <a:extLst>
            <a:ext uri="{FF2B5EF4-FFF2-40B4-BE49-F238E27FC236}">
              <a16:creationId xmlns:a16="http://schemas.microsoft.com/office/drawing/2014/main" id="{5EC73877-4F5D-45A7-8A57-D4C060897B0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1" name="TextBox 779">
          <a:extLst>
            <a:ext uri="{FF2B5EF4-FFF2-40B4-BE49-F238E27FC236}">
              <a16:creationId xmlns:a16="http://schemas.microsoft.com/office/drawing/2014/main" id="{4E02C5B5-427F-49C2-BBC5-5CE2D56E73F8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2" name="TextBox 780">
          <a:extLst>
            <a:ext uri="{FF2B5EF4-FFF2-40B4-BE49-F238E27FC236}">
              <a16:creationId xmlns:a16="http://schemas.microsoft.com/office/drawing/2014/main" id="{9A92B4EF-0FB0-4084-A555-D78B299AD95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3" name="TextBox 781">
          <a:extLst>
            <a:ext uri="{FF2B5EF4-FFF2-40B4-BE49-F238E27FC236}">
              <a16:creationId xmlns:a16="http://schemas.microsoft.com/office/drawing/2014/main" id="{D6CCF7C5-8B72-44FE-87DB-6681C20626A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4" name="TextBox 782">
          <a:extLst>
            <a:ext uri="{FF2B5EF4-FFF2-40B4-BE49-F238E27FC236}">
              <a16:creationId xmlns:a16="http://schemas.microsoft.com/office/drawing/2014/main" id="{C250735E-7161-4291-8FC0-236AC6B4929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5" name="TextBox 783">
          <a:extLst>
            <a:ext uri="{FF2B5EF4-FFF2-40B4-BE49-F238E27FC236}">
              <a16:creationId xmlns:a16="http://schemas.microsoft.com/office/drawing/2014/main" id="{F5073871-4740-4DA9-9FA1-5E073E37BDC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6" name="TextBox 13">
          <a:extLst>
            <a:ext uri="{FF2B5EF4-FFF2-40B4-BE49-F238E27FC236}">
              <a16:creationId xmlns:a16="http://schemas.microsoft.com/office/drawing/2014/main" id="{74F9817E-0129-4615-8670-C81794B0D6F7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7" name="TextBox 14">
          <a:extLst>
            <a:ext uri="{FF2B5EF4-FFF2-40B4-BE49-F238E27FC236}">
              <a16:creationId xmlns:a16="http://schemas.microsoft.com/office/drawing/2014/main" id="{11C694B2-935B-4ECB-819F-A07DE09C2907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8" name="TextBox 786">
          <a:extLst>
            <a:ext uri="{FF2B5EF4-FFF2-40B4-BE49-F238E27FC236}">
              <a16:creationId xmlns:a16="http://schemas.microsoft.com/office/drawing/2014/main" id="{17553170-CF87-424D-AC42-ED609A1188E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09" name="TextBox 787">
          <a:extLst>
            <a:ext uri="{FF2B5EF4-FFF2-40B4-BE49-F238E27FC236}">
              <a16:creationId xmlns:a16="http://schemas.microsoft.com/office/drawing/2014/main" id="{96B9996B-0BE3-4F85-9995-01C11684176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0" name="TextBox 788">
          <a:extLst>
            <a:ext uri="{FF2B5EF4-FFF2-40B4-BE49-F238E27FC236}">
              <a16:creationId xmlns:a16="http://schemas.microsoft.com/office/drawing/2014/main" id="{4DF6D443-F4CC-4FE0-87DE-E78753D67C2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1" name="TextBox 789">
          <a:extLst>
            <a:ext uri="{FF2B5EF4-FFF2-40B4-BE49-F238E27FC236}">
              <a16:creationId xmlns:a16="http://schemas.microsoft.com/office/drawing/2014/main" id="{5928DC2B-35B8-443A-8B78-F4711949AAC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2" name="TextBox 15">
          <a:extLst>
            <a:ext uri="{FF2B5EF4-FFF2-40B4-BE49-F238E27FC236}">
              <a16:creationId xmlns:a16="http://schemas.microsoft.com/office/drawing/2014/main" id="{8FB35733-25BF-4742-9478-ED8A2353A07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3" name="TextBox 16">
          <a:extLst>
            <a:ext uri="{FF2B5EF4-FFF2-40B4-BE49-F238E27FC236}">
              <a16:creationId xmlns:a16="http://schemas.microsoft.com/office/drawing/2014/main" id="{D7BF0E57-89F6-4226-A2B3-420F6FA252E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4" name="TextBox 17">
          <a:extLst>
            <a:ext uri="{FF2B5EF4-FFF2-40B4-BE49-F238E27FC236}">
              <a16:creationId xmlns:a16="http://schemas.microsoft.com/office/drawing/2014/main" id="{7BBAC12C-9AFE-4198-BE77-5276BDB257D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5" name="TextBox 18">
          <a:extLst>
            <a:ext uri="{FF2B5EF4-FFF2-40B4-BE49-F238E27FC236}">
              <a16:creationId xmlns:a16="http://schemas.microsoft.com/office/drawing/2014/main" id="{92339E31-8D21-4BE5-A344-84289A25B0C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6" name="TextBox 794">
          <a:extLst>
            <a:ext uri="{FF2B5EF4-FFF2-40B4-BE49-F238E27FC236}">
              <a16:creationId xmlns:a16="http://schemas.microsoft.com/office/drawing/2014/main" id="{8139D7D8-8D0C-4D9C-A222-33A84F3FBF2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7" name="TextBox 795">
          <a:extLst>
            <a:ext uri="{FF2B5EF4-FFF2-40B4-BE49-F238E27FC236}">
              <a16:creationId xmlns:a16="http://schemas.microsoft.com/office/drawing/2014/main" id="{0E17250E-41CE-4557-9D68-D5084AD5B78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8" name="TextBox 1">
          <a:extLst>
            <a:ext uri="{FF2B5EF4-FFF2-40B4-BE49-F238E27FC236}">
              <a16:creationId xmlns:a16="http://schemas.microsoft.com/office/drawing/2014/main" id="{4E8733A2-1943-4129-A8AD-6D393A849D7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19" name="TextBox 3">
          <a:extLst>
            <a:ext uri="{FF2B5EF4-FFF2-40B4-BE49-F238E27FC236}">
              <a16:creationId xmlns:a16="http://schemas.microsoft.com/office/drawing/2014/main" id="{3CF08361-34D6-40C9-8230-70FFC1B986F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0" name="TextBox 798">
          <a:extLst>
            <a:ext uri="{FF2B5EF4-FFF2-40B4-BE49-F238E27FC236}">
              <a16:creationId xmlns:a16="http://schemas.microsoft.com/office/drawing/2014/main" id="{AFABD9C3-3D36-4B81-9CB0-9F1E1B4FCCA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1" name="TextBox 799">
          <a:extLst>
            <a:ext uri="{FF2B5EF4-FFF2-40B4-BE49-F238E27FC236}">
              <a16:creationId xmlns:a16="http://schemas.microsoft.com/office/drawing/2014/main" id="{8426E1D9-197B-474B-BD91-C1886745672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2" name="TextBox 800">
          <a:extLst>
            <a:ext uri="{FF2B5EF4-FFF2-40B4-BE49-F238E27FC236}">
              <a16:creationId xmlns:a16="http://schemas.microsoft.com/office/drawing/2014/main" id="{5881B694-6935-4D3B-B2D4-BA174EA443D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3" name="TextBox 801">
          <a:extLst>
            <a:ext uri="{FF2B5EF4-FFF2-40B4-BE49-F238E27FC236}">
              <a16:creationId xmlns:a16="http://schemas.microsoft.com/office/drawing/2014/main" id="{865B5A02-AD9E-4663-910A-A94E6ECB3C2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4" name="TextBox 802">
          <a:extLst>
            <a:ext uri="{FF2B5EF4-FFF2-40B4-BE49-F238E27FC236}">
              <a16:creationId xmlns:a16="http://schemas.microsoft.com/office/drawing/2014/main" id="{AD6B48C4-22F7-4857-99A9-097F70058AE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5" name="TextBox 803">
          <a:extLst>
            <a:ext uri="{FF2B5EF4-FFF2-40B4-BE49-F238E27FC236}">
              <a16:creationId xmlns:a16="http://schemas.microsoft.com/office/drawing/2014/main" id="{1AC30B95-B470-4BF2-8C4C-7339669BE1F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6" name="TextBox 804">
          <a:extLst>
            <a:ext uri="{FF2B5EF4-FFF2-40B4-BE49-F238E27FC236}">
              <a16:creationId xmlns:a16="http://schemas.microsoft.com/office/drawing/2014/main" id="{5692A02E-F4B3-4EB3-8391-71A29FD56CD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7" name="TextBox 805">
          <a:extLst>
            <a:ext uri="{FF2B5EF4-FFF2-40B4-BE49-F238E27FC236}">
              <a16:creationId xmlns:a16="http://schemas.microsoft.com/office/drawing/2014/main" id="{FE696C78-C10B-47B8-84C1-6BAA699894A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8" name="TextBox 806">
          <a:extLst>
            <a:ext uri="{FF2B5EF4-FFF2-40B4-BE49-F238E27FC236}">
              <a16:creationId xmlns:a16="http://schemas.microsoft.com/office/drawing/2014/main" id="{556EADC5-9EFA-499E-99AD-34916154667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29" name="TextBox 807">
          <a:extLst>
            <a:ext uri="{FF2B5EF4-FFF2-40B4-BE49-F238E27FC236}">
              <a16:creationId xmlns:a16="http://schemas.microsoft.com/office/drawing/2014/main" id="{FA752E1E-36DB-4CC8-A9F6-1526A2A6D0B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0" name="TextBox 13">
          <a:extLst>
            <a:ext uri="{FF2B5EF4-FFF2-40B4-BE49-F238E27FC236}">
              <a16:creationId xmlns:a16="http://schemas.microsoft.com/office/drawing/2014/main" id="{B3F43875-ED9A-4D8C-B522-2AFAF08BF54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1" name="TextBox 14">
          <a:extLst>
            <a:ext uri="{FF2B5EF4-FFF2-40B4-BE49-F238E27FC236}">
              <a16:creationId xmlns:a16="http://schemas.microsoft.com/office/drawing/2014/main" id="{D0BF9085-CCC5-47E4-BC41-5AD5023A31D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2" name="TextBox 810">
          <a:extLst>
            <a:ext uri="{FF2B5EF4-FFF2-40B4-BE49-F238E27FC236}">
              <a16:creationId xmlns:a16="http://schemas.microsoft.com/office/drawing/2014/main" id="{F69673B5-EEE1-4562-832E-408ABA66E122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3" name="TextBox 811">
          <a:extLst>
            <a:ext uri="{FF2B5EF4-FFF2-40B4-BE49-F238E27FC236}">
              <a16:creationId xmlns:a16="http://schemas.microsoft.com/office/drawing/2014/main" id="{074B85D6-D337-4912-B79F-19996DBF74EB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4" name="TextBox 812">
          <a:extLst>
            <a:ext uri="{FF2B5EF4-FFF2-40B4-BE49-F238E27FC236}">
              <a16:creationId xmlns:a16="http://schemas.microsoft.com/office/drawing/2014/main" id="{8908431C-0915-423C-9413-232E2390AEF7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5" name="TextBox 813">
          <a:extLst>
            <a:ext uri="{FF2B5EF4-FFF2-40B4-BE49-F238E27FC236}">
              <a16:creationId xmlns:a16="http://schemas.microsoft.com/office/drawing/2014/main" id="{FE3106B6-3BA8-4E4C-B61D-11AF4287F9DA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6" name="TextBox 15">
          <a:extLst>
            <a:ext uri="{FF2B5EF4-FFF2-40B4-BE49-F238E27FC236}">
              <a16:creationId xmlns:a16="http://schemas.microsoft.com/office/drawing/2014/main" id="{18B36A75-38ED-41A1-BD58-D5BA9F1265FF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7" name="TextBox 16">
          <a:extLst>
            <a:ext uri="{FF2B5EF4-FFF2-40B4-BE49-F238E27FC236}">
              <a16:creationId xmlns:a16="http://schemas.microsoft.com/office/drawing/2014/main" id="{6E54DF88-8232-4998-B2AE-81DDF16B1D37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8" name="TextBox 17">
          <a:extLst>
            <a:ext uri="{FF2B5EF4-FFF2-40B4-BE49-F238E27FC236}">
              <a16:creationId xmlns:a16="http://schemas.microsoft.com/office/drawing/2014/main" id="{8A57DE37-2D07-455A-A0F2-CFFC26A6F3C6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39" name="TextBox 18">
          <a:extLst>
            <a:ext uri="{FF2B5EF4-FFF2-40B4-BE49-F238E27FC236}">
              <a16:creationId xmlns:a16="http://schemas.microsoft.com/office/drawing/2014/main" id="{DBFC2CB3-A71B-4A0B-BFDB-205D6218E82F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0" name="TextBox 818">
          <a:extLst>
            <a:ext uri="{FF2B5EF4-FFF2-40B4-BE49-F238E27FC236}">
              <a16:creationId xmlns:a16="http://schemas.microsoft.com/office/drawing/2014/main" id="{AF9CB58C-2000-4A02-8C09-34ADFB8AA4BA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1" name="TextBox 819">
          <a:extLst>
            <a:ext uri="{FF2B5EF4-FFF2-40B4-BE49-F238E27FC236}">
              <a16:creationId xmlns:a16="http://schemas.microsoft.com/office/drawing/2014/main" id="{E0366762-14B8-48CC-9CCC-49FCC4E2FF4F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2" name="TextBox 1">
          <a:extLst>
            <a:ext uri="{FF2B5EF4-FFF2-40B4-BE49-F238E27FC236}">
              <a16:creationId xmlns:a16="http://schemas.microsoft.com/office/drawing/2014/main" id="{1CB60F69-4E27-4430-942B-0CCA01111846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3" name="TextBox 3">
          <a:extLst>
            <a:ext uri="{FF2B5EF4-FFF2-40B4-BE49-F238E27FC236}">
              <a16:creationId xmlns:a16="http://schemas.microsoft.com/office/drawing/2014/main" id="{5C11D173-C058-4E7D-AC78-4C8C519EBC16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4" name="TextBox 822">
          <a:extLst>
            <a:ext uri="{FF2B5EF4-FFF2-40B4-BE49-F238E27FC236}">
              <a16:creationId xmlns:a16="http://schemas.microsoft.com/office/drawing/2014/main" id="{624D1C6E-3E86-4852-BDCE-73EDF864194D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5" name="TextBox 823">
          <a:extLst>
            <a:ext uri="{FF2B5EF4-FFF2-40B4-BE49-F238E27FC236}">
              <a16:creationId xmlns:a16="http://schemas.microsoft.com/office/drawing/2014/main" id="{5C7DAEEE-F5DE-4BCA-90EA-2FAC24758DD2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6" name="TextBox 824">
          <a:extLst>
            <a:ext uri="{FF2B5EF4-FFF2-40B4-BE49-F238E27FC236}">
              <a16:creationId xmlns:a16="http://schemas.microsoft.com/office/drawing/2014/main" id="{4314E38F-9E9B-466A-81A8-3A0345542FB0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7" name="TextBox 825">
          <a:extLst>
            <a:ext uri="{FF2B5EF4-FFF2-40B4-BE49-F238E27FC236}">
              <a16:creationId xmlns:a16="http://schemas.microsoft.com/office/drawing/2014/main" id="{DFA6C0F5-2AA8-4CA4-9B9A-B152E6FFD561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8" name="TextBox 826">
          <a:extLst>
            <a:ext uri="{FF2B5EF4-FFF2-40B4-BE49-F238E27FC236}">
              <a16:creationId xmlns:a16="http://schemas.microsoft.com/office/drawing/2014/main" id="{F829ECAE-AB0E-4620-AB6B-A06AD282A02A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49" name="TextBox 827">
          <a:extLst>
            <a:ext uri="{FF2B5EF4-FFF2-40B4-BE49-F238E27FC236}">
              <a16:creationId xmlns:a16="http://schemas.microsoft.com/office/drawing/2014/main" id="{7A4C6921-8C1B-4690-8166-C430B8ED471D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0" name="TextBox 828">
          <a:extLst>
            <a:ext uri="{FF2B5EF4-FFF2-40B4-BE49-F238E27FC236}">
              <a16:creationId xmlns:a16="http://schemas.microsoft.com/office/drawing/2014/main" id="{5CE2F2CF-EE47-4D2F-AF16-78048982E310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1" name="TextBox 829">
          <a:extLst>
            <a:ext uri="{FF2B5EF4-FFF2-40B4-BE49-F238E27FC236}">
              <a16:creationId xmlns:a16="http://schemas.microsoft.com/office/drawing/2014/main" id="{F7FD3B3D-D02D-49AC-8F1E-B00567FD0052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2" name="TextBox 830">
          <a:extLst>
            <a:ext uri="{FF2B5EF4-FFF2-40B4-BE49-F238E27FC236}">
              <a16:creationId xmlns:a16="http://schemas.microsoft.com/office/drawing/2014/main" id="{10CD9FDC-B3B9-418F-8F3D-12F1A207A56A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3" name="TextBox 831">
          <a:extLst>
            <a:ext uri="{FF2B5EF4-FFF2-40B4-BE49-F238E27FC236}">
              <a16:creationId xmlns:a16="http://schemas.microsoft.com/office/drawing/2014/main" id="{E06F0397-4A2F-4349-BAE1-E118FABCA4D1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4" name="TextBox 13">
          <a:extLst>
            <a:ext uri="{FF2B5EF4-FFF2-40B4-BE49-F238E27FC236}">
              <a16:creationId xmlns:a16="http://schemas.microsoft.com/office/drawing/2014/main" id="{6E67D050-5111-4009-BD51-42E098336134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5" name="TextBox 14">
          <a:extLst>
            <a:ext uri="{FF2B5EF4-FFF2-40B4-BE49-F238E27FC236}">
              <a16:creationId xmlns:a16="http://schemas.microsoft.com/office/drawing/2014/main" id="{00F897CB-42EF-42A5-84F1-AA7EA74E5AF8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6" name="TextBox 834">
          <a:extLst>
            <a:ext uri="{FF2B5EF4-FFF2-40B4-BE49-F238E27FC236}">
              <a16:creationId xmlns:a16="http://schemas.microsoft.com/office/drawing/2014/main" id="{2421DA0A-52A6-44B3-8061-F14E9F4FCE9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7" name="TextBox 835">
          <a:extLst>
            <a:ext uri="{FF2B5EF4-FFF2-40B4-BE49-F238E27FC236}">
              <a16:creationId xmlns:a16="http://schemas.microsoft.com/office/drawing/2014/main" id="{792E4F70-8C4C-4D96-947E-C435F67A349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8" name="TextBox 836">
          <a:extLst>
            <a:ext uri="{FF2B5EF4-FFF2-40B4-BE49-F238E27FC236}">
              <a16:creationId xmlns:a16="http://schemas.microsoft.com/office/drawing/2014/main" id="{4E181613-09BB-447F-BDDD-A313C323AEA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59" name="TextBox 837">
          <a:extLst>
            <a:ext uri="{FF2B5EF4-FFF2-40B4-BE49-F238E27FC236}">
              <a16:creationId xmlns:a16="http://schemas.microsoft.com/office/drawing/2014/main" id="{7B990D21-9C38-40A3-B2BE-C22B3791D46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0" name="TextBox 15">
          <a:extLst>
            <a:ext uri="{FF2B5EF4-FFF2-40B4-BE49-F238E27FC236}">
              <a16:creationId xmlns:a16="http://schemas.microsoft.com/office/drawing/2014/main" id="{B605AA10-FEEA-49B3-A9D8-07AF768D5E7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1" name="TextBox 16">
          <a:extLst>
            <a:ext uri="{FF2B5EF4-FFF2-40B4-BE49-F238E27FC236}">
              <a16:creationId xmlns:a16="http://schemas.microsoft.com/office/drawing/2014/main" id="{D379A77A-DBB0-4F9B-BD53-8249C74AFE8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2" name="TextBox 17">
          <a:extLst>
            <a:ext uri="{FF2B5EF4-FFF2-40B4-BE49-F238E27FC236}">
              <a16:creationId xmlns:a16="http://schemas.microsoft.com/office/drawing/2014/main" id="{66458134-66EE-4778-AF59-D15D0A219EF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3" name="TextBox 18">
          <a:extLst>
            <a:ext uri="{FF2B5EF4-FFF2-40B4-BE49-F238E27FC236}">
              <a16:creationId xmlns:a16="http://schemas.microsoft.com/office/drawing/2014/main" id="{7B6A1660-912E-4C31-8E09-2864301F23E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4" name="TextBox 842">
          <a:extLst>
            <a:ext uri="{FF2B5EF4-FFF2-40B4-BE49-F238E27FC236}">
              <a16:creationId xmlns:a16="http://schemas.microsoft.com/office/drawing/2014/main" id="{02F5E11B-7D58-4DEE-B258-EEC21DEDF7A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5" name="TextBox 843">
          <a:extLst>
            <a:ext uri="{FF2B5EF4-FFF2-40B4-BE49-F238E27FC236}">
              <a16:creationId xmlns:a16="http://schemas.microsoft.com/office/drawing/2014/main" id="{BE116E15-246C-4FBE-AE9E-34EC7B5E62B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6" name="TextBox 1">
          <a:extLst>
            <a:ext uri="{FF2B5EF4-FFF2-40B4-BE49-F238E27FC236}">
              <a16:creationId xmlns:a16="http://schemas.microsoft.com/office/drawing/2014/main" id="{DA5118E6-9EF3-414C-8BA8-100FAE9FA4C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7" name="TextBox 3">
          <a:extLst>
            <a:ext uri="{FF2B5EF4-FFF2-40B4-BE49-F238E27FC236}">
              <a16:creationId xmlns:a16="http://schemas.microsoft.com/office/drawing/2014/main" id="{BDBE18CB-2845-4E20-9EB9-80DE112F14C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8" name="TextBox 846">
          <a:extLst>
            <a:ext uri="{FF2B5EF4-FFF2-40B4-BE49-F238E27FC236}">
              <a16:creationId xmlns:a16="http://schemas.microsoft.com/office/drawing/2014/main" id="{BFC3B211-6211-45E4-9FDA-FB22E457BF5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69" name="TextBox 847">
          <a:extLst>
            <a:ext uri="{FF2B5EF4-FFF2-40B4-BE49-F238E27FC236}">
              <a16:creationId xmlns:a16="http://schemas.microsoft.com/office/drawing/2014/main" id="{EE480A7D-F5E6-4B4C-BE1A-D79FDE26B10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0" name="TextBox 848">
          <a:extLst>
            <a:ext uri="{FF2B5EF4-FFF2-40B4-BE49-F238E27FC236}">
              <a16:creationId xmlns:a16="http://schemas.microsoft.com/office/drawing/2014/main" id="{3BABB7CC-0655-419B-BC4D-EBB3DE274FA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1" name="TextBox 849">
          <a:extLst>
            <a:ext uri="{FF2B5EF4-FFF2-40B4-BE49-F238E27FC236}">
              <a16:creationId xmlns:a16="http://schemas.microsoft.com/office/drawing/2014/main" id="{606D919B-DF5B-4CDD-9F5C-CFA893D567F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2" name="TextBox 850">
          <a:extLst>
            <a:ext uri="{FF2B5EF4-FFF2-40B4-BE49-F238E27FC236}">
              <a16:creationId xmlns:a16="http://schemas.microsoft.com/office/drawing/2014/main" id="{F69B187C-C879-43F3-8DA7-4B7E77CABE4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3" name="TextBox 851">
          <a:extLst>
            <a:ext uri="{FF2B5EF4-FFF2-40B4-BE49-F238E27FC236}">
              <a16:creationId xmlns:a16="http://schemas.microsoft.com/office/drawing/2014/main" id="{83D4FDBA-1F1B-4BE9-8942-D17B948A827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4" name="TextBox 852">
          <a:extLst>
            <a:ext uri="{FF2B5EF4-FFF2-40B4-BE49-F238E27FC236}">
              <a16:creationId xmlns:a16="http://schemas.microsoft.com/office/drawing/2014/main" id="{71BFD287-2271-4760-A0EC-13D3B352800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5" name="TextBox 853">
          <a:extLst>
            <a:ext uri="{FF2B5EF4-FFF2-40B4-BE49-F238E27FC236}">
              <a16:creationId xmlns:a16="http://schemas.microsoft.com/office/drawing/2014/main" id="{3D5A4243-C226-4BD4-9755-36CAA69A487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6" name="TextBox 854">
          <a:extLst>
            <a:ext uri="{FF2B5EF4-FFF2-40B4-BE49-F238E27FC236}">
              <a16:creationId xmlns:a16="http://schemas.microsoft.com/office/drawing/2014/main" id="{EF1D3494-295C-476E-B9A3-6121610512C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7" name="TextBox 855">
          <a:extLst>
            <a:ext uri="{FF2B5EF4-FFF2-40B4-BE49-F238E27FC236}">
              <a16:creationId xmlns:a16="http://schemas.microsoft.com/office/drawing/2014/main" id="{7D626BE7-2B5E-4152-BC9F-7452C16753A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8" name="TextBox 13">
          <a:extLst>
            <a:ext uri="{FF2B5EF4-FFF2-40B4-BE49-F238E27FC236}">
              <a16:creationId xmlns:a16="http://schemas.microsoft.com/office/drawing/2014/main" id="{FF0906C2-D3DB-478C-9B2A-E6E4B13AB0B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79" name="TextBox 14">
          <a:extLst>
            <a:ext uri="{FF2B5EF4-FFF2-40B4-BE49-F238E27FC236}">
              <a16:creationId xmlns:a16="http://schemas.microsoft.com/office/drawing/2014/main" id="{2152E1D1-DBC6-4337-8E85-B11101C9B08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0" name="TextBox 858">
          <a:extLst>
            <a:ext uri="{FF2B5EF4-FFF2-40B4-BE49-F238E27FC236}">
              <a16:creationId xmlns:a16="http://schemas.microsoft.com/office/drawing/2014/main" id="{D01ADAC9-4304-4C2B-952F-B1DD5145BD0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1" name="TextBox 859">
          <a:extLst>
            <a:ext uri="{FF2B5EF4-FFF2-40B4-BE49-F238E27FC236}">
              <a16:creationId xmlns:a16="http://schemas.microsoft.com/office/drawing/2014/main" id="{5E743749-A261-4AE1-847C-853B06853DF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2" name="TextBox 860">
          <a:extLst>
            <a:ext uri="{FF2B5EF4-FFF2-40B4-BE49-F238E27FC236}">
              <a16:creationId xmlns:a16="http://schemas.microsoft.com/office/drawing/2014/main" id="{24BEA70B-E877-4F73-9D10-8A44E92F4FD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3" name="TextBox 861">
          <a:extLst>
            <a:ext uri="{FF2B5EF4-FFF2-40B4-BE49-F238E27FC236}">
              <a16:creationId xmlns:a16="http://schemas.microsoft.com/office/drawing/2014/main" id="{A888B4F9-5286-43DD-8088-18C843F6B3F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4" name="TextBox 15">
          <a:extLst>
            <a:ext uri="{FF2B5EF4-FFF2-40B4-BE49-F238E27FC236}">
              <a16:creationId xmlns:a16="http://schemas.microsoft.com/office/drawing/2014/main" id="{BC2D3D50-5120-4B5A-ABBF-D7ECFD6B8C4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5" name="TextBox 16">
          <a:extLst>
            <a:ext uri="{FF2B5EF4-FFF2-40B4-BE49-F238E27FC236}">
              <a16:creationId xmlns:a16="http://schemas.microsoft.com/office/drawing/2014/main" id="{B9B15A3D-F88C-4EDA-BD26-BE30C8808C1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6" name="TextBox 17">
          <a:extLst>
            <a:ext uri="{FF2B5EF4-FFF2-40B4-BE49-F238E27FC236}">
              <a16:creationId xmlns:a16="http://schemas.microsoft.com/office/drawing/2014/main" id="{0BB621FE-3189-4808-95BE-5552D7AEBE2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7" name="TextBox 18">
          <a:extLst>
            <a:ext uri="{FF2B5EF4-FFF2-40B4-BE49-F238E27FC236}">
              <a16:creationId xmlns:a16="http://schemas.microsoft.com/office/drawing/2014/main" id="{F4C02A25-AC72-4340-805E-4EC0B705E6A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8" name="TextBox 866">
          <a:extLst>
            <a:ext uri="{FF2B5EF4-FFF2-40B4-BE49-F238E27FC236}">
              <a16:creationId xmlns:a16="http://schemas.microsoft.com/office/drawing/2014/main" id="{00A91CE8-DE68-4076-B416-14B5A73E028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89" name="TextBox 867">
          <a:extLst>
            <a:ext uri="{FF2B5EF4-FFF2-40B4-BE49-F238E27FC236}">
              <a16:creationId xmlns:a16="http://schemas.microsoft.com/office/drawing/2014/main" id="{6A397B1A-13CC-463A-A7C1-F72902D1660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0" name="TextBox 1">
          <a:extLst>
            <a:ext uri="{FF2B5EF4-FFF2-40B4-BE49-F238E27FC236}">
              <a16:creationId xmlns:a16="http://schemas.microsoft.com/office/drawing/2014/main" id="{C31F3A33-CD48-44CB-AC8C-17347A6031A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1" name="TextBox 3">
          <a:extLst>
            <a:ext uri="{FF2B5EF4-FFF2-40B4-BE49-F238E27FC236}">
              <a16:creationId xmlns:a16="http://schemas.microsoft.com/office/drawing/2014/main" id="{63C0F28C-3BFD-47F4-8FDA-22432EE6170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2" name="TextBox 870">
          <a:extLst>
            <a:ext uri="{FF2B5EF4-FFF2-40B4-BE49-F238E27FC236}">
              <a16:creationId xmlns:a16="http://schemas.microsoft.com/office/drawing/2014/main" id="{50230A79-55FF-480B-B4FB-62246778BE9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3" name="TextBox 871">
          <a:extLst>
            <a:ext uri="{FF2B5EF4-FFF2-40B4-BE49-F238E27FC236}">
              <a16:creationId xmlns:a16="http://schemas.microsoft.com/office/drawing/2014/main" id="{697674E7-DE2E-4723-B301-00002BABEAA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4" name="TextBox 872">
          <a:extLst>
            <a:ext uri="{FF2B5EF4-FFF2-40B4-BE49-F238E27FC236}">
              <a16:creationId xmlns:a16="http://schemas.microsoft.com/office/drawing/2014/main" id="{ABA33877-EE46-45C7-A7E8-DA86FE2F62D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5" name="TextBox 873">
          <a:extLst>
            <a:ext uri="{FF2B5EF4-FFF2-40B4-BE49-F238E27FC236}">
              <a16:creationId xmlns:a16="http://schemas.microsoft.com/office/drawing/2014/main" id="{7742853F-65EC-470B-9B93-D344D665F6E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6" name="TextBox 874">
          <a:extLst>
            <a:ext uri="{FF2B5EF4-FFF2-40B4-BE49-F238E27FC236}">
              <a16:creationId xmlns:a16="http://schemas.microsoft.com/office/drawing/2014/main" id="{9F83742B-8459-4C3A-BD8E-7FE5E336EC5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7" name="TextBox 875">
          <a:extLst>
            <a:ext uri="{FF2B5EF4-FFF2-40B4-BE49-F238E27FC236}">
              <a16:creationId xmlns:a16="http://schemas.microsoft.com/office/drawing/2014/main" id="{07F71337-CF48-4FC3-85D5-69999DD3FF7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8" name="TextBox 876">
          <a:extLst>
            <a:ext uri="{FF2B5EF4-FFF2-40B4-BE49-F238E27FC236}">
              <a16:creationId xmlns:a16="http://schemas.microsoft.com/office/drawing/2014/main" id="{87C1EF72-1F03-4C21-BC9F-4BD14BD51C5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499" name="TextBox 877">
          <a:extLst>
            <a:ext uri="{FF2B5EF4-FFF2-40B4-BE49-F238E27FC236}">
              <a16:creationId xmlns:a16="http://schemas.microsoft.com/office/drawing/2014/main" id="{5D24F821-6D82-4262-8D03-1100F667C2C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0" name="TextBox 878">
          <a:extLst>
            <a:ext uri="{FF2B5EF4-FFF2-40B4-BE49-F238E27FC236}">
              <a16:creationId xmlns:a16="http://schemas.microsoft.com/office/drawing/2014/main" id="{FE57C1FA-CADB-445A-A844-CFC06D37E88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1" name="TextBox 879">
          <a:extLst>
            <a:ext uri="{FF2B5EF4-FFF2-40B4-BE49-F238E27FC236}">
              <a16:creationId xmlns:a16="http://schemas.microsoft.com/office/drawing/2014/main" id="{2AD3975C-404C-4C5D-8BFB-B7555ACD5E3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2" name="TextBox 13">
          <a:extLst>
            <a:ext uri="{FF2B5EF4-FFF2-40B4-BE49-F238E27FC236}">
              <a16:creationId xmlns:a16="http://schemas.microsoft.com/office/drawing/2014/main" id="{876B57E9-8693-4BD4-A8D7-7BE26F3B964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3" name="TextBox 14">
          <a:extLst>
            <a:ext uri="{FF2B5EF4-FFF2-40B4-BE49-F238E27FC236}">
              <a16:creationId xmlns:a16="http://schemas.microsoft.com/office/drawing/2014/main" id="{34EA4A42-7117-48C6-AD36-D2456EB3A71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4" name="TextBox 882">
          <a:extLst>
            <a:ext uri="{FF2B5EF4-FFF2-40B4-BE49-F238E27FC236}">
              <a16:creationId xmlns:a16="http://schemas.microsoft.com/office/drawing/2014/main" id="{133AC808-2509-450F-8B70-1483FEDC6269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5" name="TextBox 883">
          <a:extLst>
            <a:ext uri="{FF2B5EF4-FFF2-40B4-BE49-F238E27FC236}">
              <a16:creationId xmlns:a16="http://schemas.microsoft.com/office/drawing/2014/main" id="{1EB2E587-995B-4A16-9AD0-7AE784B7B180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6" name="TextBox 884">
          <a:extLst>
            <a:ext uri="{FF2B5EF4-FFF2-40B4-BE49-F238E27FC236}">
              <a16:creationId xmlns:a16="http://schemas.microsoft.com/office/drawing/2014/main" id="{B9AE3638-4D10-48EB-B272-E9A614BBF083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7" name="TextBox 885">
          <a:extLst>
            <a:ext uri="{FF2B5EF4-FFF2-40B4-BE49-F238E27FC236}">
              <a16:creationId xmlns:a16="http://schemas.microsoft.com/office/drawing/2014/main" id="{6ADFDB9A-9330-4A31-A59C-C1CA1107B259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8" name="TextBox 15">
          <a:extLst>
            <a:ext uri="{FF2B5EF4-FFF2-40B4-BE49-F238E27FC236}">
              <a16:creationId xmlns:a16="http://schemas.microsoft.com/office/drawing/2014/main" id="{A9CCCB4D-2DC4-496A-AC83-74F70E73B009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09" name="TextBox 16">
          <a:extLst>
            <a:ext uri="{FF2B5EF4-FFF2-40B4-BE49-F238E27FC236}">
              <a16:creationId xmlns:a16="http://schemas.microsoft.com/office/drawing/2014/main" id="{7664ED3A-A1B4-4016-8ED8-8D3492012F9B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0" name="TextBox 17">
          <a:extLst>
            <a:ext uri="{FF2B5EF4-FFF2-40B4-BE49-F238E27FC236}">
              <a16:creationId xmlns:a16="http://schemas.microsoft.com/office/drawing/2014/main" id="{3AE2B68B-20B5-4932-9332-C3FFD3A0C37E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1" name="TextBox 18">
          <a:extLst>
            <a:ext uri="{FF2B5EF4-FFF2-40B4-BE49-F238E27FC236}">
              <a16:creationId xmlns:a16="http://schemas.microsoft.com/office/drawing/2014/main" id="{A575237A-DF3E-4571-9EC2-DF4BFD9D4DAC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2" name="TextBox 890">
          <a:extLst>
            <a:ext uri="{FF2B5EF4-FFF2-40B4-BE49-F238E27FC236}">
              <a16:creationId xmlns:a16="http://schemas.microsoft.com/office/drawing/2014/main" id="{BC0A67C2-4ECB-419D-B628-380A842D288C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3" name="TextBox 891">
          <a:extLst>
            <a:ext uri="{FF2B5EF4-FFF2-40B4-BE49-F238E27FC236}">
              <a16:creationId xmlns:a16="http://schemas.microsoft.com/office/drawing/2014/main" id="{7CA76065-553E-44FC-BF2F-DDAABE7B49E1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4" name="TextBox 1">
          <a:extLst>
            <a:ext uri="{FF2B5EF4-FFF2-40B4-BE49-F238E27FC236}">
              <a16:creationId xmlns:a16="http://schemas.microsoft.com/office/drawing/2014/main" id="{02331DC3-D799-48CA-82A7-1DEEA5C5936B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5" name="TextBox 3">
          <a:extLst>
            <a:ext uri="{FF2B5EF4-FFF2-40B4-BE49-F238E27FC236}">
              <a16:creationId xmlns:a16="http://schemas.microsoft.com/office/drawing/2014/main" id="{37139EDD-F4E7-40F6-B8DB-F08AB04774E3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6" name="TextBox 894">
          <a:extLst>
            <a:ext uri="{FF2B5EF4-FFF2-40B4-BE49-F238E27FC236}">
              <a16:creationId xmlns:a16="http://schemas.microsoft.com/office/drawing/2014/main" id="{BB1B803F-4EB1-410A-8229-4AB4183A7591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7" name="TextBox 895">
          <a:extLst>
            <a:ext uri="{FF2B5EF4-FFF2-40B4-BE49-F238E27FC236}">
              <a16:creationId xmlns:a16="http://schemas.microsoft.com/office/drawing/2014/main" id="{2520377D-B306-4DB8-818F-39D87A235AB2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8" name="TextBox 896">
          <a:extLst>
            <a:ext uri="{FF2B5EF4-FFF2-40B4-BE49-F238E27FC236}">
              <a16:creationId xmlns:a16="http://schemas.microsoft.com/office/drawing/2014/main" id="{7D8469D3-285D-45A0-B8A2-15F18D452889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19" name="TextBox 897">
          <a:extLst>
            <a:ext uri="{FF2B5EF4-FFF2-40B4-BE49-F238E27FC236}">
              <a16:creationId xmlns:a16="http://schemas.microsoft.com/office/drawing/2014/main" id="{F3FE5614-8DD7-4D8A-8F73-FF84C4146AF3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0" name="TextBox 898">
          <a:extLst>
            <a:ext uri="{FF2B5EF4-FFF2-40B4-BE49-F238E27FC236}">
              <a16:creationId xmlns:a16="http://schemas.microsoft.com/office/drawing/2014/main" id="{0A12A3A1-EC4C-4B90-9798-2CB6D12EC835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1" name="TextBox 899">
          <a:extLst>
            <a:ext uri="{FF2B5EF4-FFF2-40B4-BE49-F238E27FC236}">
              <a16:creationId xmlns:a16="http://schemas.microsoft.com/office/drawing/2014/main" id="{44F93717-FC2D-4A86-A014-5787CA4B4D2D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2" name="TextBox 900">
          <a:extLst>
            <a:ext uri="{FF2B5EF4-FFF2-40B4-BE49-F238E27FC236}">
              <a16:creationId xmlns:a16="http://schemas.microsoft.com/office/drawing/2014/main" id="{B08F3957-4488-48F6-B6A8-25845ABF3018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3" name="TextBox 901">
          <a:extLst>
            <a:ext uri="{FF2B5EF4-FFF2-40B4-BE49-F238E27FC236}">
              <a16:creationId xmlns:a16="http://schemas.microsoft.com/office/drawing/2014/main" id="{25E6C5B4-A883-4402-BE95-75BED95F0521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4" name="TextBox 902">
          <a:extLst>
            <a:ext uri="{FF2B5EF4-FFF2-40B4-BE49-F238E27FC236}">
              <a16:creationId xmlns:a16="http://schemas.microsoft.com/office/drawing/2014/main" id="{D6727709-7FCC-4BDD-9AEB-EF93C59B05D5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5" name="TextBox 903">
          <a:extLst>
            <a:ext uri="{FF2B5EF4-FFF2-40B4-BE49-F238E27FC236}">
              <a16:creationId xmlns:a16="http://schemas.microsoft.com/office/drawing/2014/main" id="{BADA0608-FD0F-494E-B7B5-C872F1F8C0DF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6" name="TextBox 13">
          <a:extLst>
            <a:ext uri="{FF2B5EF4-FFF2-40B4-BE49-F238E27FC236}">
              <a16:creationId xmlns:a16="http://schemas.microsoft.com/office/drawing/2014/main" id="{27EDC3AF-9AAF-4AC8-8B58-49E32230B1C8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7" name="TextBox 14">
          <a:extLst>
            <a:ext uri="{FF2B5EF4-FFF2-40B4-BE49-F238E27FC236}">
              <a16:creationId xmlns:a16="http://schemas.microsoft.com/office/drawing/2014/main" id="{91A1622F-A60F-43A2-9269-6BA56D9E175E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8" name="TextBox 906">
          <a:extLst>
            <a:ext uri="{FF2B5EF4-FFF2-40B4-BE49-F238E27FC236}">
              <a16:creationId xmlns:a16="http://schemas.microsoft.com/office/drawing/2014/main" id="{92CE09F9-C7F2-413B-B870-D278AB0D49FE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29" name="TextBox 907">
          <a:extLst>
            <a:ext uri="{FF2B5EF4-FFF2-40B4-BE49-F238E27FC236}">
              <a16:creationId xmlns:a16="http://schemas.microsoft.com/office/drawing/2014/main" id="{9C7D4A97-966B-4196-8170-5A66EEA8650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0" name="TextBox 908">
          <a:extLst>
            <a:ext uri="{FF2B5EF4-FFF2-40B4-BE49-F238E27FC236}">
              <a16:creationId xmlns:a16="http://schemas.microsoft.com/office/drawing/2014/main" id="{C384FCF6-1289-4F65-B7ED-082265B6094C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1" name="TextBox 909">
          <a:extLst>
            <a:ext uri="{FF2B5EF4-FFF2-40B4-BE49-F238E27FC236}">
              <a16:creationId xmlns:a16="http://schemas.microsoft.com/office/drawing/2014/main" id="{CC85C1B1-C6A0-49CD-BC8F-ABC473EF1B55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2" name="TextBox 15">
          <a:extLst>
            <a:ext uri="{FF2B5EF4-FFF2-40B4-BE49-F238E27FC236}">
              <a16:creationId xmlns:a16="http://schemas.microsoft.com/office/drawing/2014/main" id="{826106C8-77AC-4AA7-AB8A-2FB4C86292E3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3" name="TextBox 16">
          <a:extLst>
            <a:ext uri="{FF2B5EF4-FFF2-40B4-BE49-F238E27FC236}">
              <a16:creationId xmlns:a16="http://schemas.microsoft.com/office/drawing/2014/main" id="{EA9E9FB2-6D09-435F-AD28-8E257A8796D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4" name="TextBox 17">
          <a:extLst>
            <a:ext uri="{FF2B5EF4-FFF2-40B4-BE49-F238E27FC236}">
              <a16:creationId xmlns:a16="http://schemas.microsoft.com/office/drawing/2014/main" id="{F0D961C3-6643-4E22-BE23-328CF6896D7E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5" name="TextBox 18">
          <a:extLst>
            <a:ext uri="{FF2B5EF4-FFF2-40B4-BE49-F238E27FC236}">
              <a16:creationId xmlns:a16="http://schemas.microsoft.com/office/drawing/2014/main" id="{EDB8F8B7-3B51-4236-9377-47D4C5D853F0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6" name="TextBox 914">
          <a:extLst>
            <a:ext uri="{FF2B5EF4-FFF2-40B4-BE49-F238E27FC236}">
              <a16:creationId xmlns:a16="http://schemas.microsoft.com/office/drawing/2014/main" id="{0F5F19F1-02A1-43BB-A50C-515C86F1216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7" name="TextBox 915">
          <a:extLst>
            <a:ext uri="{FF2B5EF4-FFF2-40B4-BE49-F238E27FC236}">
              <a16:creationId xmlns:a16="http://schemas.microsoft.com/office/drawing/2014/main" id="{468329CA-C602-433D-9411-F5D855C0CEB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8" name="TextBox 1">
          <a:extLst>
            <a:ext uri="{FF2B5EF4-FFF2-40B4-BE49-F238E27FC236}">
              <a16:creationId xmlns:a16="http://schemas.microsoft.com/office/drawing/2014/main" id="{42B96972-49B5-4B27-A0EB-30609D97FB0A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39" name="TextBox 3">
          <a:extLst>
            <a:ext uri="{FF2B5EF4-FFF2-40B4-BE49-F238E27FC236}">
              <a16:creationId xmlns:a16="http://schemas.microsoft.com/office/drawing/2014/main" id="{9FD8B432-D21C-40DB-9954-A2082EDAE3BE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0" name="TextBox 918">
          <a:extLst>
            <a:ext uri="{FF2B5EF4-FFF2-40B4-BE49-F238E27FC236}">
              <a16:creationId xmlns:a16="http://schemas.microsoft.com/office/drawing/2014/main" id="{A8F9C155-6F60-4389-B73A-D91277561507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1" name="TextBox 919">
          <a:extLst>
            <a:ext uri="{FF2B5EF4-FFF2-40B4-BE49-F238E27FC236}">
              <a16:creationId xmlns:a16="http://schemas.microsoft.com/office/drawing/2014/main" id="{A1E3A689-1680-49C1-B85D-D9034DF2132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2" name="TextBox 920">
          <a:extLst>
            <a:ext uri="{FF2B5EF4-FFF2-40B4-BE49-F238E27FC236}">
              <a16:creationId xmlns:a16="http://schemas.microsoft.com/office/drawing/2014/main" id="{6E6844C6-A063-49A0-B1DC-07580FEBFD20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3" name="TextBox 921">
          <a:extLst>
            <a:ext uri="{FF2B5EF4-FFF2-40B4-BE49-F238E27FC236}">
              <a16:creationId xmlns:a16="http://schemas.microsoft.com/office/drawing/2014/main" id="{5B2E5944-1CC3-40D1-A05C-9D95A6F663A1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4" name="TextBox 922">
          <a:extLst>
            <a:ext uri="{FF2B5EF4-FFF2-40B4-BE49-F238E27FC236}">
              <a16:creationId xmlns:a16="http://schemas.microsoft.com/office/drawing/2014/main" id="{BF72E722-A3BA-4F28-B296-C03CA1BE5A34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5" name="TextBox 923">
          <a:extLst>
            <a:ext uri="{FF2B5EF4-FFF2-40B4-BE49-F238E27FC236}">
              <a16:creationId xmlns:a16="http://schemas.microsoft.com/office/drawing/2014/main" id="{E7776A4E-2AEC-4618-8CEC-8FB5A27DB19E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6" name="TextBox 924">
          <a:extLst>
            <a:ext uri="{FF2B5EF4-FFF2-40B4-BE49-F238E27FC236}">
              <a16:creationId xmlns:a16="http://schemas.microsoft.com/office/drawing/2014/main" id="{8E797906-F676-44CF-AEEF-F64CBB221BB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7" name="TextBox 925">
          <a:extLst>
            <a:ext uri="{FF2B5EF4-FFF2-40B4-BE49-F238E27FC236}">
              <a16:creationId xmlns:a16="http://schemas.microsoft.com/office/drawing/2014/main" id="{D07D0BC6-FBA2-4C23-8D68-142C4D92838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8" name="TextBox 926">
          <a:extLst>
            <a:ext uri="{FF2B5EF4-FFF2-40B4-BE49-F238E27FC236}">
              <a16:creationId xmlns:a16="http://schemas.microsoft.com/office/drawing/2014/main" id="{1FC59C6A-4601-4497-AA1F-E457B1250CFA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49" name="TextBox 927">
          <a:extLst>
            <a:ext uri="{FF2B5EF4-FFF2-40B4-BE49-F238E27FC236}">
              <a16:creationId xmlns:a16="http://schemas.microsoft.com/office/drawing/2014/main" id="{A7967743-E650-4646-B816-44E83C1019B1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0" name="TextBox 13">
          <a:extLst>
            <a:ext uri="{FF2B5EF4-FFF2-40B4-BE49-F238E27FC236}">
              <a16:creationId xmlns:a16="http://schemas.microsoft.com/office/drawing/2014/main" id="{69F29121-5158-4FC5-94AA-F183D502FF58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1" name="TextBox 14">
          <a:extLst>
            <a:ext uri="{FF2B5EF4-FFF2-40B4-BE49-F238E27FC236}">
              <a16:creationId xmlns:a16="http://schemas.microsoft.com/office/drawing/2014/main" id="{14E25FC7-4E9E-4B02-A31D-C7895F89665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2" name="TextBox 930">
          <a:extLst>
            <a:ext uri="{FF2B5EF4-FFF2-40B4-BE49-F238E27FC236}">
              <a16:creationId xmlns:a16="http://schemas.microsoft.com/office/drawing/2014/main" id="{2A3E7791-70FD-4ED4-A1CE-C5AA49EDD13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3" name="TextBox 931">
          <a:extLst>
            <a:ext uri="{FF2B5EF4-FFF2-40B4-BE49-F238E27FC236}">
              <a16:creationId xmlns:a16="http://schemas.microsoft.com/office/drawing/2014/main" id="{E4ABB6A5-FCF4-4F8E-BF90-0F627E2EC05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4" name="TextBox 932">
          <a:extLst>
            <a:ext uri="{FF2B5EF4-FFF2-40B4-BE49-F238E27FC236}">
              <a16:creationId xmlns:a16="http://schemas.microsoft.com/office/drawing/2014/main" id="{CFA9EBFA-F470-416B-BCD1-0C510B30EEC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5" name="TextBox 933">
          <a:extLst>
            <a:ext uri="{FF2B5EF4-FFF2-40B4-BE49-F238E27FC236}">
              <a16:creationId xmlns:a16="http://schemas.microsoft.com/office/drawing/2014/main" id="{CECBC0F1-378C-416B-9E5D-51FC6E72569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6" name="TextBox 15">
          <a:extLst>
            <a:ext uri="{FF2B5EF4-FFF2-40B4-BE49-F238E27FC236}">
              <a16:creationId xmlns:a16="http://schemas.microsoft.com/office/drawing/2014/main" id="{462751B2-A1D3-470A-8C24-63B804A0BEE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7" name="TextBox 16">
          <a:extLst>
            <a:ext uri="{FF2B5EF4-FFF2-40B4-BE49-F238E27FC236}">
              <a16:creationId xmlns:a16="http://schemas.microsoft.com/office/drawing/2014/main" id="{EBADA955-6B20-4FD0-8113-F74B57BF227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8" name="TextBox 17">
          <a:extLst>
            <a:ext uri="{FF2B5EF4-FFF2-40B4-BE49-F238E27FC236}">
              <a16:creationId xmlns:a16="http://schemas.microsoft.com/office/drawing/2014/main" id="{CBED475C-6C61-4434-AA8E-119B9545BF2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59" name="TextBox 18">
          <a:extLst>
            <a:ext uri="{FF2B5EF4-FFF2-40B4-BE49-F238E27FC236}">
              <a16:creationId xmlns:a16="http://schemas.microsoft.com/office/drawing/2014/main" id="{B952C563-312F-40BE-BCF8-B6B53F2733B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0" name="TextBox 938">
          <a:extLst>
            <a:ext uri="{FF2B5EF4-FFF2-40B4-BE49-F238E27FC236}">
              <a16:creationId xmlns:a16="http://schemas.microsoft.com/office/drawing/2014/main" id="{49D44A56-068F-4067-B93F-FD056DA204B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1" name="TextBox 939">
          <a:extLst>
            <a:ext uri="{FF2B5EF4-FFF2-40B4-BE49-F238E27FC236}">
              <a16:creationId xmlns:a16="http://schemas.microsoft.com/office/drawing/2014/main" id="{C529FD15-686B-4102-9728-D101B294045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2" name="TextBox 1">
          <a:extLst>
            <a:ext uri="{FF2B5EF4-FFF2-40B4-BE49-F238E27FC236}">
              <a16:creationId xmlns:a16="http://schemas.microsoft.com/office/drawing/2014/main" id="{748F21F0-68FC-485C-955C-B49DB88D4C0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3" name="TextBox 3">
          <a:extLst>
            <a:ext uri="{FF2B5EF4-FFF2-40B4-BE49-F238E27FC236}">
              <a16:creationId xmlns:a16="http://schemas.microsoft.com/office/drawing/2014/main" id="{6E1A918E-10B4-4DF8-A29E-39A41EA13A4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4" name="TextBox 942">
          <a:extLst>
            <a:ext uri="{FF2B5EF4-FFF2-40B4-BE49-F238E27FC236}">
              <a16:creationId xmlns:a16="http://schemas.microsoft.com/office/drawing/2014/main" id="{D070E68C-FA82-42D8-8BD3-83788383FCB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5" name="TextBox 943">
          <a:extLst>
            <a:ext uri="{FF2B5EF4-FFF2-40B4-BE49-F238E27FC236}">
              <a16:creationId xmlns:a16="http://schemas.microsoft.com/office/drawing/2014/main" id="{E94BBA70-8F90-4690-9D66-64A6A26E3D7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6" name="TextBox 944">
          <a:extLst>
            <a:ext uri="{FF2B5EF4-FFF2-40B4-BE49-F238E27FC236}">
              <a16:creationId xmlns:a16="http://schemas.microsoft.com/office/drawing/2014/main" id="{DB78304E-AA3C-45C3-8D45-DCB4F7E827D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7" name="TextBox 945">
          <a:extLst>
            <a:ext uri="{FF2B5EF4-FFF2-40B4-BE49-F238E27FC236}">
              <a16:creationId xmlns:a16="http://schemas.microsoft.com/office/drawing/2014/main" id="{C7BBD275-F4AF-4321-BC86-8B3A2DFE862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8" name="TextBox 946">
          <a:extLst>
            <a:ext uri="{FF2B5EF4-FFF2-40B4-BE49-F238E27FC236}">
              <a16:creationId xmlns:a16="http://schemas.microsoft.com/office/drawing/2014/main" id="{79D53091-5A71-4877-9194-B07C0A637BA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69" name="TextBox 947">
          <a:extLst>
            <a:ext uri="{FF2B5EF4-FFF2-40B4-BE49-F238E27FC236}">
              <a16:creationId xmlns:a16="http://schemas.microsoft.com/office/drawing/2014/main" id="{49639AF8-43F5-4505-9F20-09EEA008A68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0" name="TextBox 948">
          <a:extLst>
            <a:ext uri="{FF2B5EF4-FFF2-40B4-BE49-F238E27FC236}">
              <a16:creationId xmlns:a16="http://schemas.microsoft.com/office/drawing/2014/main" id="{60A7FA57-BD69-418D-A119-E7AA128B61B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1" name="TextBox 949">
          <a:extLst>
            <a:ext uri="{FF2B5EF4-FFF2-40B4-BE49-F238E27FC236}">
              <a16:creationId xmlns:a16="http://schemas.microsoft.com/office/drawing/2014/main" id="{D8B450A2-DD03-45FB-812D-5124E976230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2" name="TextBox 950">
          <a:extLst>
            <a:ext uri="{FF2B5EF4-FFF2-40B4-BE49-F238E27FC236}">
              <a16:creationId xmlns:a16="http://schemas.microsoft.com/office/drawing/2014/main" id="{283E36D3-0BC0-4D81-9EC1-5E10F290EA5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3" name="TextBox 951">
          <a:extLst>
            <a:ext uri="{FF2B5EF4-FFF2-40B4-BE49-F238E27FC236}">
              <a16:creationId xmlns:a16="http://schemas.microsoft.com/office/drawing/2014/main" id="{0F118AB6-4EA7-46AC-A341-A7F3D47B305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4" name="TextBox 13">
          <a:extLst>
            <a:ext uri="{FF2B5EF4-FFF2-40B4-BE49-F238E27FC236}">
              <a16:creationId xmlns:a16="http://schemas.microsoft.com/office/drawing/2014/main" id="{811B5DBF-065E-40B6-B55F-474AF66C22B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5" name="TextBox 14">
          <a:extLst>
            <a:ext uri="{FF2B5EF4-FFF2-40B4-BE49-F238E27FC236}">
              <a16:creationId xmlns:a16="http://schemas.microsoft.com/office/drawing/2014/main" id="{A998281C-2C10-4FA4-B468-0CD60FC1C8E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6" name="TextBox 954">
          <a:extLst>
            <a:ext uri="{FF2B5EF4-FFF2-40B4-BE49-F238E27FC236}">
              <a16:creationId xmlns:a16="http://schemas.microsoft.com/office/drawing/2014/main" id="{68F6CCCC-19FB-4CD3-A7E2-CC497703E70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7" name="TextBox 955">
          <a:extLst>
            <a:ext uri="{FF2B5EF4-FFF2-40B4-BE49-F238E27FC236}">
              <a16:creationId xmlns:a16="http://schemas.microsoft.com/office/drawing/2014/main" id="{AF6C293E-4575-4531-A454-55DF1E50544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8" name="TextBox 956">
          <a:extLst>
            <a:ext uri="{FF2B5EF4-FFF2-40B4-BE49-F238E27FC236}">
              <a16:creationId xmlns:a16="http://schemas.microsoft.com/office/drawing/2014/main" id="{4836B75E-75FF-437E-B4E5-7B34B173851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79" name="TextBox 957">
          <a:extLst>
            <a:ext uri="{FF2B5EF4-FFF2-40B4-BE49-F238E27FC236}">
              <a16:creationId xmlns:a16="http://schemas.microsoft.com/office/drawing/2014/main" id="{52AE5FDF-5867-441A-8057-0DD098654F0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0" name="TextBox 15">
          <a:extLst>
            <a:ext uri="{FF2B5EF4-FFF2-40B4-BE49-F238E27FC236}">
              <a16:creationId xmlns:a16="http://schemas.microsoft.com/office/drawing/2014/main" id="{8897EFF9-3D9D-431E-A944-90D937D9E93E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1" name="TextBox 16">
          <a:extLst>
            <a:ext uri="{FF2B5EF4-FFF2-40B4-BE49-F238E27FC236}">
              <a16:creationId xmlns:a16="http://schemas.microsoft.com/office/drawing/2014/main" id="{18D3CC3B-DFCD-44A1-AB3C-7AE532D8CCC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2" name="TextBox 17">
          <a:extLst>
            <a:ext uri="{FF2B5EF4-FFF2-40B4-BE49-F238E27FC236}">
              <a16:creationId xmlns:a16="http://schemas.microsoft.com/office/drawing/2014/main" id="{39C837B5-9DB1-4694-94DF-BB4C8678832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3" name="TextBox 18">
          <a:extLst>
            <a:ext uri="{FF2B5EF4-FFF2-40B4-BE49-F238E27FC236}">
              <a16:creationId xmlns:a16="http://schemas.microsoft.com/office/drawing/2014/main" id="{4BBE223D-8DE4-43C4-A327-BB9C1130BE9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4" name="TextBox 962">
          <a:extLst>
            <a:ext uri="{FF2B5EF4-FFF2-40B4-BE49-F238E27FC236}">
              <a16:creationId xmlns:a16="http://schemas.microsoft.com/office/drawing/2014/main" id="{8C285199-FAC7-4628-8BB2-CFB39F0D9BD1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5" name="TextBox 963">
          <a:extLst>
            <a:ext uri="{FF2B5EF4-FFF2-40B4-BE49-F238E27FC236}">
              <a16:creationId xmlns:a16="http://schemas.microsoft.com/office/drawing/2014/main" id="{C34E0F3F-B8CF-498F-AE01-0FC6BA043AC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6" name="TextBox 1">
          <a:extLst>
            <a:ext uri="{FF2B5EF4-FFF2-40B4-BE49-F238E27FC236}">
              <a16:creationId xmlns:a16="http://schemas.microsoft.com/office/drawing/2014/main" id="{E9D39806-9A4C-4769-A7D8-6871185DADB1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7" name="TextBox 3">
          <a:extLst>
            <a:ext uri="{FF2B5EF4-FFF2-40B4-BE49-F238E27FC236}">
              <a16:creationId xmlns:a16="http://schemas.microsoft.com/office/drawing/2014/main" id="{D32B680D-BF10-4200-84D0-109C68B512CA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8" name="TextBox 966">
          <a:extLst>
            <a:ext uri="{FF2B5EF4-FFF2-40B4-BE49-F238E27FC236}">
              <a16:creationId xmlns:a16="http://schemas.microsoft.com/office/drawing/2014/main" id="{36B47B02-FE0C-44E2-8C20-97F73FBDA7B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89" name="TextBox 967">
          <a:extLst>
            <a:ext uri="{FF2B5EF4-FFF2-40B4-BE49-F238E27FC236}">
              <a16:creationId xmlns:a16="http://schemas.microsoft.com/office/drawing/2014/main" id="{EE13F9F6-2C78-44B4-8A4E-69746483DB3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0" name="TextBox 968">
          <a:extLst>
            <a:ext uri="{FF2B5EF4-FFF2-40B4-BE49-F238E27FC236}">
              <a16:creationId xmlns:a16="http://schemas.microsoft.com/office/drawing/2014/main" id="{E7AD487A-C927-4367-B2C3-C8F590FCAAE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1" name="TextBox 969">
          <a:extLst>
            <a:ext uri="{FF2B5EF4-FFF2-40B4-BE49-F238E27FC236}">
              <a16:creationId xmlns:a16="http://schemas.microsoft.com/office/drawing/2014/main" id="{461E6482-3ADC-478A-A21F-DBD8E09F6C7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2" name="TextBox 970">
          <a:extLst>
            <a:ext uri="{FF2B5EF4-FFF2-40B4-BE49-F238E27FC236}">
              <a16:creationId xmlns:a16="http://schemas.microsoft.com/office/drawing/2014/main" id="{7000B30A-07B8-4FD7-ADF1-861B660B155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3" name="TextBox 971">
          <a:extLst>
            <a:ext uri="{FF2B5EF4-FFF2-40B4-BE49-F238E27FC236}">
              <a16:creationId xmlns:a16="http://schemas.microsoft.com/office/drawing/2014/main" id="{E3F62FBF-7D49-4544-8145-1A5EA5AB952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4" name="TextBox 972">
          <a:extLst>
            <a:ext uri="{FF2B5EF4-FFF2-40B4-BE49-F238E27FC236}">
              <a16:creationId xmlns:a16="http://schemas.microsoft.com/office/drawing/2014/main" id="{506476C6-D5D6-407C-8131-94C041E4E5B8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5" name="TextBox 973">
          <a:extLst>
            <a:ext uri="{FF2B5EF4-FFF2-40B4-BE49-F238E27FC236}">
              <a16:creationId xmlns:a16="http://schemas.microsoft.com/office/drawing/2014/main" id="{74AD7E16-CFFB-495A-A460-56F28090954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6" name="TextBox 974">
          <a:extLst>
            <a:ext uri="{FF2B5EF4-FFF2-40B4-BE49-F238E27FC236}">
              <a16:creationId xmlns:a16="http://schemas.microsoft.com/office/drawing/2014/main" id="{04C58DD2-64A4-479E-80BD-A0E5D8C990B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7" name="TextBox 975">
          <a:extLst>
            <a:ext uri="{FF2B5EF4-FFF2-40B4-BE49-F238E27FC236}">
              <a16:creationId xmlns:a16="http://schemas.microsoft.com/office/drawing/2014/main" id="{0A679742-3B46-4696-ACE3-89282F7A1C5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8" name="TextBox 13">
          <a:extLst>
            <a:ext uri="{FF2B5EF4-FFF2-40B4-BE49-F238E27FC236}">
              <a16:creationId xmlns:a16="http://schemas.microsoft.com/office/drawing/2014/main" id="{F4380B7F-063B-4E26-8A63-62EA2303A26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599" name="TextBox 14">
          <a:extLst>
            <a:ext uri="{FF2B5EF4-FFF2-40B4-BE49-F238E27FC236}">
              <a16:creationId xmlns:a16="http://schemas.microsoft.com/office/drawing/2014/main" id="{381C6557-7778-4B1E-B0F2-F918A127AFE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0" name="TextBox 978">
          <a:extLst>
            <a:ext uri="{FF2B5EF4-FFF2-40B4-BE49-F238E27FC236}">
              <a16:creationId xmlns:a16="http://schemas.microsoft.com/office/drawing/2014/main" id="{2E5493D7-0EB2-424D-91BD-DB9921E7EB9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1" name="TextBox 979">
          <a:extLst>
            <a:ext uri="{FF2B5EF4-FFF2-40B4-BE49-F238E27FC236}">
              <a16:creationId xmlns:a16="http://schemas.microsoft.com/office/drawing/2014/main" id="{00E2B5B6-C01E-417C-A734-630F52EA2138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2" name="TextBox 980">
          <a:extLst>
            <a:ext uri="{FF2B5EF4-FFF2-40B4-BE49-F238E27FC236}">
              <a16:creationId xmlns:a16="http://schemas.microsoft.com/office/drawing/2014/main" id="{2AD9987D-B2F6-4F18-ABEA-1DC9651DB83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3" name="TextBox 981">
          <a:extLst>
            <a:ext uri="{FF2B5EF4-FFF2-40B4-BE49-F238E27FC236}">
              <a16:creationId xmlns:a16="http://schemas.microsoft.com/office/drawing/2014/main" id="{B30E4D97-DE18-48E6-8251-8569C48E0BD3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4" name="TextBox 15">
          <a:extLst>
            <a:ext uri="{FF2B5EF4-FFF2-40B4-BE49-F238E27FC236}">
              <a16:creationId xmlns:a16="http://schemas.microsoft.com/office/drawing/2014/main" id="{6D384BD7-A59D-41E9-AB8C-823083198FBF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5" name="TextBox 16">
          <a:extLst>
            <a:ext uri="{FF2B5EF4-FFF2-40B4-BE49-F238E27FC236}">
              <a16:creationId xmlns:a16="http://schemas.microsoft.com/office/drawing/2014/main" id="{7C2E7E45-A80A-4BF5-9267-7BC071D7453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6" name="TextBox 17">
          <a:extLst>
            <a:ext uri="{FF2B5EF4-FFF2-40B4-BE49-F238E27FC236}">
              <a16:creationId xmlns:a16="http://schemas.microsoft.com/office/drawing/2014/main" id="{E4F055B7-D435-4A30-A846-89B29AECEF0B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7" name="TextBox 18">
          <a:extLst>
            <a:ext uri="{FF2B5EF4-FFF2-40B4-BE49-F238E27FC236}">
              <a16:creationId xmlns:a16="http://schemas.microsoft.com/office/drawing/2014/main" id="{5DB42432-1A7C-4553-BEE6-52F787BF3CC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8" name="TextBox 986">
          <a:extLst>
            <a:ext uri="{FF2B5EF4-FFF2-40B4-BE49-F238E27FC236}">
              <a16:creationId xmlns:a16="http://schemas.microsoft.com/office/drawing/2014/main" id="{F147DD42-A3CE-47F7-8451-9E8DF2E5ED06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09" name="TextBox 987">
          <a:extLst>
            <a:ext uri="{FF2B5EF4-FFF2-40B4-BE49-F238E27FC236}">
              <a16:creationId xmlns:a16="http://schemas.microsoft.com/office/drawing/2014/main" id="{8A88B016-6D9E-4E33-ADE1-4B536E88F35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0" name="TextBox 1">
          <a:extLst>
            <a:ext uri="{FF2B5EF4-FFF2-40B4-BE49-F238E27FC236}">
              <a16:creationId xmlns:a16="http://schemas.microsoft.com/office/drawing/2014/main" id="{9CBA2954-BE44-4AF1-BA82-E8116283BDA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1" name="TextBox 3">
          <a:extLst>
            <a:ext uri="{FF2B5EF4-FFF2-40B4-BE49-F238E27FC236}">
              <a16:creationId xmlns:a16="http://schemas.microsoft.com/office/drawing/2014/main" id="{88E75925-EDFC-4A88-B505-CAE988D949EB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2" name="TextBox 990">
          <a:extLst>
            <a:ext uri="{FF2B5EF4-FFF2-40B4-BE49-F238E27FC236}">
              <a16:creationId xmlns:a16="http://schemas.microsoft.com/office/drawing/2014/main" id="{D71856EA-E3D6-4827-9AC6-A9731959DFC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3" name="TextBox 991">
          <a:extLst>
            <a:ext uri="{FF2B5EF4-FFF2-40B4-BE49-F238E27FC236}">
              <a16:creationId xmlns:a16="http://schemas.microsoft.com/office/drawing/2014/main" id="{A9D45C94-D86F-4FF9-A055-C095414577E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4" name="TextBox 992">
          <a:extLst>
            <a:ext uri="{FF2B5EF4-FFF2-40B4-BE49-F238E27FC236}">
              <a16:creationId xmlns:a16="http://schemas.microsoft.com/office/drawing/2014/main" id="{C4B145F1-2AD7-4668-A9FD-A178EBF10C0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5" name="TextBox 993">
          <a:extLst>
            <a:ext uri="{FF2B5EF4-FFF2-40B4-BE49-F238E27FC236}">
              <a16:creationId xmlns:a16="http://schemas.microsoft.com/office/drawing/2014/main" id="{95A88FDD-873B-4D7E-BC99-BC11DC487798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6" name="TextBox 994">
          <a:extLst>
            <a:ext uri="{FF2B5EF4-FFF2-40B4-BE49-F238E27FC236}">
              <a16:creationId xmlns:a16="http://schemas.microsoft.com/office/drawing/2014/main" id="{F29404FF-3918-4DC2-A2E9-33182CEFA968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7" name="TextBox 995">
          <a:extLst>
            <a:ext uri="{FF2B5EF4-FFF2-40B4-BE49-F238E27FC236}">
              <a16:creationId xmlns:a16="http://schemas.microsoft.com/office/drawing/2014/main" id="{BDE88081-C83F-4D68-B815-F26AF0EF6000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8" name="TextBox 996">
          <a:extLst>
            <a:ext uri="{FF2B5EF4-FFF2-40B4-BE49-F238E27FC236}">
              <a16:creationId xmlns:a16="http://schemas.microsoft.com/office/drawing/2014/main" id="{36D63296-1B0F-4431-8E2A-41377508B82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19" name="TextBox 997">
          <a:extLst>
            <a:ext uri="{FF2B5EF4-FFF2-40B4-BE49-F238E27FC236}">
              <a16:creationId xmlns:a16="http://schemas.microsoft.com/office/drawing/2014/main" id="{B6635F9A-F46B-4390-810E-4A3F73172EA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0" name="TextBox 998">
          <a:extLst>
            <a:ext uri="{FF2B5EF4-FFF2-40B4-BE49-F238E27FC236}">
              <a16:creationId xmlns:a16="http://schemas.microsoft.com/office/drawing/2014/main" id="{A8EBDFCE-5415-4FDE-8520-908035802F0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1" name="TextBox 999">
          <a:extLst>
            <a:ext uri="{FF2B5EF4-FFF2-40B4-BE49-F238E27FC236}">
              <a16:creationId xmlns:a16="http://schemas.microsoft.com/office/drawing/2014/main" id="{D0D65A1D-7CE3-4FD8-B7AE-961CF53416B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2" name="TextBox 13">
          <a:extLst>
            <a:ext uri="{FF2B5EF4-FFF2-40B4-BE49-F238E27FC236}">
              <a16:creationId xmlns:a16="http://schemas.microsoft.com/office/drawing/2014/main" id="{B01C534B-231B-49A0-ABA3-E6661DA665E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3" name="TextBox 14">
          <a:extLst>
            <a:ext uri="{FF2B5EF4-FFF2-40B4-BE49-F238E27FC236}">
              <a16:creationId xmlns:a16="http://schemas.microsoft.com/office/drawing/2014/main" id="{352D9DBE-C578-42D6-977B-9E66E63AD04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4" name="TextBox 1002">
          <a:extLst>
            <a:ext uri="{FF2B5EF4-FFF2-40B4-BE49-F238E27FC236}">
              <a16:creationId xmlns:a16="http://schemas.microsoft.com/office/drawing/2014/main" id="{494CDE67-45C5-4C21-9C2F-C02220182BB1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5" name="TextBox 1003">
          <a:extLst>
            <a:ext uri="{FF2B5EF4-FFF2-40B4-BE49-F238E27FC236}">
              <a16:creationId xmlns:a16="http://schemas.microsoft.com/office/drawing/2014/main" id="{6C01101A-79A8-4663-8757-4FB2D181E622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6" name="TextBox 1004">
          <a:extLst>
            <a:ext uri="{FF2B5EF4-FFF2-40B4-BE49-F238E27FC236}">
              <a16:creationId xmlns:a16="http://schemas.microsoft.com/office/drawing/2014/main" id="{43D46763-AE49-4970-A8DA-37930E8BF8FD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7" name="TextBox 1005">
          <a:extLst>
            <a:ext uri="{FF2B5EF4-FFF2-40B4-BE49-F238E27FC236}">
              <a16:creationId xmlns:a16="http://schemas.microsoft.com/office/drawing/2014/main" id="{32DBD662-8699-43EF-8ACA-C7C52E7F1DB2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8" name="TextBox 15">
          <a:extLst>
            <a:ext uri="{FF2B5EF4-FFF2-40B4-BE49-F238E27FC236}">
              <a16:creationId xmlns:a16="http://schemas.microsoft.com/office/drawing/2014/main" id="{7A899427-F096-440E-B7E0-65BECADE05F4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29" name="TextBox 16">
          <a:extLst>
            <a:ext uri="{FF2B5EF4-FFF2-40B4-BE49-F238E27FC236}">
              <a16:creationId xmlns:a16="http://schemas.microsoft.com/office/drawing/2014/main" id="{B6D1D93B-D600-4852-91D9-6F502BF3561F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0" name="TextBox 17">
          <a:extLst>
            <a:ext uri="{FF2B5EF4-FFF2-40B4-BE49-F238E27FC236}">
              <a16:creationId xmlns:a16="http://schemas.microsoft.com/office/drawing/2014/main" id="{81F0A461-AD6E-4065-8D8D-EF2A63B59720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1" name="TextBox 18">
          <a:extLst>
            <a:ext uri="{FF2B5EF4-FFF2-40B4-BE49-F238E27FC236}">
              <a16:creationId xmlns:a16="http://schemas.microsoft.com/office/drawing/2014/main" id="{23EC0F7A-3340-4EF3-B8D2-6F134B7D9418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2" name="TextBox 1010">
          <a:extLst>
            <a:ext uri="{FF2B5EF4-FFF2-40B4-BE49-F238E27FC236}">
              <a16:creationId xmlns:a16="http://schemas.microsoft.com/office/drawing/2014/main" id="{89F5CD41-F34B-4389-9D42-38D000DE2518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3" name="TextBox 1011">
          <a:extLst>
            <a:ext uri="{FF2B5EF4-FFF2-40B4-BE49-F238E27FC236}">
              <a16:creationId xmlns:a16="http://schemas.microsoft.com/office/drawing/2014/main" id="{2F3670B9-4B4C-428A-B79C-BEB29A8163D0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4" name="TextBox 1">
          <a:extLst>
            <a:ext uri="{FF2B5EF4-FFF2-40B4-BE49-F238E27FC236}">
              <a16:creationId xmlns:a16="http://schemas.microsoft.com/office/drawing/2014/main" id="{4DB39DEE-3A9C-43BE-B160-7E40DB73080F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5" name="TextBox 3">
          <a:extLst>
            <a:ext uri="{FF2B5EF4-FFF2-40B4-BE49-F238E27FC236}">
              <a16:creationId xmlns:a16="http://schemas.microsoft.com/office/drawing/2014/main" id="{DD57B976-9BF2-49BA-AEB6-9E308AAB159D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6" name="TextBox 1014">
          <a:extLst>
            <a:ext uri="{FF2B5EF4-FFF2-40B4-BE49-F238E27FC236}">
              <a16:creationId xmlns:a16="http://schemas.microsoft.com/office/drawing/2014/main" id="{1BB6BE4E-3288-4325-BCA2-FDFB25DD7F63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7" name="TextBox 1015">
          <a:extLst>
            <a:ext uri="{FF2B5EF4-FFF2-40B4-BE49-F238E27FC236}">
              <a16:creationId xmlns:a16="http://schemas.microsoft.com/office/drawing/2014/main" id="{78C7FC3E-B458-4D6F-B791-047600593F54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8" name="TextBox 1016">
          <a:extLst>
            <a:ext uri="{FF2B5EF4-FFF2-40B4-BE49-F238E27FC236}">
              <a16:creationId xmlns:a16="http://schemas.microsoft.com/office/drawing/2014/main" id="{CF4E2708-76BE-4837-ADC5-C2F3EA2A0E49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39" name="TextBox 1017">
          <a:extLst>
            <a:ext uri="{FF2B5EF4-FFF2-40B4-BE49-F238E27FC236}">
              <a16:creationId xmlns:a16="http://schemas.microsoft.com/office/drawing/2014/main" id="{64DCB5E8-EDEF-4AE1-837C-F03305D0FFC5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0" name="TextBox 1018">
          <a:extLst>
            <a:ext uri="{FF2B5EF4-FFF2-40B4-BE49-F238E27FC236}">
              <a16:creationId xmlns:a16="http://schemas.microsoft.com/office/drawing/2014/main" id="{EB707E86-DBDC-408D-94C1-0FEAE48733A4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1" name="TextBox 1019">
          <a:extLst>
            <a:ext uri="{FF2B5EF4-FFF2-40B4-BE49-F238E27FC236}">
              <a16:creationId xmlns:a16="http://schemas.microsoft.com/office/drawing/2014/main" id="{18CBE20E-ABD2-46AF-89FC-2A9E7E7D1C08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2" name="TextBox 1020">
          <a:extLst>
            <a:ext uri="{FF2B5EF4-FFF2-40B4-BE49-F238E27FC236}">
              <a16:creationId xmlns:a16="http://schemas.microsoft.com/office/drawing/2014/main" id="{8436922B-C679-4CF3-9709-71FDD44F3F3B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3" name="TextBox 1021">
          <a:extLst>
            <a:ext uri="{FF2B5EF4-FFF2-40B4-BE49-F238E27FC236}">
              <a16:creationId xmlns:a16="http://schemas.microsoft.com/office/drawing/2014/main" id="{2C73A396-070D-4B9D-930D-7F49BF56CDBF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4" name="TextBox 1022">
          <a:extLst>
            <a:ext uri="{FF2B5EF4-FFF2-40B4-BE49-F238E27FC236}">
              <a16:creationId xmlns:a16="http://schemas.microsoft.com/office/drawing/2014/main" id="{1AB90C17-7020-499C-920C-0AA7663C7AE7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5" name="TextBox 1023">
          <a:extLst>
            <a:ext uri="{FF2B5EF4-FFF2-40B4-BE49-F238E27FC236}">
              <a16:creationId xmlns:a16="http://schemas.microsoft.com/office/drawing/2014/main" id="{F2CC7D97-E1EC-473F-A33F-39010661A8CB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6" name="TextBox 13">
          <a:extLst>
            <a:ext uri="{FF2B5EF4-FFF2-40B4-BE49-F238E27FC236}">
              <a16:creationId xmlns:a16="http://schemas.microsoft.com/office/drawing/2014/main" id="{03CE24FB-C9D6-41D7-81E7-9A4B4A90E105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7" name="TextBox 14">
          <a:extLst>
            <a:ext uri="{FF2B5EF4-FFF2-40B4-BE49-F238E27FC236}">
              <a16:creationId xmlns:a16="http://schemas.microsoft.com/office/drawing/2014/main" id="{79A79D6F-3213-43B5-BFBD-B99F8D35082A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8" name="TextBox 1026">
          <a:extLst>
            <a:ext uri="{FF2B5EF4-FFF2-40B4-BE49-F238E27FC236}">
              <a16:creationId xmlns:a16="http://schemas.microsoft.com/office/drawing/2014/main" id="{C19D2F08-E2E0-495E-8D0F-C4A71445A4F8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49" name="TextBox 1027">
          <a:extLst>
            <a:ext uri="{FF2B5EF4-FFF2-40B4-BE49-F238E27FC236}">
              <a16:creationId xmlns:a16="http://schemas.microsoft.com/office/drawing/2014/main" id="{FD32CABF-2271-4A74-9EEA-6B4E9386811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0" name="TextBox 1028">
          <a:extLst>
            <a:ext uri="{FF2B5EF4-FFF2-40B4-BE49-F238E27FC236}">
              <a16:creationId xmlns:a16="http://schemas.microsoft.com/office/drawing/2014/main" id="{CDCB70D8-8E7C-4EB8-BB5A-371E89548ED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1" name="TextBox 1029">
          <a:extLst>
            <a:ext uri="{FF2B5EF4-FFF2-40B4-BE49-F238E27FC236}">
              <a16:creationId xmlns:a16="http://schemas.microsoft.com/office/drawing/2014/main" id="{01D376E7-20B4-4E9D-A934-648E78361BF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2" name="TextBox 15">
          <a:extLst>
            <a:ext uri="{FF2B5EF4-FFF2-40B4-BE49-F238E27FC236}">
              <a16:creationId xmlns:a16="http://schemas.microsoft.com/office/drawing/2014/main" id="{580829FA-C646-4560-9376-94D53E2BE22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3" name="TextBox 16">
          <a:extLst>
            <a:ext uri="{FF2B5EF4-FFF2-40B4-BE49-F238E27FC236}">
              <a16:creationId xmlns:a16="http://schemas.microsoft.com/office/drawing/2014/main" id="{5AEB4C77-A812-4BC1-9AAB-1F878FE90E3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4" name="TextBox 17">
          <a:extLst>
            <a:ext uri="{FF2B5EF4-FFF2-40B4-BE49-F238E27FC236}">
              <a16:creationId xmlns:a16="http://schemas.microsoft.com/office/drawing/2014/main" id="{2E6916B2-2354-4220-A9E9-83C67F83092D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5" name="TextBox 18">
          <a:extLst>
            <a:ext uri="{FF2B5EF4-FFF2-40B4-BE49-F238E27FC236}">
              <a16:creationId xmlns:a16="http://schemas.microsoft.com/office/drawing/2014/main" id="{A8261C75-1DD1-4AF9-BB4B-869C8429C8B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6" name="TextBox 1034">
          <a:extLst>
            <a:ext uri="{FF2B5EF4-FFF2-40B4-BE49-F238E27FC236}">
              <a16:creationId xmlns:a16="http://schemas.microsoft.com/office/drawing/2014/main" id="{760DC661-9E19-4908-B5DE-F43F96778668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7" name="TextBox 1035">
          <a:extLst>
            <a:ext uri="{FF2B5EF4-FFF2-40B4-BE49-F238E27FC236}">
              <a16:creationId xmlns:a16="http://schemas.microsoft.com/office/drawing/2014/main" id="{E57C4920-A69A-4715-95CF-62881FFC064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8" name="TextBox 1">
          <a:extLst>
            <a:ext uri="{FF2B5EF4-FFF2-40B4-BE49-F238E27FC236}">
              <a16:creationId xmlns:a16="http://schemas.microsoft.com/office/drawing/2014/main" id="{A5662FDE-C92D-4C17-9720-928C480A4B17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59" name="TextBox 3">
          <a:extLst>
            <a:ext uri="{FF2B5EF4-FFF2-40B4-BE49-F238E27FC236}">
              <a16:creationId xmlns:a16="http://schemas.microsoft.com/office/drawing/2014/main" id="{ABB524A5-93BD-4DA6-BFC2-4699AED3EE7F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0" name="TextBox 1038">
          <a:extLst>
            <a:ext uri="{FF2B5EF4-FFF2-40B4-BE49-F238E27FC236}">
              <a16:creationId xmlns:a16="http://schemas.microsoft.com/office/drawing/2014/main" id="{C34A2D50-4EE5-4C67-8BF2-22916964E737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1" name="TextBox 1039">
          <a:extLst>
            <a:ext uri="{FF2B5EF4-FFF2-40B4-BE49-F238E27FC236}">
              <a16:creationId xmlns:a16="http://schemas.microsoft.com/office/drawing/2014/main" id="{60B75381-DE79-473D-977A-34BE77E83E88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2" name="TextBox 1040">
          <a:extLst>
            <a:ext uri="{FF2B5EF4-FFF2-40B4-BE49-F238E27FC236}">
              <a16:creationId xmlns:a16="http://schemas.microsoft.com/office/drawing/2014/main" id="{E6F66664-AFD1-4EE5-B965-1A0A6306D11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3" name="TextBox 1041">
          <a:extLst>
            <a:ext uri="{FF2B5EF4-FFF2-40B4-BE49-F238E27FC236}">
              <a16:creationId xmlns:a16="http://schemas.microsoft.com/office/drawing/2014/main" id="{5D90BD9A-3533-48F5-8FF1-4E159431678C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4" name="TextBox 1042">
          <a:extLst>
            <a:ext uri="{FF2B5EF4-FFF2-40B4-BE49-F238E27FC236}">
              <a16:creationId xmlns:a16="http://schemas.microsoft.com/office/drawing/2014/main" id="{04C81BAE-3FC2-4C73-BF7E-28E6F4A541EC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5" name="TextBox 1043">
          <a:extLst>
            <a:ext uri="{FF2B5EF4-FFF2-40B4-BE49-F238E27FC236}">
              <a16:creationId xmlns:a16="http://schemas.microsoft.com/office/drawing/2014/main" id="{3A24AE25-07F4-4D20-A104-F5B35E44AEFA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6" name="TextBox 1044">
          <a:extLst>
            <a:ext uri="{FF2B5EF4-FFF2-40B4-BE49-F238E27FC236}">
              <a16:creationId xmlns:a16="http://schemas.microsoft.com/office/drawing/2014/main" id="{2A3BC8CC-884C-4989-8FFC-06F5597DE3EF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7" name="TextBox 1045">
          <a:extLst>
            <a:ext uri="{FF2B5EF4-FFF2-40B4-BE49-F238E27FC236}">
              <a16:creationId xmlns:a16="http://schemas.microsoft.com/office/drawing/2014/main" id="{3D7281A9-84C1-4B0B-8149-68D43E78D93A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8" name="TextBox 1046">
          <a:extLst>
            <a:ext uri="{FF2B5EF4-FFF2-40B4-BE49-F238E27FC236}">
              <a16:creationId xmlns:a16="http://schemas.microsoft.com/office/drawing/2014/main" id="{039F701C-5943-4D67-9305-34A39CD8407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69" name="TextBox 1047">
          <a:extLst>
            <a:ext uri="{FF2B5EF4-FFF2-40B4-BE49-F238E27FC236}">
              <a16:creationId xmlns:a16="http://schemas.microsoft.com/office/drawing/2014/main" id="{5A87C609-B3EC-4BAF-AE63-5429DDDDD568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0" name="TextBox 13">
          <a:extLst>
            <a:ext uri="{FF2B5EF4-FFF2-40B4-BE49-F238E27FC236}">
              <a16:creationId xmlns:a16="http://schemas.microsoft.com/office/drawing/2014/main" id="{752FECB5-3854-4364-9D84-EBE634843CA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1" name="TextBox 14">
          <a:extLst>
            <a:ext uri="{FF2B5EF4-FFF2-40B4-BE49-F238E27FC236}">
              <a16:creationId xmlns:a16="http://schemas.microsoft.com/office/drawing/2014/main" id="{FA51CE0E-664C-4614-8056-23B0FB601531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2" name="TextBox 1050">
          <a:extLst>
            <a:ext uri="{FF2B5EF4-FFF2-40B4-BE49-F238E27FC236}">
              <a16:creationId xmlns:a16="http://schemas.microsoft.com/office/drawing/2014/main" id="{131EC441-54A0-4863-A4EF-E02CA649BBA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3" name="TextBox 1051">
          <a:extLst>
            <a:ext uri="{FF2B5EF4-FFF2-40B4-BE49-F238E27FC236}">
              <a16:creationId xmlns:a16="http://schemas.microsoft.com/office/drawing/2014/main" id="{EFFA432C-FD6C-4385-9757-F7E0512F8DF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4" name="TextBox 1052">
          <a:extLst>
            <a:ext uri="{FF2B5EF4-FFF2-40B4-BE49-F238E27FC236}">
              <a16:creationId xmlns:a16="http://schemas.microsoft.com/office/drawing/2014/main" id="{4832F771-12E7-4C9D-959F-8CCA4DEE7B5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5" name="TextBox 1053">
          <a:extLst>
            <a:ext uri="{FF2B5EF4-FFF2-40B4-BE49-F238E27FC236}">
              <a16:creationId xmlns:a16="http://schemas.microsoft.com/office/drawing/2014/main" id="{C0855EA2-2978-41CC-827D-BA60196ABF1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6" name="TextBox 15">
          <a:extLst>
            <a:ext uri="{FF2B5EF4-FFF2-40B4-BE49-F238E27FC236}">
              <a16:creationId xmlns:a16="http://schemas.microsoft.com/office/drawing/2014/main" id="{E9E82650-572B-41BF-A1B8-EDF00E7CFE6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7" name="TextBox 16">
          <a:extLst>
            <a:ext uri="{FF2B5EF4-FFF2-40B4-BE49-F238E27FC236}">
              <a16:creationId xmlns:a16="http://schemas.microsoft.com/office/drawing/2014/main" id="{58C9157B-80EF-42A2-ADC8-DB1E420E937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8" name="TextBox 17">
          <a:extLst>
            <a:ext uri="{FF2B5EF4-FFF2-40B4-BE49-F238E27FC236}">
              <a16:creationId xmlns:a16="http://schemas.microsoft.com/office/drawing/2014/main" id="{3E513D19-4836-4B3A-85B2-F246D2830ED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79" name="TextBox 18">
          <a:extLst>
            <a:ext uri="{FF2B5EF4-FFF2-40B4-BE49-F238E27FC236}">
              <a16:creationId xmlns:a16="http://schemas.microsoft.com/office/drawing/2014/main" id="{83E780A9-CC5A-4529-9CD1-5B86A03FFAE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0" name="TextBox 1058">
          <a:extLst>
            <a:ext uri="{FF2B5EF4-FFF2-40B4-BE49-F238E27FC236}">
              <a16:creationId xmlns:a16="http://schemas.microsoft.com/office/drawing/2014/main" id="{6EE4D366-7121-46FE-A8CD-40FD3989E63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1" name="TextBox 1059">
          <a:extLst>
            <a:ext uri="{FF2B5EF4-FFF2-40B4-BE49-F238E27FC236}">
              <a16:creationId xmlns:a16="http://schemas.microsoft.com/office/drawing/2014/main" id="{5D56B3CE-4E7A-4B18-8DB3-89E33000BB3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2" name="TextBox 1">
          <a:extLst>
            <a:ext uri="{FF2B5EF4-FFF2-40B4-BE49-F238E27FC236}">
              <a16:creationId xmlns:a16="http://schemas.microsoft.com/office/drawing/2014/main" id="{D46B4203-A9DB-4428-82D0-24685261101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3" name="TextBox 3">
          <a:extLst>
            <a:ext uri="{FF2B5EF4-FFF2-40B4-BE49-F238E27FC236}">
              <a16:creationId xmlns:a16="http://schemas.microsoft.com/office/drawing/2014/main" id="{E6A83C12-B6C5-490F-879B-1DC23401388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4" name="TextBox 1062">
          <a:extLst>
            <a:ext uri="{FF2B5EF4-FFF2-40B4-BE49-F238E27FC236}">
              <a16:creationId xmlns:a16="http://schemas.microsoft.com/office/drawing/2014/main" id="{6B31037E-E2B2-4F44-ACF5-CBD42B7F2828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5" name="TextBox 1063">
          <a:extLst>
            <a:ext uri="{FF2B5EF4-FFF2-40B4-BE49-F238E27FC236}">
              <a16:creationId xmlns:a16="http://schemas.microsoft.com/office/drawing/2014/main" id="{F50C81B4-03AC-44C7-9CDB-E49F2115E5E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6" name="TextBox 1064">
          <a:extLst>
            <a:ext uri="{FF2B5EF4-FFF2-40B4-BE49-F238E27FC236}">
              <a16:creationId xmlns:a16="http://schemas.microsoft.com/office/drawing/2014/main" id="{BEA93572-E9F4-4621-9C3D-2A8EA4A045D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7" name="TextBox 1065">
          <a:extLst>
            <a:ext uri="{FF2B5EF4-FFF2-40B4-BE49-F238E27FC236}">
              <a16:creationId xmlns:a16="http://schemas.microsoft.com/office/drawing/2014/main" id="{05401464-F5A7-4351-84F3-0E44843B55D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8" name="TextBox 1066">
          <a:extLst>
            <a:ext uri="{FF2B5EF4-FFF2-40B4-BE49-F238E27FC236}">
              <a16:creationId xmlns:a16="http://schemas.microsoft.com/office/drawing/2014/main" id="{62307514-D65C-40C0-B135-85C5A993AE6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89" name="TextBox 1067">
          <a:extLst>
            <a:ext uri="{FF2B5EF4-FFF2-40B4-BE49-F238E27FC236}">
              <a16:creationId xmlns:a16="http://schemas.microsoft.com/office/drawing/2014/main" id="{76ACF6E4-1B3B-4407-B774-004D0BD930C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0" name="TextBox 1068">
          <a:extLst>
            <a:ext uri="{FF2B5EF4-FFF2-40B4-BE49-F238E27FC236}">
              <a16:creationId xmlns:a16="http://schemas.microsoft.com/office/drawing/2014/main" id="{ED5E2814-DB9E-42A0-B3D3-4BDAB0E6CFD8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1" name="TextBox 1069">
          <a:extLst>
            <a:ext uri="{FF2B5EF4-FFF2-40B4-BE49-F238E27FC236}">
              <a16:creationId xmlns:a16="http://schemas.microsoft.com/office/drawing/2014/main" id="{CED3E4D7-E354-4065-9B65-D3BD2C1E183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2" name="TextBox 1070">
          <a:extLst>
            <a:ext uri="{FF2B5EF4-FFF2-40B4-BE49-F238E27FC236}">
              <a16:creationId xmlns:a16="http://schemas.microsoft.com/office/drawing/2014/main" id="{F994320E-F8E8-4495-9657-675D40169F2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3" name="TextBox 1071">
          <a:extLst>
            <a:ext uri="{FF2B5EF4-FFF2-40B4-BE49-F238E27FC236}">
              <a16:creationId xmlns:a16="http://schemas.microsoft.com/office/drawing/2014/main" id="{2A333AD8-4AD7-498F-B6EC-9C5FAA923FF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4" name="TextBox 13">
          <a:extLst>
            <a:ext uri="{FF2B5EF4-FFF2-40B4-BE49-F238E27FC236}">
              <a16:creationId xmlns:a16="http://schemas.microsoft.com/office/drawing/2014/main" id="{EEC99B9E-0246-4FD8-AA1E-84D337B4E35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5" name="TextBox 14">
          <a:extLst>
            <a:ext uri="{FF2B5EF4-FFF2-40B4-BE49-F238E27FC236}">
              <a16:creationId xmlns:a16="http://schemas.microsoft.com/office/drawing/2014/main" id="{30C20CA2-D2C7-4BD6-B066-60F7217C79E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6" name="TextBox 1074">
          <a:extLst>
            <a:ext uri="{FF2B5EF4-FFF2-40B4-BE49-F238E27FC236}">
              <a16:creationId xmlns:a16="http://schemas.microsoft.com/office/drawing/2014/main" id="{B9899E5B-8616-4C21-8F1D-3503ABD7A7D7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7" name="TextBox 1075">
          <a:extLst>
            <a:ext uri="{FF2B5EF4-FFF2-40B4-BE49-F238E27FC236}">
              <a16:creationId xmlns:a16="http://schemas.microsoft.com/office/drawing/2014/main" id="{5E4BD497-463A-4184-B6BF-6E019EB09C0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8" name="TextBox 1076">
          <a:extLst>
            <a:ext uri="{FF2B5EF4-FFF2-40B4-BE49-F238E27FC236}">
              <a16:creationId xmlns:a16="http://schemas.microsoft.com/office/drawing/2014/main" id="{764E93E4-2E5A-4AA3-B34B-52AC651A864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699" name="TextBox 1077">
          <a:extLst>
            <a:ext uri="{FF2B5EF4-FFF2-40B4-BE49-F238E27FC236}">
              <a16:creationId xmlns:a16="http://schemas.microsoft.com/office/drawing/2014/main" id="{D624C743-0539-4045-9A60-5F8529DB9E18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0" name="TextBox 15">
          <a:extLst>
            <a:ext uri="{FF2B5EF4-FFF2-40B4-BE49-F238E27FC236}">
              <a16:creationId xmlns:a16="http://schemas.microsoft.com/office/drawing/2014/main" id="{1D853DD2-FB24-497C-90DA-441E7EFB5ADE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1" name="TextBox 16">
          <a:extLst>
            <a:ext uri="{FF2B5EF4-FFF2-40B4-BE49-F238E27FC236}">
              <a16:creationId xmlns:a16="http://schemas.microsoft.com/office/drawing/2014/main" id="{080AD40A-A0E8-45F9-BBE6-3FBE12128DA7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2" name="TextBox 17">
          <a:extLst>
            <a:ext uri="{FF2B5EF4-FFF2-40B4-BE49-F238E27FC236}">
              <a16:creationId xmlns:a16="http://schemas.microsoft.com/office/drawing/2014/main" id="{AAC928DE-4841-4963-8EC4-89F366DE852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3" name="TextBox 18">
          <a:extLst>
            <a:ext uri="{FF2B5EF4-FFF2-40B4-BE49-F238E27FC236}">
              <a16:creationId xmlns:a16="http://schemas.microsoft.com/office/drawing/2014/main" id="{0174ED22-78C5-451D-BCA7-F1B4F51737E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4" name="TextBox 1082">
          <a:extLst>
            <a:ext uri="{FF2B5EF4-FFF2-40B4-BE49-F238E27FC236}">
              <a16:creationId xmlns:a16="http://schemas.microsoft.com/office/drawing/2014/main" id="{704771AE-E658-49F4-BBCA-0FCC7DB8D2C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5" name="TextBox 1083">
          <a:extLst>
            <a:ext uri="{FF2B5EF4-FFF2-40B4-BE49-F238E27FC236}">
              <a16:creationId xmlns:a16="http://schemas.microsoft.com/office/drawing/2014/main" id="{6285D070-7A49-44CF-BBA7-3AD65F51D163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6" name="TextBox 1">
          <a:extLst>
            <a:ext uri="{FF2B5EF4-FFF2-40B4-BE49-F238E27FC236}">
              <a16:creationId xmlns:a16="http://schemas.microsoft.com/office/drawing/2014/main" id="{CD0EC1BA-D2BC-49E6-A7CA-2811BD57EC1C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7" name="TextBox 3">
          <a:extLst>
            <a:ext uri="{FF2B5EF4-FFF2-40B4-BE49-F238E27FC236}">
              <a16:creationId xmlns:a16="http://schemas.microsoft.com/office/drawing/2014/main" id="{80BFAC43-218A-4FE3-9711-F9B0110EF42B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8" name="TextBox 1086">
          <a:extLst>
            <a:ext uri="{FF2B5EF4-FFF2-40B4-BE49-F238E27FC236}">
              <a16:creationId xmlns:a16="http://schemas.microsoft.com/office/drawing/2014/main" id="{A1580113-1BE5-46E1-93D0-A92A66171847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09" name="TextBox 1087">
          <a:extLst>
            <a:ext uri="{FF2B5EF4-FFF2-40B4-BE49-F238E27FC236}">
              <a16:creationId xmlns:a16="http://schemas.microsoft.com/office/drawing/2014/main" id="{489E460A-FD5A-45CA-9153-4454BBFFECD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0" name="TextBox 1088">
          <a:extLst>
            <a:ext uri="{FF2B5EF4-FFF2-40B4-BE49-F238E27FC236}">
              <a16:creationId xmlns:a16="http://schemas.microsoft.com/office/drawing/2014/main" id="{D9C6114C-63EF-43C2-A1AF-E980CA36FCC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1" name="TextBox 1089">
          <a:extLst>
            <a:ext uri="{FF2B5EF4-FFF2-40B4-BE49-F238E27FC236}">
              <a16:creationId xmlns:a16="http://schemas.microsoft.com/office/drawing/2014/main" id="{EDAD9BFA-7BFC-4430-9221-F05BE0290152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2" name="TextBox 1090">
          <a:extLst>
            <a:ext uri="{FF2B5EF4-FFF2-40B4-BE49-F238E27FC236}">
              <a16:creationId xmlns:a16="http://schemas.microsoft.com/office/drawing/2014/main" id="{6C73C9FC-BAA0-4A38-A5BE-227165D89B77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3" name="TextBox 1091">
          <a:extLst>
            <a:ext uri="{FF2B5EF4-FFF2-40B4-BE49-F238E27FC236}">
              <a16:creationId xmlns:a16="http://schemas.microsoft.com/office/drawing/2014/main" id="{00C44895-F3A3-4C74-B074-406B3B0BB4A4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4" name="TextBox 1092">
          <a:extLst>
            <a:ext uri="{FF2B5EF4-FFF2-40B4-BE49-F238E27FC236}">
              <a16:creationId xmlns:a16="http://schemas.microsoft.com/office/drawing/2014/main" id="{33095369-53FF-46E9-A732-72589740E8B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5" name="TextBox 1093">
          <a:extLst>
            <a:ext uri="{FF2B5EF4-FFF2-40B4-BE49-F238E27FC236}">
              <a16:creationId xmlns:a16="http://schemas.microsoft.com/office/drawing/2014/main" id="{8FF277BD-8290-4749-8901-7C0BD63073AC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6" name="TextBox 1094">
          <a:extLst>
            <a:ext uri="{FF2B5EF4-FFF2-40B4-BE49-F238E27FC236}">
              <a16:creationId xmlns:a16="http://schemas.microsoft.com/office/drawing/2014/main" id="{26985D07-B7A3-43CC-88B4-36B7509CA3B4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7" name="TextBox 1095">
          <a:extLst>
            <a:ext uri="{FF2B5EF4-FFF2-40B4-BE49-F238E27FC236}">
              <a16:creationId xmlns:a16="http://schemas.microsoft.com/office/drawing/2014/main" id="{46D0F9B2-4491-46DA-A621-E6F643685E77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8" name="TextBox 13">
          <a:extLst>
            <a:ext uri="{FF2B5EF4-FFF2-40B4-BE49-F238E27FC236}">
              <a16:creationId xmlns:a16="http://schemas.microsoft.com/office/drawing/2014/main" id="{060EEDFA-EE8B-44A6-BDA3-D2146CED369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19" name="TextBox 14">
          <a:extLst>
            <a:ext uri="{FF2B5EF4-FFF2-40B4-BE49-F238E27FC236}">
              <a16:creationId xmlns:a16="http://schemas.microsoft.com/office/drawing/2014/main" id="{E5261033-9AD7-4B45-AD51-8E579F32046D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0" name="TextBox 1098">
          <a:extLst>
            <a:ext uri="{FF2B5EF4-FFF2-40B4-BE49-F238E27FC236}">
              <a16:creationId xmlns:a16="http://schemas.microsoft.com/office/drawing/2014/main" id="{036E104F-9126-426C-A9BA-A8A4C76CB35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1" name="TextBox 1099">
          <a:extLst>
            <a:ext uri="{FF2B5EF4-FFF2-40B4-BE49-F238E27FC236}">
              <a16:creationId xmlns:a16="http://schemas.microsoft.com/office/drawing/2014/main" id="{C8B931B5-8174-4EB5-BC74-0A519FED22C7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2" name="TextBox 1100">
          <a:extLst>
            <a:ext uri="{FF2B5EF4-FFF2-40B4-BE49-F238E27FC236}">
              <a16:creationId xmlns:a16="http://schemas.microsoft.com/office/drawing/2014/main" id="{B0E4B8AD-AE57-48A1-9CF2-022E50D1D035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3" name="TextBox 1101">
          <a:extLst>
            <a:ext uri="{FF2B5EF4-FFF2-40B4-BE49-F238E27FC236}">
              <a16:creationId xmlns:a16="http://schemas.microsoft.com/office/drawing/2014/main" id="{47C0E38A-AF21-47C0-AE96-54BF893AEB54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4" name="TextBox 15">
          <a:extLst>
            <a:ext uri="{FF2B5EF4-FFF2-40B4-BE49-F238E27FC236}">
              <a16:creationId xmlns:a16="http://schemas.microsoft.com/office/drawing/2014/main" id="{74773C38-76B5-4449-81BC-A69679D1CFD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5" name="TextBox 16">
          <a:extLst>
            <a:ext uri="{FF2B5EF4-FFF2-40B4-BE49-F238E27FC236}">
              <a16:creationId xmlns:a16="http://schemas.microsoft.com/office/drawing/2014/main" id="{F96E1D8C-4A3A-4F19-B345-D4B85A8FC19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6" name="TextBox 17">
          <a:extLst>
            <a:ext uri="{FF2B5EF4-FFF2-40B4-BE49-F238E27FC236}">
              <a16:creationId xmlns:a16="http://schemas.microsoft.com/office/drawing/2014/main" id="{B63EFF15-7A23-47D0-9725-4EF5C6CB7E4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7" name="TextBox 18">
          <a:extLst>
            <a:ext uri="{FF2B5EF4-FFF2-40B4-BE49-F238E27FC236}">
              <a16:creationId xmlns:a16="http://schemas.microsoft.com/office/drawing/2014/main" id="{4588FC64-9E29-42BF-9726-FECE8B3D029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8" name="TextBox 1106">
          <a:extLst>
            <a:ext uri="{FF2B5EF4-FFF2-40B4-BE49-F238E27FC236}">
              <a16:creationId xmlns:a16="http://schemas.microsoft.com/office/drawing/2014/main" id="{38F414A8-4F17-4C91-A060-1E80FDE8E2D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29" name="TextBox 1107">
          <a:extLst>
            <a:ext uri="{FF2B5EF4-FFF2-40B4-BE49-F238E27FC236}">
              <a16:creationId xmlns:a16="http://schemas.microsoft.com/office/drawing/2014/main" id="{ED6A9108-6BF6-4465-9ECA-910607847324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0" name="TextBox 1">
          <a:extLst>
            <a:ext uri="{FF2B5EF4-FFF2-40B4-BE49-F238E27FC236}">
              <a16:creationId xmlns:a16="http://schemas.microsoft.com/office/drawing/2014/main" id="{F7CA19F7-A58F-4B6E-B76A-1273FDBE434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1" name="TextBox 3">
          <a:extLst>
            <a:ext uri="{FF2B5EF4-FFF2-40B4-BE49-F238E27FC236}">
              <a16:creationId xmlns:a16="http://schemas.microsoft.com/office/drawing/2014/main" id="{ACAE07D9-9153-484A-8594-5C4D98A5B90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2" name="TextBox 1110">
          <a:extLst>
            <a:ext uri="{FF2B5EF4-FFF2-40B4-BE49-F238E27FC236}">
              <a16:creationId xmlns:a16="http://schemas.microsoft.com/office/drawing/2014/main" id="{7A9CDD47-15BB-41F1-A830-CCCBC901F2A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3" name="TextBox 1111">
          <a:extLst>
            <a:ext uri="{FF2B5EF4-FFF2-40B4-BE49-F238E27FC236}">
              <a16:creationId xmlns:a16="http://schemas.microsoft.com/office/drawing/2014/main" id="{ED80EDF5-C419-466D-8CEB-4DE44B905CEC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4" name="TextBox 1112">
          <a:extLst>
            <a:ext uri="{FF2B5EF4-FFF2-40B4-BE49-F238E27FC236}">
              <a16:creationId xmlns:a16="http://schemas.microsoft.com/office/drawing/2014/main" id="{F48598DE-FC3A-4507-8817-5639549E582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5" name="TextBox 1113">
          <a:extLst>
            <a:ext uri="{FF2B5EF4-FFF2-40B4-BE49-F238E27FC236}">
              <a16:creationId xmlns:a16="http://schemas.microsoft.com/office/drawing/2014/main" id="{4A19311A-CEB7-43EB-847C-1ECF655EF82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6" name="TextBox 1114">
          <a:extLst>
            <a:ext uri="{FF2B5EF4-FFF2-40B4-BE49-F238E27FC236}">
              <a16:creationId xmlns:a16="http://schemas.microsoft.com/office/drawing/2014/main" id="{B01A866F-9225-437E-AB7B-451619A9A0A7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7" name="TextBox 1115">
          <a:extLst>
            <a:ext uri="{FF2B5EF4-FFF2-40B4-BE49-F238E27FC236}">
              <a16:creationId xmlns:a16="http://schemas.microsoft.com/office/drawing/2014/main" id="{758B541E-35DA-410F-ABBB-3331FDF8FE3C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8" name="TextBox 1116">
          <a:extLst>
            <a:ext uri="{FF2B5EF4-FFF2-40B4-BE49-F238E27FC236}">
              <a16:creationId xmlns:a16="http://schemas.microsoft.com/office/drawing/2014/main" id="{D8A21932-FC1E-4AE3-82BE-2ACD4F980F34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39" name="TextBox 1117">
          <a:extLst>
            <a:ext uri="{FF2B5EF4-FFF2-40B4-BE49-F238E27FC236}">
              <a16:creationId xmlns:a16="http://schemas.microsoft.com/office/drawing/2014/main" id="{86F260C5-B7FE-4A54-90C4-E2C8E7B37FD4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0" name="TextBox 1118">
          <a:extLst>
            <a:ext uri="{FF2B5EF4-FFF2-40B4-BE49-F238E27FC236}">
              <a16:creationId xmlns:a16="http://schemas.microsoft.com/office/drawing/2014/main" id="{439E4D9B-AFED-4CF6-9D6F-1CD9BC4B30F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1" name="TextBox 1119">
          <a:extLst>
            <a:ext uri="{FF2B5EF4-FFF2-40B4-BE49-F238E27FC236}">
              <a16:creationId xmlns:a16="http://schemas.microsoft.com/office/drawing/2014/main" id="{1592C2B4-D5D0-42EC-A9F9-9B141031D83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2" name="TextBox 13">
          <a:extLst>
            <a:ext uri="{FF2B5EF4-FFF2-40B4-BE49-F238E27FC236}">
              <a16:creationId xmlns:a16="http://schemas.microsoft.com/office/drawing/2014/main" id="{3158E54A-3237-4417-86F6-FEAF4CA6CF8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3" name="TextBox 14">
          <a:extLst>
            <a:ext uri="{FF2B5EF4-FFF2-40B4-BE49-F238E27FC236}">
              <a16:creationId xmlns:a16="http://schemas.microsoft.com/office/drawing/2014/main" id="{D9183798-43B1-4686-8FBB-8805DE659D6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4" name="TextBox 1122">
          <a:extLst>
            <a:ext uri="{FF2B5EF4-FFF2-40B4-BE49-F238E27FC236}">
              <a16:creationId xmlns:a16="http://schemas.microsoft.com/office/drawing/2014/main" id="{118D6E2A-DD4A-4876-B8B0-7C886A5481C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5" name="TextBox 1123">
          <a:extLst>
            <a:ext uri="{FF2B5EF4-FFF2-40B4-BE49-F238E27FC236}">
              <a16:creationId xmlns:a16="http://schemas.microsoft.com/office/drawing/2014/main" id="{11D974F7-8070-4D2E-89CA-55829D06CB1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6" name="TextBox 1124">
          <a:extLst>
            <a:ext uri="{FF2B5EF4-FFF2-40B4-BE49-F238E27FC236}">
              <a16:creationId xmlns:a16="http://schemas.microsoft.com/office/drawing/2014/main" id="{64D1F66C-0EFB-4D87-BCFF-946FC66F181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7" name="TextBox 1125">
          <a:extLst>
            <a:ext uri="{FF2B5EF4-FFF2-40B4-BE49-F238E27FC236}">
              <a16:creationId xmlns:a16="http://schemas.microsoft.com/office/drawing/2014/main" id="{DC4C0B09-67B9-46B1-83FA-45291EA61AB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8" name="TextBox 15">
          <a:extLst>
            <a:ext uri="{FF2B5EF4-FFF2-40B4-BE49-F238E27FC236}">
              <a16:creationId xmlns:a16="http://schemas.microsoft.com/office/drawing/2014/main" id="{23E2207F-BA66-4274-ACB4-4AE220BC865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49" name="TextBox 16">
          <a:extLst>
            <a:ext uri="{FF2B5EF4-FFF2-40B4-BE49-F238E27FC236}">
              <a16:creationId xmlns:a16="http://schemas.microsoft.com/office/drawing/2014/main" id="{B40E4DB3-5009-4F3A-8A47-289010E2EDD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0" name="TextBox 17">
          <a:extLst>
            <a:ext uri="{FF2B5EF4-FFF2-40B4-BE49-F238E27FC236}">
              <a16:creationId xmlns:a16="http://schemas.microsoft.com/office/drawing/2014/main" id="{5E6D0070-DF41-4703-BD01-A1B882DF68E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1" name="TextBox 18">
          <a:extLst>
            <a:ext uri="{FF2B5EF4-FFF2-40B4-BE49-F238E27FC236}">
              <a16:creationId xmlns:a16="http://schemas.microsoft.com/office/drawing/2014/main" id="{D562A4EC-8CCD-4ED3-9483-4EC4E77EE3E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2" name="TextBox 1130">
          <a:extLst>
            <a:ext uri="{FF2B5EF4-FFF2-40B4-BE49-F238E27FC236}">
              <a16:creationId xmlns:a16="http://schemas.microsoft.com/office/drawing/2014/main" id="{EBEB3D26-A3D6-46E0-A19B-67DA0DE191C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3" name="TextBox 1131">
          <a:extLst>
            <a:ext uri="{FF2B5EF4-FFF2-40B4-BE49-F238E27FC236}">
              <a16:creationId xmlns:a16="http://schemas.microsoft.com/office/drawing/2014/main" id="{28E7405A-62CB-41B8-8B15-E596E3A2D91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4" name="TextBox 1">
          <a:extLst>
            <a:ext uri="{FF2B5EF4-FFF2-40B4-BE49-F238E27FC236}">
              <a16:creationId xmlns:a16="http://schemas.microsoft.com/office/drawing/2014/main" id="{2AA34369-20E5-4EFD-B9E4-D2536D6CFEC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5" name="TextBox 3">
          <a:extLst>
            <a:ext uri="{FF2B5EF4-FFF2-40B4-BE49-F238E27FC236}">
              <a16:creationId xmlns:a16="http://schemas.microsoft.com/office/drawing/2014/main" id="{48F99263-0AC1-4D62-8D2C-A7C57A65FB9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6" name="TextBox 1134">
          <a:extLst>
            <a:ext uri="{FF2B5EF4-FFF2-40B4-BE49-F238E27FC236}">
              <a16:creationId xmlns:a16="http://schemas.microsoft.com/office/drawing/2014/main" id="{7EF819F8-4948-4BD4-8CA0-FBB7D9B5838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7" name="TextBox 1135">
          <a:extLst>
            <a:ext uri="{FF2B5EF4-FFF2-40B4-BE49-F238E27FC236}">
              <a16:creationId xmlns:a16="http://schemas.microsoft.com/office/drawing/2014/main" id="{C6E4258E-349E-4CAB-8182-5D76C28633C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8" name="TextBox 1136">
          <a:extLst>
            <a:ext uri="{FF2B5EF4-FFF2-40B4-BE49-F238E27FC236}">
              <a16:creationId xmlns:a16="http://schemas.microsoft.com/office/drawing/2014/main" id="{1FC7C6CA-8FB5-40E7-93CA-6FA87D01D20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59" name="TextBox 1137">
          <a:extLst>
            <a:ext uri="{FF2B5EF4-FFF2-40B4-BE49-F238E27FC236}">
              <a16:creationId xmlns:a16="http://schemas.microsoft.com/office/drawing/2014/main" id="{34DFC0D0-86FC-4910-AF38-BF446BC2CEE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0" name="TextBox 1138">
          <a:extLst>
            <a:ext uri="{FF2B5EF4-FFF2-40B4-BE49-F238E27FC236}">
              <a16:creationId xmlns:a16="http://schemas.microsoft.com/office/drawing/2014/main" id="{DDE44E2B-25B1-4A92-A369-39319031908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1" name="TextBox 1139">
          <a:extLst>
            <a:ext uri="{FF2B5EF4-FFF2-40B4-BE49-F238E27FC236}">
              <a16:creationId xmlns:a16="http://schemas.microsoft.com/office/drawing/2014/main" id="{D8C51713-36C5-4AF0-A2E7-36AA786B723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2" name="TextBox 1140">
          <a:extLst>
            <a:ext uri="{FF2B5EF4-FFF2-40B4-BE49-F238E27FC236}">
              <a16:creationId xmlns:a16="http://schemas.microsoft.com/office/drawing/2014/main" id="{E25DD91D-32EC-4F7A-9DCA-0161A2C85C4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3" name="TextBox 1141">
          <a:extLst>
            <a:ext uri="{FF2B5EF4-FFF2-40B4-BE49-F238E27FC236}">
              <a16:creationId xmlns:a16="http://schemas.microsoft.com/office/drawing/2014/main" id="{EC9E4D76-5864-4AC3-BB6B-EFCE4A3C3DE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4" name="TextBox 1142">
          <a:extLst>
            <a:ext uri="{FF2B5EF4-FFF2-40B4-BE49-F238E27FC236}">
              <a16:creationId xmlns:a16="http://schemas.microsoft.com/office/drawing/2014/main" id="{159CBB43-77D7-46FA-BD5E-99D2C9DFE20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5" name="TextBox 1143">
          <a:extLst>
            <a:ext uri="{FF2B5EF4-FFF2-40B4-BE49-F238E27FC236}">
              <a16:creationId xmlns:a16="http://schemas.microsoft.com/office/drawing/2014/main" id="{293EAE03-4E95-4C11-80D4-B3EA06EEF6E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6" name="TextBox 13">
          <a:extLst>
            <a:ext uri="{FF2B5EF4-FFF2-40B4-BE49-F238E27FC236}">
              <a16:creationId xmlns:a16="http://schemas.microsoft.com/office/drawing/2014/main" id="{72464836-C4DA-433C-AA8A-B78BD3227D9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7" name="TextBox 14">
          <a:extLst>
            <a:ext uri="{FF2B5EF4-FFF2-40B4-BE49-F238E27FC236}">
              <a16:creationId xmlns:a16="http://schemas.microsoft.com/office/drawing/2014/main" id="{DB2AF571-09AF-4A44-A8BA-2579B7527C2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8" name="TextBox 1146">
          <a:extLst>
            <a:ext uri="{FF2B5EF4-FFF2-40B4-BE49-F238E27FC236}">
              <a16:creationId xmlns:a16="http://schemas.microsoft.com/office/drawing/2014/main" id="{610B5240-B8C0-4A59-A63B-AF4E6404134F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69" name="TextBox 1147">
          <a:extLst>
            <a:ext uri="{FF2B5EF4-FFF2-40B4-BE49-F238E27FC236}">
              <a16:creationId xmlns:a16="http://schemas.microsoft.com/office/drawing/2014/main" id="{420CBE42-558E-438E-8F38-FABD521C04C2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0" name="TextBox 1148">
          <a:extLst>
            <a:ext uri="{FF2B5EF4-FFF2-40B4-BE49-F238E27FC236}">
              <a16:creationId xmlns:a16="http://schemas.microsoft.com/office/drawing/2014/main" id="{E794C95C-532D-4142-9ED2-9F8E2A4DDCC9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1" name="TextBox 1149">
          <a:extLst>
            <a:ext uri="{FF2B5EF4-FFF2-40B4-BE49-F238E27FC236}">
              <a16:creationId xmlns:a16="http://schemas.microsoft.com/office/drawing/2014/main" id="{B0DE8808-33A9-4C4A-BDE4-477105526990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2" name="TextBox 15">
          <a:extLst>
            <a:ext uri="{FF2B5EF4-FFF2-40B4-BE49-F238E27FC236}">
              <a16:creationId xmlns:a16="http://schemas.microsoft.com/office/drawing/2014/main" id="{B1B347C0-2FF2-407C-B1BA-A5E0A0EE8A78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3" name="TextBox 16">
          <a:extLst>
            <a:ext uri="{FF2B5EF4-FFF2-40B4-BE49-F238E27FC236}">
              <a16:creationId xmlns:a16="http://schemas.microsoft.com/office/drawing/2014/main" id="{D5973F48-ACCB-47E4-9CCC-301AAA5B1C6F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4" name="TextBox 17">
          <a:extLst>
            <a:ext uri="{FF2B5EF4-FFF2-40B4-BE49-F238E27FC236}">
              <a16:creationId xmlns:a16="http://schemas.microsoft.com/office/drawing/2014/main" id="{4B525EF2-7CBE-495F-BA6D-40FA455E0CF6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5" name="TextBox 18">
          <a:extLst>
            <a:ext uri="{FF2B5EF4-FFF2-40B4-BE49-F238E27FC236}">
              <a16:creationId xmlns:a16="http://schemas.microsoft.com/office/drawing/2014/main" id="{80005164-7E41-43D5-ACC2-887692A248F1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6" name="TextBox 1154">
          <a:extLst>
            <a:ext uri="{FF2B5EF4-FFF2-40B4-BE49-F238E27FC236}">
              <a16:creationId xmlns:a16="http://schemas.microsoft.com/office/drawing/2014/main" id="{191A07CF-CC73-41D8-9AF7-2538E05E2129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7" name="TextBox 1155">
          <a:extLst>
            <a:ext uri="{FF2B5EF4-FFF2-40B4-BE49-F238E27FC236}">
              <a16:creationId xmlns:a16="http://schemas.microsoft.com/office/drawing/2014/main" id="{CECC978B-11F3-4C65-9821-162C05DE815D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8" name="TextBox 1">
          <a:extLst>
            <a:ext uri="{FF2B5EF4-FFF2-40B4-BE49-F238E27FC236}">
              <a16:creationId xmlns:a16="http://schemas.microsoft.com/office/drawing/2014/main" id="{14470E67-E8F9-4B94-914B-A044C075A6F5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79" name="TextBox 3">
          <a:extLst>
            <a:ext uri="{FF2B5EF4-FFF2-40B4-BE49-F238E27FC236}">
              <a16:creationId xmlns:a16="http://schemas.microsoft.com/office/drawing/2014/main" id="{500B05C6-24B2-43A4-85A4-E223D0A1F804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0" name="TextBox 1158">
          <a:extLst>
            <a:ext uri="{FF2B5EF4-FFF2-40B4-BE49-F238E27FC236}">
              <a16:creationId xmlns:a16="http://schemas.microsoft.com/office/drawing/2014/main" id="{1AABED2E-BFA8-4B97-B7B3-FDC9DC458999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1" name="TextBox 1159">
          <a:extLst>
            <a:ext uri="{FF2B5EF4-FFF2-40B4-BE49-F238E27FC236}">
              <a16:creationId xmlns:a16="http://schemas.microsoft.com/office/drawing/2014/main" id="{945FF0D6-5978-44E8-9C52-93B7E9156D5C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2" name="TextBox 1160">
          <a:extLst>
            <a:ext uri="{FF2B5EF4-FFF2-40B4-BE49-F238E27FC236}">
              <a16:creationId xmlns:a16="http://schemas.microsoft.com/office/drawing/2014/main" id="{EF1C7D57-7356-4F01-8737-82102A3CCD76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3" name="TextBox 1161">
          <a:extLst>
            <a:ext uri="{FF2B5EF4-FFF2-40B4-BE49-F238E27FC236}">
              <a16:creationId xmlns:a16="http://schemas.microsoft.com/office/drawing/2014/main" id="{65E7403F-763C-4F84-8AA1-489B46F19947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4" name="TextBox 1162">
          <a:extLst>
            <a:ext uri="{FF2B5EF4-FFF2-40B4-BE49-F238E27FC236}">
              <a16:creationId xmlns:a16="http://schemas.microsoft.com/office/drawing/2014/main" id="{D487D87F-BA9B-4DD8-AE57-CDBDFFC12C81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5" name="TextBox 1163">
          <a:extLst>
            <a:ext uri="{FF2B5EF4-FFF2-40B4-BE49-F238E27FC236}">
              <a16:creationId xmlns:a16="http://schemas.microsoft.com/office/drawing/2014/main" id="{5262CBBE-0FDD-4036-A4C7-8434BB4988ED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6" name="TextBox 1164">
          <a:extLst>
            <a:ext uri="{FF2B5EF4-FFF2-40B4-BE49-F238E27FC236}">
              <a16:creationId xmlns:a16="http://schemas.microsoft.com/office/drawing/2014/main" id="{A75C7F25-245D-4924-92CB-B528F8EA6659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7" name="TextBox 1165">
          <a:extLst>
            <a:ext uri="{FF2B5EF4-FFF2-40B4-BE49-F238E27FC236}">
              <a16:creationId xmlns:a16="http://schemas.microsoft.com/office/drawing/2014/main" id="{34A453B6-A865-49CD-864D-49153D393D5B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8" name="TextBox 1166">
          <a:extLst>
            <a:ext uri="{FF2B5EF4-FFF2-40B4-BE49-F238E27FC236}">
              <a16:creationId xmlns:a16="http://schemas.microsoft.com/office/drawing/2014/main" id="{3E20D767-F060-4B11-84D6-2938DB22B0A0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89" name="TextBox 1167">
          <a:extLst>
            <a:ext uri="{FF2B5EF4-FFF2-40B4-BE49-F238E27FC236}">
              <a16:creationId xmlns:a16="http://schemas.microsoft.com/office/drawing/2014/main" id="{12A97259-FB62-43D1-86F9-AFCC1B43DE0A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0" name="TextBox 13">
          <a:extLst>
            <a:ext uri="{FF2B5EF4-FFF2-40B4-BE49-F238E27FC236}">
              <a16:creationId xmlns:a16="http://schemas.microsoft.com/office/drawing/2014/main" id="{39C0B907-9AC1-4760-931A-CCD2B38C2636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1" name="TextBox 14">
          <a:extLst>
            <a:ext uri="{FF2B5EF4-FFF2-40B4-BE49-F238E27FC236}">
              <a16:creationId xmlns:a16="http://schemas.microsoft.com/office/drawing/2014/main" id="{BDA87FF7-E179-4901-9330-495A22CB075A}"/>
            </a:ext>
          </a:extLst>
        </xdr:cNvPr>
        <xdr:cNvSpPr txBox="1"/>
      </xdr:nvSpPr>
      <xdr:spPr>
        <a:xfrm>
          <a:off x="1909762" y="40166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2" name="TextBox 1170">
          <a:extLst>
            <a:ext uri="{FF2B5EF4-FFF2-40B4-BE49-F238E27FC236}">
              <a16:creationId xmlns:a16="http://schemas.microsoft.com/office/drawing/2014/main" id="{C728FD34-C38C-4D55-BE6F-94E00C0959F8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3" name="TextBox 1171">
          <a:extLst>
            <a:ext uri="{FF2B5EF4-FFF2-40B4-BE49-F238E27FC236}">
              <a16:creationId xmlns:a16="http://schemas.microsoft.com/office/drawing/2014/main" id="{87A27AA0-8FBE-4A82-80C6-725956D0CD10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4" name="TextBox 1172">
          <a:extLst>
            <a:ext uri="{FF2B5EF4-FFF2-40B4-BE49-F238E27FC236}">
              <a16:creationId xmlns:a16="http://schemas.microsoft.com/office/drawing/2014/main" id="{E69E0BCF-625F-4EA5-91D7-342F8CBA4A05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5" name="TextBox 1173">
          <a:extLst>
            <a:ext uri="{FF2B5EF4-FFF2-40B4-BE49-F238E27FC236}">
              <a16:creationId xmlns:a16="http://schemas.microsoft.com/office/drawing/2014/main" id="{CE56B932-D247-4D93-88F3-FE85327E599D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6" name="TextBox 15">
          <a:extLst>
            <a:ext uri="{FF2B5EF4-FFF2-40B4-BE49-F238E27FC236}">
              <a16:creationId xmlns:a16="http://schemas.microsoft.com/office/drawing/2014/main" id="{9946C974-5698-4BF7-B65C-EF4CF775660B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7" name="TextBox 16">
          <a:extLst>
            <a:ext uri="{FF2B5EF4-FFF2-40B4-BE49-F238E27FC236}">
              <a16:creationId xmlns:a16="http://schemas.microsoft.com/office/drawing/2014/main" id="{E6259EC9-FC79-4995-87B6-9368E41E4D54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8" name="TextBox 17">
          <a:extLst>
            <a:ext uri="{FF2B5EF4-FFF2-40B4-BE49-F238E27FC236}">
              <a16:creationId xmlns:a16="http://schemas.microsoft.com/office/drawing/2014/main" id="{B3E4596F-58F0-4AED-9CBA-57E72A067EFF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799" name="TextBox 18">
          <a:extLst>
            <a:ext uri="{FF2B5EF4-FFF2-40B4-BE49-F238E27FC236}">
              <a16:creationId xmlns:a16="http://schemas.microsoft.com/office/drawing/2014/main" id="{8DAD10C3-E86A-41AA-9013-9CD7301C1337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0" name="TextBox 1178">
          <a:extLst>
            <a:ext uri="{FF2B5EF4-FFF2-40B4-BE49-F238E27FC236}">
              <a16:creationId xmlns:a16="http://schemas.microsoft.com/office/drawing/2014/main" id="{DE745E5A-C097-4244-AF13-68AED273E1F1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1" name="TextBox 1179">
          <a:extLst>
            <a:ext uri="{FF2B5EF4-FFF2-40B4-BE49-F238E27FC236}">
              <a16:creationId xmlns:a16="http://schemas.microsoft.com/office/drawing/2014/main" id="{C1AEB1D8-179B-48A6-820A-D0CF79D31A97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2" name="TextBox 1">
          <a:extLst>
            <a:ext uri="{FF2B5EF4-FFF2-40B4-BE49-F238E27FC236}">
              <a16:creationId xmlns:a16="http://schemas.microsoft.com/office/drawing/2014/main" id="{AE870BCE-7063-4FB3-A10A-D2EDB2AFE789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3" name="TextBox 3">
          <a:extLst>
            <a:ext uri="{FF2B5EF4-FFF2-40B4-BE49-F238E27FC236}">
              <a16:creationId xmlns:a16="http://schemas.microsoft.com/office/drawing/2014/main" id="{C4AD155C-9187-44E8-AC48-5DE7F687E55E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4" name="TextBox 1182">
          <a:extLst>
            <a:ext uri="{FF2B5EF4-FFF2-40B4-BE49-F238E27FC236}">
              <a16:creationId xmlns:a16="http://schemas.microsoft.com/office/drawing/2014/main" id="{904AD6A5-8EBF-4D73-B96D-A6A4EBBA604A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5" name="TextBox 1183">
          <a:extLst>
            <a:ext uri="{FF2B5EF4-FFF2-40B4-BE49-F238E27FC236}">
              <a16:creationId xmlns:a16="http://schemas.microsoft.com/office/drawing/2014/main" id="{C39203D3-EB2F-4309-BB54-F6869D75594B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6" name="TextBox 1184">
          <a:extLst>
            <a:ext uri="{FF2B5EF4-FFF2-40B4-BE49-F238E27FC236}">
              <a16:creationId xmlns:a16="http://schemas.microsoft.com/office/drawing/2014/main" id="{641761AF-2CE5-4EB1-94E9-79F0492332BB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7" name="TextBox 1185">
          <a:extLst>
            <a:ext uri="{FF2B5EF4-FFF2-40B4-BE49-F238E27FC236}">
              <a16:creationId xmlns:a16="http://schemas.microsoft.com/office/drawing/2014/main" id="{304C94E8-1236-4C34-A9E4-75D5AD829012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8" name="TextBox 1186">
          <a:extLst>
            <a:ext uri="{FF2B5EF4-FFF2-40B4-BE49-F238E27FC236}">
              <a16:creationId xmlns:a16="http://schemas.microsoft.com/office/drawing/2014/main" id="{51E1B393-C3AD-4DEF-9271-334BF13B94DB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09" name="TextBox 1187">
          <a:extLst>
            <a:ext uri="{FF2B5EF4-FFF2-40B4-BE49-F238E27FC236}">
              <a16:creationId xmlns:a16="http://schemas.microsoft.com/office/drawing/2014/main" id="{D0C38BDA-4FE9-4396-9B9C-704BACCE0450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0" name="TextBox 1188">
          <a:extLst>
            <a:ext uri="{FF2B5EF4-FFF2-40B4-BE49-F238E27FC236}">
              <a16:creationId xmlns:a16="http://schemas.microsoft.com/office/drawing/2014/main" id="{4EFAC6D4-9B9A-41BC-8A56-09D8A19D9BE6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1" name="TextBox 1189">
          <a:extLst>
            <a:ext uri="{FF2B5EF4-FFF2-40B4-BE49-F238E27FC236}">
              <a16:creationId xmlns:a16="http://schemas.microsoft.com/office/drawing/2014/main" id="{32E15117-4493-487D-A4DE-C3A5099D2A06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2" name="TextBox 1190">
          <a:extLst>
            <a:ext uri="{FF2B5EF4-FFF2-40B4-BE49-F238E27FC236}">
              <a16:creationId xmlns:a16="http://schemas.microsoft.com/office/drawing/2014/main" id="{9890D31B-1E28-46D9-A994-6C8F86BE397D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3" name="TextBox 1191">
          <a:extLst>
            <a:ext uri="{FF2B5EF4-FFF2-40B4-BE49-F238E27FC236}">
              <a16:creationId xmlns:a16="http://schemas.microsoft.com/office/drawing/2014/main" id="{A361EBD1-79F8-4A1C-9B32-7D9907136A94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4" name="TextBox 13">
          <a:extLst>
            <a:ext uri="{FF2B5EF4-FFF2-40B4-BE49-F238E27FC236}">
              <a16:creationId xmlns:a16="http://schemas.microsoft.com/office/drawing/2014/main" id="{7DE25616-DCE6-41CE-A1B3-1F95570C95FE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5" name="TextBox 14">
          <a:extLst>
            <a:ext uri="{FF2B5EF4-FFF2-40B4-BE49-F238E27FC236}">
              <a16:creationId xmlns:a16="http://schemas.microsoft.com/office/drawing/2014/main" id="{3FF756AB-9F63-4987-8D51-D37C802BD834}"/>
            </a:ext>
          </a:extLst>
        </xdr:cNvPr>
        <xdr:cNvSpPr txBox="1"/>
      </xdr:nvSpPr>
      <xdr:spPr>
        <a:xfrm>
          <a:off x="1909762" y="4055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6" name="TextBox 1194">
          <a:extLst>
            <a:ext uri="{FF2B5EF4-FFF2-40B4-BE49-F238E27FC236}">
              <a16:creationId xmlns:a16="http://schemas.microsoft.com/office/drawing/2014/main" id="{50260473-EB95-4A54-8CE2-C818A6E263DD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7" name="TextBox 1195">
          <a:extLst>
            <a:ext uri="{FF2B5EF4-FFF2-40B4-BE49-F238E27FC236}">
              <a16:creationId xmlns:a16="http://schemas.microsoft.com/office/drawing/2014/main" id="{FC19D63D-C0B2-4F02-8E60-FDD8F0C5D9C8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8" name="TextBox 1196">
          <a:extLst>
            <a:ext uri="{FF2B5EF4-FFF2-40B4-BE49-F238E27FC236}">
              <a16:creationId xmlns:a16="http://schemas.microsoft.com/office/drawing/2014/main" id="{F4D2CE78-9F20-4C4F-9F07-AB321BF58B48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19" name="TextBox 1197">
          <a:extLst>
            <a:ext uri="{FF2B5EF4-FFF2-40B4-BE49-F238E27FC236}">
              <a16:creationId xmlns:a16="http://schemas.microsoft.com/office/drawing/2014/main" id="{F5341B9C-F369-4926-81C0-75424C430056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0" name="TextBox 15">
          <a:extLst>
            <a:ext uri="{FF2B5EF4-FFF2-40B4-BE49-F238E27FC236}">
              <a16:creationId xmlns:a16="http://schemas.microsoft.com/office/drawing/2014/main" id="{10149E15-C29C-4F67-82BB-4E4150FE6646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1" name="TextBox 16">
          <a:extLst>
            <a:ext uri="{FF2B5EF4-FFF2-40B4-BE49-F238E27FC236}">
              <a16:creationId xmlns:a16="http://schemas.microsoft.com/office/drawing/2014/main" id="{A8B88AE7-61D8-4F5E-B594-2D5DFC47769C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2" name="TextBox 17">
          <a:extLst>
            <a:ext uri="{FF2B5EF4-FFF2-40B4-BE49-F238E27FC236}">
              <a16:creationId xmlns:a16="http://schemas.microsoft.com/office/drawing/2014/main" id="{8705A445-A291-43FF-8548-2D73CB6186E7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3" name="TextBox 18">
          <a:extLst>
            <a:ext uri="{FF2B5EF4-FFF2-40B4-BE49-F238E27FC236}">
              <a16:creationId xmlns:a16="http://schemas.microsoft.com/office/drawing/2014/main" id="{9710BBAA-AFCA-4D7B-8BE8-B2B7F89CB484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4" name="TextBox 1202">
          <a:extLst>
            <a:ext uri="{FF2B5EF4-FFF2-40B4-BE49-F238E27FC236}">
              <a16:creationId xmlns:a16="http://schemas.microsoft.com/office/drawing/2014/main" id="{63A52F38-25D4-424C-A7C6-6124CF5CBB77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5" name="TextBox 1203">
          <a:extLst>
            <a:ext uri="{FF2B5EF4-FFF2-40B4-BE49-F238E27FC236}">
              <a16:creationId xmlns:a16="http://schemas.microsoft.com/office/drawing/2014/main" id="{8EBC0B98-E2DD-498B-BDFF-B643D1032192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6" name="TextBox 1">
          <a:extLst>
            <a:ext uri="{FF2B5EF4-FFF2-40B4-BE49-F238E27FC236}">
              <a16:creationId xmlns:a16="http://schemas.microsoft.com/office/drawing/2014/main" id="{8D4F46C4-574B-4734-B5E2-471AE071670C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7" name="TextBox 3">
          <a:extLst>
            <a:ext uri="{FF2B5EF4-FFF2-40B4-BE49-F238E27FC236}">
              <a16:creationId xmlns:a16="http://schemas.microsoft.com/office/drawing/2014/main" id="{BA2F13A1-D1EA-4088-B20A-EF46C299CD34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8" name="TextBox 1206">
          <a:extLst>
            <a:ext uri="{FF2B5EF4-FFF2-40B4-BE49-F238E27FC236}">
              <a16:creationId xmlns:a16="http://schemas.microsoft.com/office/drawing/2014/main" id="{D24FC85E-9474-4A7B-A3DE-FA775A5FB3BE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29" name="TextBox 1207">
          <a:extLst>
            <a:ext uri="{FF2B5EF4-FFF2-40B4-BE49-F238E27FC236}">
              <a16:creationId xmlns:a16="http://schemas.microsoft.com/office/drawing/2014/main" id="{B52C33AA-1C2B-4088-8205-E400BE6A1CDE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0" name="TextBox 1208">
          <a:extLst>
            <a:ext uri="{FF2B5EF4-FFF2-40B4-BE49-F238E27FC236}">
              <a16:creationId xmlns:a16="http://schemas.microsoft.com/office/drawing/2014/main" id="{6E4EAD85-D53A-4221-AC40-2064681A548F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1" name="TextBox 1209">
          <a:extLst>
            <a:ext uri="{FF2B5EF4-FFF2-40B4-BE49-F238E27FC236}">
              <a16:creationId xmlns:a16="http://schemas.microsoft.com/office/drawing/2014/main" id="{6BD5269B-8820-4E00-8B27-2A4DCDBC216C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2" name="TextBox 1210">
          <a:extLst>
            <a:ext uri="{FF2B5EF4-FFF2-40B4-BE49-F238E27FC236}">
              <a16:creationId xmlns:a16="http://schemas.microsoft.com/office/drawing/2014/main" id="{A0051B01-1396-4592-BDC3-2CEA275A9AB4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3" name="TextBox 1211">
          <a:extLst>
            <a:ext uri="{FF2B5EF4-FFF2-40B4-BE49-F238E27FC236}">
              <a16:creationId xmlns:a16="http://schemas.microsoft.com/office/drawing/2014/main" id="{054F9785-FF6C-47B5-9082-F7B691542951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4" name="TextBox 1212">
          <a:extLst>
            <a:ext uri="{FF2B5EF4-FFF2-40B4-BE49-F238E27FC236}">
              <a16:creationId xmlns:a16="http://schemas.microsoft.com/office/drawing/2014/main" id="{F9740725-1E6D-4CF2-A636-8294CD865471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5" name="TextBox 1213">
          <a:extLst>
            <a:ext uri="{FF2B5EF4-FFF2-40B4-BE49-F238E27FC236}">
              <a16:creationId xmlns:a16="http://schemas.microsoft.com/office/drawing/2014/main" id="{64B4B567-6C01-4737-96E7-CE438F8EB4DF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6" name="TextBox 1214">
          <a:extLst>
            <a:ext uri="{FF2B5EF4-FFF2-40B4-BE49-F238E27FC236}">
              <a16:creationId xmlns:a16="http://schemas.microsoft.com/office/drawing/2014/main" id="{78C92288-EFD0-4803-A8BE-E408296ED306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7" name="TextBox 1215">
          <a:extLst>
            <a:ext uri="{FF2B5EF4-FFF2-40B4-BE49-F238E27FC236}">
              <a16:creationId xmlns:a16="http://schemas.microsoft.com/office/drawing/2014/main" id="{7754A517-B3B2-44C1-815A-4318B9EF14B5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8" name="TextBox 13">
          <a:extLst>
            <a:ext uri="{FF2B5EF4-FFF2-40B4-BE49-F238E27FC236}">
              <a16:creationId xmlns:a16="http://schemas.microsoft.com/office/drawing/2014/main" id="{8337BCFA-5046-4B15-ABFB-5EE87C75C6CC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39" name="TextBox 14">
          <a:extLst>
            <a:ext uri="{FF2B5EF4-FFF2-40B4-BE49-F238E27FC236}">
              <a16:creationId xmlns:a16="http://schemas.microsoft.com/office/drawing/2014/main" id="{1B1F72BF-ACC2-474B-B921-D65F12AC5069}"/>
            </a:ext>
          </a:extLst>
        </xdr:cNvPr>
        <xdr:cNvSpPr txBox="1"/>
      </xdr:nvSpPr>
      <xdr:spPr>
        <a:xfrm>
          <a:off x="1909762" y="40947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0" name="TextBox 1218">
          <a:extLst>
            <a:ext uri="{FF2B5EF4-FFF2-40B4-BE49-F238E27FC236}">
              <a16:creationId xmlns:a16="http://schemas.microsoft.com/office/drawing/2014/main" id="{E95EF67F-1E9F-4CCA-8AD5-CABD81F36DA9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1" name="TextBox 1219">
          <a:extLst>
            <a:ext uri="{FF2B5EF4-FFF2-40B4-BE49-F238E27FC236}">
              <a16:creationId xmlns:a16="http://schemas.microsoft.com/office/drawing/2014/main" id="{16C72152-1E15-429F-B0C2-5AB7EEA9E6BA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2" name="TextBox 1220">
          <a:extLst>
            <a:ext uri="{FF2B5EF4-FFF2-40B4-BE49-F238E27FC236}">
              <a16:creationId xmlns:a16="http://schemas.microsoft.com/office/drawing/2014/main" id="{BA08D428-A865-4F79-AB26-B61F9F08C394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3" name="TextBox 1221">
          <a:extLst>
            <a:ext uri="{FF2B5EF4-FFF2-40B4-BE49-F238E27FC236}">
              <a16:creationId xmlns:a16="http://schemas.microsoft.com/office/drawing/2014/main" id="{097DE721-69E3-4666-A072-25FC521B8DA2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4" name="TextBox 15">
          <a:extLst>
            <a:ext uri="{FF2B5EF4-FFF2-40B4-BE49-F238E27FC236}">
              <a16:creationId xmlns:a16="http://schemas.microsoft.com/office/drawing/2014/main" id="{CE7C1E26-AADB-4C8A-96DB-99E808651516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5" name="TextBox 16">
          <a:extLst>
            <a:ext uri="{FF2B5EF4-FFF2-40B4-BE49-F238E27FC236}">
              <a16:creationId xmlns:a16="http://schemas.microsoft.com/office/drawing/2014/main" id="{E951423E-A97A-4EA6-9367-C2FBE90E9863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6" name="TextBox 17">
          <a:extLst>
            <a:ext uri="{FF2B5EF4-FFF2-40B4-BE49-F238E27FC236}">
              <a16:creationId xmlns:a16="http://schemas.microsoft.com/office/drawing/2014/main" id="{01002C0F-778F-4C0C-A276-5B46D739C469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7" name="TextBox 18">
          <a:extLst>
            <a:ext uri="{FF2B5EF4-FFF2-40B4-BE49-F238E27FC236}">
              <a16:creationId xmlns:a16="http://schemas.microsoft.com/office/drawing/2014/main" id="{960064F4-A2CE-4E93-8567-0CC4083DFE72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8" name="TextBox 1226">
          <a:extLst>
            <a:ext uri="{FF2B5EF4-FFF2-40B4-BE49-F238E27FC236}">
              <a16:creationId xmlns:a16="http://schemas.microsoft.com/office/drawing/2014/main" id="{0F675AFD-B297-4D2D-955A-54670DC35A54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49" name="TextBox 1227">
          <a:extLst>
            <a:ext uri="{FF2B5EF4-FFF2-40B4-BE49-F238E27FC236}">
              <a16:creationId xmlns:a16="http://schemas.microsoft.com/office/drawing/2014/main" id="{7FF7599A-DA3D-4051-A9C0-8E5743BDC621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0" name="TextBox 1">
          <a:extLst>
            <a:ext uri="{FF2B5EF4-FFF2-40B4-BE49-F238E27FC236}">
              <a16:creationId xmlns:a16="http://schemas.microsoft.com/office/drawing/2014/main" id="{722090FA-B533-40A2-A07F-6D8F52C03D03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1" name="TextBox 3">
          <a:extLst>
            <a:ext uri="{FF2B5EF4-FFF2-40B4-BE49-F238E27FC236}">
              <a16:creationId xmlns:a16="http://schemas.microsoft.com/office/drawing/2014/main" id="{603C7AE9-8A47-4E41-9369-7E1C0A31820E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2" name="TextBox 1230">
          <a:extLst>
            <a:ext uri="{FF2B5EF4-FFF2-40B4-BE49-F238E27FC236}">
              <a16:creationId xmlns:a16="http://schemas.microsoft.com/office/drawing/2014/main" id="{9D224221-ABEA-4FFD-8306-8DA249AD344B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3" name="TextBox 1231">
          <a:extLst>
            <a:ext uri="{FF2B5EF4-FFF2-40B4-BE49-F238E27FC236}">
              <a16:creationId xmlns:a16="http://schemas.microsoft.com/office/drawing/2014/main" id="{927D23D5-ABBC-47B7-A2A1-798C4A64754B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4" name="TextBox 1232">
          <a:extLst>
            <a:ext uri="{FF2B5EF4-FFF2-40B4-BE49-F238E27FC236}">
              <a16:creationId xmlns:a16="http://schemas.microsoft.com/office/drawing/2014/main" id="{86CB2CA3-1BB0-48E5-BF46-87C8B6630880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5" name="TextBox 1233">
          <a:extLst>
            <a:ext uri="{FF2B5EF4-FFF2-40B4-BE49-F238E27FC236}">
              <a16:creationId xmlns:a16="http://schemas.microsoft.com/office/drawing/2014/main" id="{ECF8479A-09C8-4C6E-BC3B-6399C93DC827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6" name="TextBox 1234">
          <a:extLst>
            <a:ext uri="{FF2B5EF4-FFF2-40B4-BE49-F238E27FC236}">
              <a16:creationId xmlns:a16="http://schemas.microsoft.com/office/drawing/2014/main" id="{48A589EC-E273-4740-A27A-ADC6F9BD2327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7" name="TextBox 1235">
          <a:extLst>
            <a:ext uri="{FF2B5EF4-FFF2-40B4-BE49-F238E27FC236}">
              <a16:creationId xmlns:a16="http://schemas.microsoft.com/office/drawing/2014/main" id="{9641D04E-D7BF-45BF-9F83-30B08C41C4A7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8" name="TextBox 1236">
          <a:extLst>
            <a:ext uri="{FF2B5EF4-FFF2-40B4-BE49-F238E27FC236}">
              <a16:creationId xmlns:a16="http://schemas.microsoft.com/office/drawing/2014/main" id="{EDD354D8-2BAB-4A99-892A-4538D83DED2C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59" name="TextBox 1237">
          <a:extLst>
            <a:ext uri="{FF2B5EF4-FFF2-40B4-BE49-F238E27FC236}">
              <a16:creationId xmlns:a16="http://schemas.microsoft.com/office/drawing/2014/main" id="{510D14F0-12A8-4422-95B3-EAF60DA10CBD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0" name="TextBox 1238">
          <a:extLst>
            <a:ext uri="{FF2B5EF4-FFF2-40B4-BE49-F238E27FC236}">
              <a16:creationId xmlns:a16="http://schemas.microsoft.com/office/drawing/2014/main" id="{F08498E8-8D18-4267-9FD3-D91D036935F5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1" name="TextBox 1239">
          <a:extLst>
            <a:ext uri="{FF2B5EF4-FFF2-40B4-BE49-F238E27FC236}">
              <a16:creationId xmlns:a16="http://schemas.microsoft.com/office/drawing/2014/main" id="{830F0762-90A3-44DE-B56A-33F8D3C550D1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2" name="TextBox 13">
          <a:extLst>
            <a:ext uri="{FF2B5EF4-FFF2-40B4-BE49-F238E27FC236}">
              <a16:creationId xmlns:a16="http://schemas.microsoft.com/office/drawing/2014/main" id="{E94BBCA9-0312-497D-B8FC-16D8CF691627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3" name="TextBox 14">
          <a:extLst>
            <a:ext uri="{FF2B5EF4-FFF2-40B4-BE49-F238E27FC236}">
              <a16:creationId xmlns:a16="http://schemas.microsoft.com/office/drawing/2014/main" id="{A52282F8-E49A-40A3-9691-B2ADD3C345F8}"/>
            </a:ext>
          </a:extLst>
        </xdr:cNvPr>
        <xdr:cNvSpPr txBox="1"/>
      </xdr:nvSpPr>
      <xdr:spPr>
        <a:xfrm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4" name="TextBox 1242">
          <a:extLst>
            <a:ext uri="{FF2B5EF4-FFF2-40B4-BE49-F238E27FC236}">
              <a16:creationId xmlns:a16="http://schemas.microsoft.com/office/drawing/2014/main" id="{BE6C3ED3-3AEC-4552-BCE1-12EA0D73AB98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5" name="TextBox 1243">
          <a:extLst>
            <a:ext uri="{FF2B5EF4-FFF2-40B4-BE49-F238E27FC236}">
              <a16:creationId xmlns:a16="http://schemas.microsoft.com/office/drawing/2014/main" id="{A33DB54E-5C2B-47B5-BFD7-EA60D945EEE4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6" name="TextBox 1244">
          <a:extLst>
            <a:ext uri="{FF2B5EF4-FFF2-40B4-BE49-F238E27FC236}">
              <a16:creationId xmlns:a16="http://schemas.microsoft.com/office/drawing/2014/main" id="{F99B3131-DEC8-4752-9ADE-FBD2D3D4A05E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7" name="TextBox 1245">
          <a:extLst>
            <a:ext uri="{FF2B5EF4-FFF2-40B4-BE49-F238E27FC236}">
              <a16:creationId xmlns:a16="http://schemas.microsoft.com/office/drawing/2014/main" id="{F1D8BFA2-9525-4845-B4BE-685145EF18BB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8" name="TextBox 15">
          <a:extLst>
            <a:ext uri="{FF2B5EF4-FFF2-40B4-BE49-F238E27FC236}">
              <a16:creationId xmlns:a16="http://schemas.microsoft.com/office/drawing/2014/main" id="{A80D1E01-606F-4274-BE59-46D0D0FF889E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69" name="TextBox 16">
          <a:extLst>
            <a:ext uri="{FF2B5EF4-FFF2-40B4-BE49-F238E27FC236}">
              <a16:creationId xmlns:a16="http://schemas.microsoft.com/office/drawing/2014/main" id="{D2559292-DCD0-40A2-A8E6-6974DD814880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0" name="TextBox 17">
          <a:extLst>
            <a:ext uri="{FF2B5EF4-FFF2-40B4-BE49-F238E27FC236}">
              <a16:creationId xmlns:a16="http://schemas.microsoft.com/office/drawing/2014/main" id="{67F5F30D-DD6D-466E-8164-E0195896B36D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1" name="TextBox 18">
          <a:extLst>
            <a:ext uri="{FF2B5EF4-FFF2-40B4-BE49-F238E27FC236}">
              <a16:creationId xmlns:a16="http://schemas.microsoft.com/office/drawing/2014/main" id="{C5D423DA-5F9E-47FB-8480-FA6D0A66B497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2" name="TextBox 1250">
          <a:extLst>
            <a:ext uri="{FF2B5EF4-FFF2-40B4-BE49-F238E27FC236}">
              <a16:creationId xmlns:a16="http://schemas.microsoft.com/office/drawing/2014/main" id="{50D521C2-07B7-44E3-B96E-99443DEFE6A1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3" name="TextBox 1251">
          <a:extLst>
            <a:ext uri="{FF2B5EF4-FFF2-40B4-BE49-F238E27FC236}">
              <a16:creationId xmlns:a16="http://schemas.microsoft.com/office/drawing/2014/main" id="{260A2B3F-A05D-48DA-9B00-B09C1CF277F0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4" name="TextBox 1">
          <a:extLst>
            <a:ext uri="{FF2B5EF4-FFF2-40B4-BE49-F238E27FC236}">
              <a16:creationId xmlns:a16="http://schemas.microsoft.com/office/drawing/2014/main" id="{58A2E9C4-9899-40DE-B602-463EB54F9EEF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5" name="TextBox 3">
          <a:extLst>
            <a:ext uri="{FF2B5EF4-FFF2-40B4-BE49-F238E27FC236}">
              <a16:creationId xmlns:a16="http://schemas.microsoft.com/office/drawing/2014/main" id="{DA73B053-BEB9-4BF2-BAE2-9E5E86666132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6" name="TextBox 1254">
          <a:extLst>
            <a:ext uri="{FF2B5EF4-FFF2-40B4-BE49-F238E27FC236}">
              <a16:creationId xmlns:a16="http://schemas.microsoft.com/office/drawing/2014/main" id="{246BF664-0210-44D4-95A6-D6589212DE96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7" name="TextBox 1255">
          <a:extLst>
            <a:ext uri="{FF2B5EF4-FFF2-40B4-BE49-F238E27FC236}">
              <a16:creationId xmlns:a16="http://schemas.microsoft.com/office/drawing/2014/main" id="{F081B16C-40D5-4F84-9B95-F49090D37EC4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8" name="TextBox 1256">
          <a:extLst>
            <a:ext uri="{FF2B5EF4-FFF2-40B4-BE49-F238E27FC236}">
              <a16:creationId xmlns:a16="http://schemas.microsoft.com/office/drawing/2014/main" id="{E725604E-DC0D-4DBC-AFC4-380B8396115F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79" name="TextBox 1257">
          <a:extLst>
            <a:ext uri="{FF2B5EF4-FFF2-40B4-BE49-F238E27FC236}">
              <a16:creationId xmlns:a16="http://schemas.microsoft.com/office/drawing/2014/main" id="{7878F6D5-21FA-478A-AC0D-E4380F8E01D3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0" name="TextBox 1258">
          <a:extLst>
            <a:ext uri="{FF2B5EF4-FFF2-40B4-BE49-F238E27FC236}">
              <a16:creationId xmlns:a16="http://schemas.microsoft.com/office/drawing/2014/main" id="{AB0C19D2-97B9-47AE-B873-EB7A8416BFBE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1" name="TextBox 1259">
          <a:extLst>
            <a:ext uri="{FF2B5EF4-FFF2-40B4-BE49-F238E27FC236}">
              <a16:creationId xmlns:a16="http://schemas.microsoft.com/office/drawing/2014/main" id="{9BA5AF03-BCB6-4D54-BE1F-068E59E6B764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2" name="TextBox 1260">
          <a:extLst>
            <a:ext uri="{FF2B5EF4-FFF2-40B4-BE49-F238E27FC236}">
              <a16:creationId xmlns:a16="http://schemas.microsoft.com/office/drawing/2014/main" id="{43E794F9-F791-4580-A875-B4FA67C4E2FB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3" name="TextBox 1261">
          <a:extLst>
            <a:ext uri="{FF2B5EF4-FFF2-40B4-BE49-F238E27FC236}">
              <a16:creationId xmlns:a16="http://schemas.microsoft.com/office/drawing/2014/main" id="{A48FAACB-2A9B-42B6-BF01-8191DCE1368F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4" name="TextBox 1262">
          <a:extLst>
            <a:ext uri="{FF2B5EF4-FFF2-40B4-BE49-F238E27FC236}">
              <a16:creationId xmlns:a16="http://schemas.microsoft.com/office/drawing/2014/main" id="{110085ED-BB37-438B-9123-332BA785B5DB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5" name="TextBox 1263">
          <a:extLst>
            <a:ext uri="{FF2B5EF4-FFF2-40B4-BE49-F238E27FC236}">
              <a16:creationId xmlns:a16="http://schemas.microsoft.com/office/drawing/2014/main" id="{85E5959D-6D63-4EDC-8AEF-870C328EA6C3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6" name="TextBox 13">
          <a:extLst>
            <a:ext uri="{FF2B5EF4-FFF2-40B4-BE49-F238E27FC236}">
              <a16:creationId xmlns:a16="http://schemas.microsoft.com/office/drawing/2014/main" id="{0048E08E-FC2E-4DF5-8B36-FDF669409607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7" name="TextBox 14">
          <a:extLst>
            <a:ext uri="{FF2B5EF4-FFF2-40B4-BE49-F238E27FC236}">
              <a16:creationId xmlns:a16="http://schemas.microsoft.com/office/drawing/2014/main" id="{256D675C-6DA4-4785-A5DD-6F381320267B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8" name="TextBox 1266">
          <a:extLst>
            <a:ext uri="{FF2B5EF4-FFF2-40B4-BE49-F238E27FC236}">
              <a16:creationId xmlns:a16="http://schemas.microsoft.com/office/drawing/2014/main" id="{9BD75D51-F3D2-4E8D-B38A-BD67B7AE341E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89" name="TextBox 1267">
          <a:extLst>
            <a:ext uri="{FF2B5EF4-FFF2-40B4-BE49-F238E27FC236}">
              <a16:creationId xmlns:a16="http://schemas.microsoft.com/office/drawing/2014/main" id="{A532DBCD-32F5-47B5-9519-02F5FB2CF1BF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0" name="TextBox 1268">
          <a:extLst>
            <a:ext uri="{FF2B5EF4-FFF2-40B4-BE49-F238E27FC236}">
              <a16:creationId xmlns:a16="http://schemas.microsoft.com/office/drawing/2014/main" id="{8B556311-8314-49A0-B418-E7B9863A0546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1" name="TextBox 1269">
          <a:extLst>
            <a:ext uri="{FF2B5EF4-FFF2-40B4-BE49-F238E27FC236}">
              <a16:creationId xmlns:a16="http://schemas.microsoft.com/office/drawing/2014/main" id="{16C88B9E-859E-46AD-B903-D0E626B4FDA4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2" name="TextBox 15">
          <a:extLst>
            <a:ext uri="{FF2B5EF4-FFF2-40B4-BE49-F238E27FC236}">
              <a16:creationId xmlns:a16="http://schemas.microsoft.com/office/drawing/2014/main" id="{E9691B7E-29F0-441F-8677-8CC5699F9F66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3" name="TextBox 16">
          <a:extLst>
            <a:ext uri="{FF2B5EF4-FFF2-40B4-BE49-F238E27FC236}">
              <a16:creationId xmlns:a16="http://schemas.microsoft.com/office/drawing/2014/main" id="{AA5E7C59-7259-4242-84CB-E796C07E3B26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4" name="TextBox 17">
          <a:extLst>
            <a:ext uri="{FF2B5EF4-FFF2-40B4-BE49-F238E27FC236}">
              <a16:creationId xmlns:a16="http://schemas.microsoft.com/office/drawing/2014/main" id="{8A140CBD-A32F-4F6D-83EB-16C8EE9B20ED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5" name="TextBox 18">
          <a:extLst>
            <a:ext uri="{FF2B5EF4-FFF2-40B4-BE49-F238E27FC236}">
              <a16:creationId xmlns:a16="http://schemas.microsoft.com/office/drawing/2014/main" id="{6058FA7B-6740-46F3-A1BA-A4AD3D6A0F0F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6" name="TextBox 1274">
          <a:extLst>
            <a:ext uri="{FF2B5EF4-FFF2-40B4-BE49-F238E27FC236}">
              <a16:creationId xmlns:a16="http://schemas.microsoft.com/office/drawing/2014/main" id="{9C762E13-EC25-4AFE-815D-1545A57F4709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7" name="TextBox 1275">
          <a:extLst>
            <a:ext uri="{FF2B5EF4-FFF2-40B4-BE49-F238E27FC236}">
              <a16:creationId xmlns:a16="http://schemas.microsoft.com/office/drawing/2014/main" id="{128083A5-EFC2-4F35-BC57-1037000A48CD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8" name="TextBox 1">
          <a:extLst>
            <a:ext uri="{FF2B5EF4-FFF2-40B4-BE49-F238E27FC236}">
              <a16:creationId xmlns:a16="http://schemas.microsoft.com/office/drawing/2014/main" id="{C70A5D61-222D-40ED-8D30-1927141DE2C0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899" name="TextBox 3">
          <a:extLst>
            <a:ext uri="{FF2B5EF4-FFF2-40B4-BE49-F238E27FC236}">
              <a16:creationId xmlns:a16="http://schemas.microsoft.com/office/drawing/2014/main" id="{D525DFA3-3774-4AE7-AE3F-FEBFFF1AAC22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0" name="TextBox 1278">
          <a:extLst>
            <a:ext uri="{FF2B5EF4-FFF2-40B4-BE49-F238E27FC236}">
              <a16:creationId xmlns:a16="http://schemas.microsoft.com/office/drawing/2014/main" id="{B4B86DBC-5A7C-42F1-A8B3-3AAE90ED20BE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1" name="TextBox 1279">
          <a:extLst>
            <a:ext uri="{FF2B5EF4-FFF2-40B4-BE49-F238E27FC236}">
              <a16:creationId xmlns:a16="http://schemas.microsoft.com/office/drawing/2014/main" id="{1A68500C-A56C-443E-A9BB-D577F585E12B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2" name="TextBox 1280">
          <a:extLst>
            <a:ext uri="{FF2B5EF4-FFF2-40B4-BE49-F238E27FC236}">
              <a16:creationId xmlns:a16="http://schemas.microsoft.com/office/drawing/2014/main" id="{89946FB3-D7DC-4544-B5F5-5BCFA617E5AD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3" name="TextBox 1281">
          <a:extLst>
            <a:ext uri="{FF2B5EF4-FFF2-40B4-BE49-F238E27FC236}">
              <a16:creationId xmlns:a16="http://schemas.microsoft.com/office/drawing/2014/main" id="{4E63D554-5828-4562-8DBB-50BBA6BFDAAE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4" name="TextBox 1282">
          <a:extLst>
            <a:ext uri="{FF2B5EF4-FFF2-40B4-BE49-F238E27FC236}">
              <a16:creationId xmlns:a16="http://schemas.microsoft.com/office/drawing/2014/main" id="{AB78F771-83E7-4759-ACA9-2E1727543E94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5" name="TextBox 1283">
          <a:extLst>
            <a:ext uri="{FF2B5EF4-FFF2-40B4-BE49-F238E27FC236}">
              <a16:creationId xmlns:a16="http://schemas.microsoft.com/office/drawing/2014/main" id="{4149C70B-82DE-454B-B2C7-2854A3215019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6" name="TextBox 1284">
          <a:extLst>
            <a:ext uri="{FF2B5EF4-FFF2-40B4-BE49-F238E27FC236}">
              <a16:creationId xmlns:a16="http://schemas.microsoft.com/office/drawing/2014/main" id="{B29352F6-F4DC-4A89-9125-4E9F778B750F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7" name="TextBox 1285">
          <a:extLst>
            <a:ext uri="{FF2B5EF4-FFF2-40B4-BE49-F238E27FC236}">
              <a16:creationId xmlns:a16="http://schemas.microsoft.com/office/drawing/2014/main" id="{01CE5519-F21A-4BC9-B5D8-12FD87641921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8" name="TextBox 1286">
          <a:extLst>
            <a:ext uri="{FF2B5EF4-FFF2-40B4-BE49-F238E27FC236}">
              <a16:creationId xmlns:a16="http://schemas.microsoft.com/office/drawing/2014/main" id="{F4484CFF-8ADC-49A6-B18E-835E1DA9B222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09" name="TextBox 1287">
          <a:extLst>
            <a:ext uri="{FF2B5EF4-FFF2-40B4-BE49-F238E27FC236}">
              <a16:creationId xmlns:a16="http://schemas.microsoft.com/office/drawing/2014/main" id="{B8888BF6-7B41-47ED-AEFD-2639963BE8A6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0" name="TextBox 13">
          <a:extLst>
            <a:ext uri="{FF2B5EF4-FFF2-40B4-BE49-F238E27FC236}">
              <a16:creationId xmlns:a16="http://schemas.microsoft.com/office/drawing/2014/main" id="{A3C033BF-9D0F-4C09-B5B7-99B3CD32AE3C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1" name="TextBox 14">
          <a:extLst>
            <a:ext uri="{FF2B5EF4-FFF2-40B4-BE49-F238E27FC236}">
              <a16:creationId xmlns:a16="http://schemas.microsoft.com/office/drawing/2014/main" id="{A9D16F4D-8E20-474D-AC80-CC31A4404434}"/>
            </a:ext>
          </a:extLst>
        </xdr:cNvPr>
        <xdr:cNvSpPr txBox="1"/>
      </xdr:nvSpPr>
      <xdr:spPr>
        <a:xfrm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2" name="TextBox 1290">
          <a:extLst>
            <a:ext uri="{FF2B5EF4-FFF2-40B4-BE49-F238E27FC236}">
              <a16:creationId xmlns:a16="http://schemas.microsoft.com/office/drawing/2014/main" id="{1AE61CBE-2072-4673-AA7D-CC8C54FD94BA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3" name="TextBox 1291">
          <a:extLst>
            <a:ext uri="{FF2B5EF4-FFF2-40B4-BE49-F238E27FC236}">
              <a16:creationId xmlns:a16="http://schemas.microsoft.com/office/drawing/2014/main" id="{00472B08-36F8-496C-B3E3-E4A16C5CE712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4" name="TextBox 1292">
          <a:extLst>
            <a:ext uri="{FF2B5EF4-FFF2-40B4-BE49-F238E27FC236}">
              <a16:creationId xmlns:a16="http://schemas.microsoft.com/office/drawing/2014/main" id="{C59605CD-1BFD-41E9-A427-CF1DD0513606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5" name="TextBox 1293">
          <a:extLst>
            <a:ext uri="{FF2B5EF4-FFF2-40B4-BE49-F238E27FC236}">
              <a16:creationId xmlns:a16="http://schemas.microsoft.com/office/drawing/2014/main" id="{7CF81A0C-057A-414D-AB07-F424A62E0577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6" name="TextBox 15">
          <a:extLst>
            <a:ext uri="{FF2B5EF4-FFF2-40B4-BE49-F238E27FC236}">
              <a16:creationId xmlns:a16="http://schemas.microsoft.com/office/drawing/2014/main" id="{9DE15643-936F-430F-ADF9-ED9826C498AB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7" name="TextBox 16">
          <a:extLst>
            <a:ext uri="{FF2B5EF4-FFF2-40B4-BE49-F238E27FC236}">
              <a16:creationId xmlns:a16="http://schemas.microsoft.com/office/drawing/2014/main" id="{74EDFCEE-9417-4A86-BF0C-A246EDF45792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8" name="TextBox 17">
          <a:extLst>
            <a:ext uri="{FF2B5EF4-FFF2-40B4-BE49-F238E27FC236}">
              <a16:creationId xmlns:a16="http://schemas.microsoft.com/office/drawing/2014/main" id="{ED3618AE-7D0F-49C1-B89E-55C927657CD9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19" name="TextBox 18">
          <a:extLst>
            <a:ext uri="{FF2B5EF4-FFF2-40B4-BE49-F238E27FC236}">
              <a16:creationId xmlns:a16="http://schemas.microsoft.com/office/drawing/2014/main" id="{E32B2852-E895-495D-8C0E-E8307777D87A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0" name="TextBox 1298">
          <a:extLst>
            <a:ext uri="{FF2B5EF4-FFF2-40B4-BE49-F238E27FC236}">
              <a16:creationId xmlns:a16="http://schemas.microsoft.com/office/drawing/2014/main" id="{116AAFCA-0556-4D6E-A1C5-AE60397A4CCB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1" name="TextBox 1299">
          <a:extLst>
            <a:ext uri="{FF2B5EF4-FFF2-40B4-BE49-F238E27FC236}">
              <a16:creationId xmlns:a16="http://schemas.microsoft.com/office/drawing/2014/main" id="{AA1957B2-4E94-47CF-96AD-8A000FA64002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2" name="TextBox 1">
          <a:extLst>
            <a:ext uri="{FF2B5EF4-FFF2-40B4-BE49-F238E27FC236}">
              <a16:creationId xmlns:a16="http://schemas.microsoft.com/office/drawing/2014/main" id="{F52FE614-BBD3-4383-8599-26775DD913C0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3" name="TextBox 3">
          <a:extLst>
            <a:ext uri="{FF2B5EF4-FFF2-40B4-BE49-F238E27FC236}">
              <a16:creationId xmlns:a16="http://schemas.microsoft.com/office/drawing/2014/main" id="{038840FF-69CD-49E2-89BB-714693D59366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4" name="TextBox 1302">
          <a:extLst>
            <a:ext uri="{FF2B5EF4-FFF2-40B4-BE49-F238E27FC236}">
              <a16:creationId xmlns:a16="http://schemas.microsoft.com/office/drawing/2014/main" id="{769CC078-761D-4CEA-8CA2-DBAA27D06CE1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5" name="TextBox 1303">
          <a:extLst>
            <a:ext uri="{FF2B5EF4-FFF2-40B4-BE49-F238E27FC236}">
              <a16:creationId xmlns:a16="http://schemas.microsoft.com/office/drawing/2014/main" id="{45F4E3B7-B4A8-46ED-A61D-90574D7AD17E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6" name="TextBox 1304">
          <a:extLst>
            <a:ext uri="{FF2B5EF4-FFF2-40B4-BE49-F238E27FC236}">
              <a16:creationId xmlns:a16="http://schemas.microsoft.com/office/drawing/2014/main" id="{8A147473-DFE2-4E9D-B5D1-634433749A61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7" name="TextBox 1305">
          <a:extLst>
            <a:ext uri="{FF2B5EF4-FFF2-40B4-BE49-F238E27FC236}">
              <a16:creationId xmlns:a16="http://schemas.microsoft.com/office/drawing/2014/main" id="{1B842864-4D69-4D08-B359-4E3087FC9232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8" name="TextBox 1306">
          <a:extLst>
            <a:ext uri="{FF2B5EF4-FFF2-40B4-BE49-F238E27FC236}">
              <a16:creationId xmlns:a16="http://schemas.microsoft.com/office/drawing/2014/main" id="{A6CC54EB-0414-47FA-AC5C-B7A15107DBF9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29" name="TextBox 1307">
          <a:extLst>
            <a:ext uri="{FF2B5EF4-FFF2-40B4-BE49-F238E27FC236}">
              <a16:creationId xmlns:a16="http://schemas.microsoft.com/office/drawing/2014/main" id="{0C6FE5EE-DCAC-437E-AECA-2B9208791846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0" name="TextBox 1308">
          <a:extLst>
            <a:ext uri="{FF2B5EF4-FFF2-40B4-BE49-F238E27FC236}">
              <a16:creationId xmlns:a16="http://schemas.microsoft.com/office/drawing/2014/main" id="{4BBB084A-3934-40F3-8DAA-C81A1081B4A1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1" name="TextBox 1309">
          <a:extLst>
            <a:ext uri="{FF2B5EF4-FFF2-40B4-BE49-F238E27FC236}">
              <a16:creationId xmlns:a16="http://schemas.microsoft.com/office/drawing/2014/main" id="{007A1994-A2FE-4F7D-B04C-03346FDD4ADB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2" name="TextBox 1310">
          <a:extLst>
            <a:ext uri="{FF2B5EF4-FFF2-40B4-BE49-F238E27FC236}">
              <a16:creationId xmlns:a16="http://schemas.microsoft.com/office/drawing/2014/main" id="{9D26FEC7-330F-4A8D-B794-BB57F85C706B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3" name="TextBox 1311">
          <a:extLst>
            <a:ext uri="{FF2B5EF4-FFF2-40B4-BE49-F238E27FC236}">
              <a16:creationId xmlns:a16="http://schemas.microsoft.com/office/drawing/2014/main" id="{F520EBC7-7B48-41F1-90B1-8F7A44D42A13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4" name="TextBox 13">
          <a:extLst>
            <a:ext uri="{FF2B5EF4-FFF2-40B4-BE49-F238E27FC236}">
              <a16:creationId xmlns:a16="http://schemas.microsoft.com/office/drawing/2014/main" id="{ADCC8638-2A13-4394-A292-807C30AD817E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5" name="TextBox 14">
          <a:extLst>
            <a:ext uri="{FF2B5EF4-FFF2-40B4-BE49-F238E27FC236}">
              <a16:creationId xmlns:a16="http://schemas.microsoft.com/office/drawing/2014/main" id="{26F4D80B-D565-4605-9CDC-4D292025C94F}"/>
            </a:ext>
          </a:extLst>
        </xdr:cNvPr>
        <xdr:cNvSpPr txBox="1"/>
      </xdr:nvSpPr>
      <xdr:spPr>
        <a:xfrm>
          <a:off x="1909762" y="42900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6" name="TextBox 1314">
          <a:extLst>
            <a:ext uri="{FF2B5EF4-FFF2-40B4-BE49-F238E27FC236}">
              <a16:creationId xmlns:a16="http://schemas.microsoft.com/office/drawing/2014/main" id="{B86B4703-8263-46D4-94C6-09BDA93A901E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7" name="TextBox 1315">
          <a:extLst>
            <a:ext uri="{FF2B5EF4-FFF2-40B4-BE49-F238E27FC236}">
              <a16:creationId xmlns:a16="http://schemas.microsoft.com/office/drawing/2014/main" id="{EED223EB-0F1F-4833-A741-6050183F1F0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8" name="TextBox 1316">
          <a:extLst>
            <a:ext uri="{FF2B5EF4-FFF2-40B4-BE49-F238E27FC236}">
              <a16:creationId xmlns:a16="http://schemas.microsoft.com/office/drawing/2014/main" id="{59DBEBB8-A7E4-4AA1-8228-9AF64F3F089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39" name="TextBox 1317">
          <a:extLst>
            <a:ext uri="{FF2B5EF4-FFF2-40B4-BE49-F238E27FC236}">
              <a16:creationId xmlns:a16="http://schemas.microsoft.com/office/drawing/2014/main" id="{DF5B50CF-E1F1-470F-8405-930CDC6B378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0" name="TextBox 15">
          <a:extLst>
            <a:ext uri="{FF2B5EF4-FFF2-40B4-BE49-F238E27FC236}">
              <a16:creationId xmlns:a16="http://schemas.microsoft.com/office/drawing/2014/main" id="{CA62DE63-C26D-44C9-BD35-4741911CFAB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1" name="TextBox 16">
          <a:extLst>
            <a:ext uri="{FF2B5EF4-FFF2-40B4-BE49-F238E27FC236}">
              <a16:creationId xmlns:a16="http://schemas.microsoft.com/office/drawing/2014/main" id="{FBF4514E-70C1-45C2-9D93-90CFE260ED8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2" name="TextBox 17">
          <a:extLst>
            <a:ext uri="{FF2B5EF4-FFF2-40B4-BE49-F238E27FC236}">
              <a16:creationId xmlns:a16="http://schemas.microsoft.com/office/drawing/2014/main" id="{F93426AB-BD24-4565-BC36-FEC77AC39F8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3" name="TextBox 18">
          <a:extLst>
            <a:ext uri="{FF2B5EF4-FFF2-40B4-BE49-F238E27FC236}">
              <a16:creationId xmlns:a16="http://schemas.microsoft.com/office/drawing/2014/main" id="{3CCA6049-1DAB-445F-AAAB-17CD433957C1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4" name="TextBox 1322">
          <a:extLst>
            <a:ext uri="{FF2B5EF4-FFF2-40B4-BE49-F238E27FC236}">
              <a16:creationId xmlns:a16="http://schemas.microsoft.com/office/drawing/2014/main" id="{D9B95EF8-0E53-408B-BED8-188139FC609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5" name="TextBox 1323">
          <a:extLst>
            <a:ext uri="{FF2B5EF4-FFF2-40B4-BE49-F238E27FC236}">
              <a16:creationId xmlns:a16="http://schemas.microsoft.com/office/drawing/2014/main" id="{845232FC-E2C1-48DC-8F98-388D3ED6DFF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6" name="TextBox 1">
          <a:extLst>
            <a:ext uri="{FF2B5EF4-FFF2-40B4-BE49-F238E27FC236}">
              <a16:creationId xmlns:a16="http://schemas.microsoft.com/office/drawing/2014/main" id="{EE560B3F-5C24-440E-87D9-C8A84207E6B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7" name="TextBox 3">
          <a:extLst>
            <a:ext uri="{FF2B5EF4-FFF2-40B4-BE49-F238E27FC236}">
              <a16:creationId xmlns:a16="http://schemas.microsoft.com/office/drawing/2014/main" id="{D1A1CC22-CAA9-41E3-B002-A48137567A3E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8" name="TextBox 1326">
          <a:extLst>
            <a:ext uri="{FF2B5EF4-FFF2-40B4-BE49-F238E27FC236}">
              <a16:creationId xmlns:a16="http://schemas.microsoft.com/office/drawing/2014/main" id="{A8370A59-5EDF-496E-8788-11267D7B520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49" name="TextBox 1327">
          <a:extLst>
            <a:ext uri="{FF2B5EF4-FFF2-40B4-BE49-F238E27FC236}">
              <a16:creationId xmlns:a16="http://schemas.microsoft.com/office/drawing/2014/main" id="{33E41C4D-BBBB-46E9-8EE9-EDBDE2A574FC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0" name="TextBox 1328">
          <a:extLst>
            <a:ext uri="{FF2B5EF4-FFF2-40B4-BE49-F238E27FC236}">
              <a16:creationId xmlns:a16="http://schemas.microsoft.com/office/drawing/2014/main" id="{AA1A702E-AD5F-4440-853F-A8A90359EC2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1" name="TextBox 1329">
          <a:extLst>
            <a:ext uri="{FF2B5EF4-FFF2-40B4-BE49-F238E27FC236}">
              <a16:creationId xmlns:a16="http://schemas.microsoft.com/office/drawing/2014/main" id="{B194DE1F-B809-4BCE-9819-872F44EF0A3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2" name="TextBox 1330">
          <a:extLst>
            <a:ext uri="{FF2B5EF4-FFF2-40B4-BE49-F238E27FC236}">
              <a16:creationId xmlns:a16="http://schemas.microsoft.com/office/drawing/2014/main" id="{8073DF9C-ED09-46ED-86E7-C0201A777825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3" name="TextBox 1331">
          <a:extLst>
            <a:ext uri="{FF2B5EF4-FFF2-40B4-BE49-F238E27FC236}">
              <a16:creationId xmlns:a16="http://schemas.microsoft.com/office/drawing/2014/main" id="{96026675-51F7-4FAA-964D-E1AEEB95160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4" name="TextBox 1332">
          <a:extLst>
            <a:ext uri="{FF2B5EF4-FFF2-40B4-BE49-F238E27FC236}">
              <a16:creationId xmlns:a16="http://schemas.microsoft.com/office/drawing/2014/main" id="{74EEF4B2-9FC9-411E-8A0D-43E8A8E7C2D6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5" name="TextBox 1333">
          <a:extLst>
            <a:ext uri="{FF2B5EF4-FFF2-40B4-BE49-F238E27FC236}">
              <a16:creationId xmlns:a16="http://schemas.microsoft.com/office/drawing/2014/main" id="{48E2C832-3457-4653-9525-DD55D695FB15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6" name="TextBox 1334">
          <a:extLst>
            <a:ext uri="{FF2B5EF4-FFF2-40B4-BE49-F238E27FC236}">
              <a16:creationId xmlns:a16="http://schemas.microsoft.com/office/drawing/2014/main" id="{631E7053-C8CC-4DFE-B4DF-731257AA53C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7" name="TextBox 1335">
          <a:extLst>
            <a:ext uri="{FF2B5EF4-FFF2-40B4-BE49-F238E27FC236}">
              <a16:creationId xmlns:a16="http://schemas.microsoft.com/office/drawing/2014/main" id="{7DE7EE43-E632-4C6F-9540-6EC62B87B761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8" name="TextBox 13">
          <a:extLst>
            <a:ext uri="{FF2B5EF4-FFF2-40B4-BE49-F238E27FC236}">
              <a16:creationId xmlns:a16="http://schemas.microsoft.com/office/drawing/2014/main" id="{9A01266A-A594-414E-91AC-AF7466F5EBE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59" name="TextBox 14">
          <a:extLst>
            <a:ext uri="{FF2B5EF4-FFF2-40B4-BE49-F238E27FC236}">
              <a16:creationId xmlns:a16="http://schemas.microsoft.com/office/drawing/2014/main" id="{5BB5853C-5747-409D-82F9-40123A34841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0" name="TextBox 1338">
          <a:extLst>
            <a:ext uri="{FF2B5EF4-FFF2-40B4-BE49-F238E27FC236}">
              <a16:creationId xmlns:a16="http://schemas.microsoft.com/office/drawing/2014/main" id="{628E7366-D617-4E51-B491-62A40635B56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1" name="TextBox 1339">
          <a:extLst>
            <a:ext uri="{FF2B5EF4-FFF2-40B4-BE49-F238E27FC236}">
              <a16:creationId xmlns:a16="http://schemas.microsoft.com/office/drawing/2014/main" id="{E08FC7EA-4500-40B1-A182-09F39A340311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2" name="TextBox 1340">
          <a:extLst>
            <a:ext uri="{FF2B5EF4-FFF2-40B4-BE49-F238E27FC236}">
              <a16:creationId xmlns:a16="http://schemas.microsoft.com/office/drawing/2014/main" id="{18AEBC2D-6F36-42BF-AA3D-2BD9FF15B5CE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3" name="TextBox 1341">
          <a:extLst>
            <a:ext uri="{FF2B5EF4-FFF2-40B4-BE49-F238E27FC236}">
              <a16:creationId xmlns:a16="http://schemas.microsoft.com/office/drawing/2014/main" id="{FE046CF5-F5DC-4B7A-A762-94CBF74A58F2}"/>
            </a:ext>
          </a:extLst>
        </xdr:cNvPr>
        <xdr:cNvSpPr txBox="1"/>
      </xdr:nvSpPr>
      <xdr:spPr>
        <a:xfrm>
          <a:off x="1909762" y="20640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4" name="TextBox 1342">
          <a:extLst>
            <a:ext uri="{FF2B5EF4-FFF2-40B4-BE49-F238E27FC236}">
              <a16:creationId xmlns:a16="http://schemas.microsoft.com/office/drawing/2014/main" id="{B0FA964F-3724-4AD1-8B28-02FFD13D78D5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5" name="TextBox 1343">
          <a:extLst>
            <a:ext uri="{FF2B5EF4-FFF2-40B4-BE49-F238E27FC236}">
              <a16:creationId xmlns:a16="http://schemas.microsoft.com/office/drawing/2014/main" id="{B7DB0528-8184-491D-A42C-EA7CD42EB3C8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6" name="TextBox 1344">
          <a:extLst>
            <a:ext uri="{FF2B5EF4-FFF2-40B4-BE49-F238E27FC236}">
              <a16:creationId xmlns:a16="http://schemas.microsoft.com/office/drawing/2014/main" id="{AE97CFA4-D65C-43B6-BE14-8AC79773A85F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7" name="TextBox 1345">
          <a:extLst>
            <a:ext uri="{FF2B5EF4-FFF2-40B4-BE49-F238E27FC236}">
              <a16:creationId xmlns:a16="http://schemas.microsoft.com/office/drawing/2014/main" id="{B021EF8B-897F-49AE-B864-F9CB0CBB96D2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8" name="TextBox 1346">
          <a:extLst>
            <a:ext uri="{FF2B5EF4-FFF2-40B4-BE49-F238E27FC236}">
              <a16:creationId xmlns:a16="http://schemas.microsoft.com/office/drawing/2014/main" id="{DF6A3155-7712-4203-AC43-05755522E7A5}"/>
            </a:ext>
          </a:extLst>
        </xdr:cNvPr>
        <xdr:cNvSpPr txBox="1"/>
      </xdr:nvSpPr>
      <xdr:spPr>
        <a:xfrm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69" name="TextBox 1347">
          <a:extLst>
            <a:ext uri="{FF2B5EF4-FFF2-40B4-BE49-F238E27FC236}">
              <a16:creationId xmlns:a16="http://schemas.microsoft.com/office/drawing/2014/main" id="{2ADABD4F-628C-4B95-AC89-5E917FB9A625}"/>
            </a:ext>
          </a:extLst>
        </xdr:cNvPr>
        <xdr:cNvSpPr txBox="1"/>
      </xdr:nvSpPr>
      <xdr:spPr>
        <a:xfrm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0" name="TextBox 2">
          <a:extLst>
            <a:ext uri="{FF2B5EF4-FFF2-40B4-BE49-F238E27FC236}">
              <a16:creationId xmlns:a16="http://schemas.microsoft.com/office/drawing/2014/main" id="{835C2404-9531-458D-8DD0-15479BDBCD9C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1" name="TextBox 1349">
          <a:extLst>
            <a:ext uri="{FF2B5EF4-FFF2-40B4-BE49-F238E27FC236}">
              <a16:creationId xmlns:a16="http://schemas.microsoft.com/office/drawing/2014/main" id="{C2087B73-CB09-4363-922C-47410FBEBE9D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2" name="TextBox 1350">
          <a:extLst>
            <a:ext uri="{FF2B5EF4-FFF2-40B4-BE49-F238E27FC236}">
              <a16:creationId xmlns:a16="http://schemas.microsoft.com/office/drawing/2014/main" id="{8A54BEA0-EEA7-4685-A796-2D1604471EAF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3" name="TextBox 1351">
          <a:extLst>
            <a:ext uri="{FF2B5EF4-FFF2-40B4-BE49-F238E27FC236}">
              <a16:creationId xmlns:a16="http://schemas.microsoft.com/office/drawing/2014/main" id="{560B2CD9-1837-4C06-B574-1ABCEAA741E8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4" name="TextBox 1352">
          <a:extLst>
            <a:ext uri="{FF2B5EF4-FFF2-40B4-BE49-F238E27FC236}">
              <a16:creationId xmlns:a16="http://schemas.microsoft.com/office/drawing/2014/main" id="{6B8A6A14-D04E-42D0-A9F6-C38BD60A8E1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5" name="TextBox 1353">
          <a:extLst>
            <a:ext uri="{FF2B5EF4-FFF2-40B4-BE49-F238E27FC236}">
              <a16:creationId xmlns:a16="http://schemas.microsoft.com/office/drawing/2014/main" id="{E8C618E8-41AA-4D05-A12D-22410C71F562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6" name="TextBox 2">
          <a:extLst>
            <a:ext uri="{FF2B5EF4-FFF2-40B4-BE49-F238E27FC236}">
              <a16:creationId xmlns:a16="http://schemas.microsoft.com/office/drawing/2014/main" id="{6C1ADDAD-32C9-444A-BA87-AC0588FC65B4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7" name="TextBox 4">
          <a:extLst>
            <a:ext uri="{FF2B5EF4-FFF2-40B4-BE49-F238E27FC236}">
              <a16:creationId xmlns:a16="http://schemas.microsoft.com/office/drawing/2014/main" id="{AC675F37-D7AF-4D30-8504-57958E7CB946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8" name="TextBox 5">
          <a:extLst>
            <a:ext uri="{FF2B5EF4-FFF2-40B4-BE49-F238E27FC236}">
              <a16:creationId xmlns:a16="http://schemas.microsoft.com/office/drawing/2014/main" id="{38BD4154-A000-4655-954C-21A1A582248F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79" name="TextBox 6">
          <a:extLst>
            <a:ext uri="{FF2B5EF4-FFF2-40B4-BE49-F238E27FC236}">
              <a16:creationId xmlns:a16="http://schemas.microsoft.com/office/drawing/2014/main" id="{27293939-4672-481A-AEC1-53E04C745F0A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0" name="TextBox 7">
          <a:extLst>
            <a:ext uri="{FF2B5EF4-FFF2-40B4-BE49-F238E27FC236}">
              <a16:creationId xmlns:a16="http://schemas.microsoft.com/office/drawing/2014/main" id="{5FCA4620-724D-463E-8CA9-2C47A2BE9A53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1" name="TextBox 8">
          <a:extLst>
            <a:ext uri="{FF2B5EF4-FFF2-40B4-BE49-F238E27FC236}">
              <a16:creationId xmlns:a16="http://schemas.microsoft.com/office/drawing/2014/main" id="{E37A292B-2B49-4C15-AEA3-94EEB480ADAD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2" name="TextBox 2">
          <a:extLst>
            <a:ext uri="{FF2B5EF4-FFF2-40B4-BE49-F238E27FC236}">
              <a16:creationId xmlns:a16="http://schemas.microsoft.com/office/drawing/2014/main" id="{D073B8C6-D74F-4E67-884A-0C5C505194CB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3" name="TextBox 4">
          <a:extLst>
            <a:ext uri="{FF2B5EF4-FFF2-40B4-BE49-F238E27FC236}">
              <a16:creationId xmlns:a16="http://schemas.microsoft.com/office/drawing/2014/main" id="{27D01853-7B19-4978-919E-DDD90B79AD45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4" name="TextBox 5">
          <a:extLst>
            <a:ext uri="{FF2B5EF4-FFF2-40B4-BE49-F238E27FC236}">
              <a16:creationId xmlns:a16="http://schemas.microsoft.com/office/drawing/2014/main" id="{00362CB9-8F8B-45EF-91EB-4C6E6232E4FF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5" name="TextBox 6">
          <a:extLst>
            <a:ext uri="{FF2B5EF4-FFF2-40B4-BE49-F238E27FC236}">
              <a16:creationId xmlns:a16="http://schemas.microsoft.com/office/drawing/2014/main" id="{C134F3FD-705C-4149-BFA0-B6EABE5348A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6" name="TextBox 7">
          <a:extLst>
            <a:ext uri="{FF2B5EF4-FFF2-40B4-BE49-F238E27FC236}">
              <a16:creationId xmlns:a16="http://schemas.microsoft.com/office/drawing/2014/main" id="{479E035E-53E7-4987-AF1D-AD970EACDB64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7" name="TextBox 8">
          <a:extLst>
            <a:ext uri="{FF2B5EF4-FFF2-40B4-BE49-F238E27FC236}">
              <a16:creationId xmlns:a16="http://schemas.microsoft.com/office/drawing/2014/main" id="{454D5EE6-D129-4DFE-9EF9-C101AFA47BE5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8" name="TextBox 2">
          <a:extLst>
            <a:ext uri="{FF2B5EF4-FFF2-40B4-BE49-F238E27FC236}">
              <a16:creationId xmlns:a16="http://schemas.microsoft.com/office/drawing/2014/main" id="{4A010804-AB8B-4C90-B040-234F3F3E318B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89" name="TextBox 4">
          <a:extLst>
            <a:ext uri="{FF2B5EF4-FFF2-40B4-BE49-F238E27FC236}">
              <a16:creationId xmlns:a16="http://schemas.microsoft.com/office/drawing/2014/main" id="{317BD0D3-3DE5-4C2F-8324-11A49C7ED110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0" name="TextBox 5">
          <a:extLst>
            <a:ext uri="{FF2B5EF4-FFF2-40B4-BE49-F238E27FC236}">
              <a16:creationId xmlns:a16="http://schemas.microsoft.com/office/drawing/2014/main" id="{3A6F5964-DBC5-4CF9-B916-6B0BA8EC499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1" name="TextBox 6">
          <a:extLst>
            <a:ext uri="{FF2B5EF4-FFF2-40B4-BE49-F238E27FC236}">
              <a16:creationId xmlns:a16="http://schemas.microsoft.com/office/drawing/2014/main" id="{F2233A33-A688-4501-9A44-15BE4C42E0D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2" name="TextBox 7">
          <a:extLst>
            <a:ext uri="{FF2B5EF4-FFF2-40B4-BE49-F238E27FC236}">
              <a16:creationId xmlns:a16="http://schemas.microsoft.com/office/drawing/2014/main" id="{1BDF190E-AD8A-44D9-90FE-50FD88B0ABB1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3" name="TextBox 8">
          <a:extLst>
            <a:ext uri="{FF2B5EF4-FFF2-40B4-BE49-F238E27FC236}">
              <a16:creationId xmlns:a16="http://schemas.microsoft.com/office/drawing/2014/main" id="{EB106A18-DB7D-431E-AFC3-E707083BA44F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4" name="TextBox 1372">
          <a:extLst>
            <a:ext uri="{FF2B5EF4-FFF2-40B4-BE49-F238E27FC236}">
              <a16:creationId xmlns:a16="http://schemas.microsoft.com/office/drawing/2014/main" id="{7C33CE73-F37A-4CD8-AC98-8A20F820F9A7}"/>
            </a:ext>
          </a:extLst>
        </xdr:cNvPr>
        <xdr:cNvSpPr txBox="1"/>
      </xdr:nvSpPr>
      <xdr:spPr>
        <a:xfrm>
          <a:off x="1909762" y="14782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5" name="TextBox 1373">
          <a:extLst>
            <a:ext uri="{FF2B5EF4-FFF2-40B4-BE49-F238E27FC236}">
              <a16:creationId xmlns:a16="http://schemas.microsoft.com/office/drawing/2014/main" id="{421AA71B-3128-4362-AB36-4F6CFD7E7A68}"/>
            </a:ext>
          </a:extLst>
        </xdr:cNvPr>
        <xdr:cNvSpPr txBox="1"/>
      </xdr:nvSpPr>
      <xdr:spPr>
        <a:xfrm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6" name="TextBox 2">
          <a:extLst>
            <a:ext uri="{FF2B5EF4-FFF2-40B4-BE49-F238E27FC236}">
              <a16:creationId xmlns:a16="http://schemas.microsoft.com/office/drawing/2014/main" id="{B8A685E2-9197-4DC1-BD78-9CB030D9F71E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7" name="TextBox 4">
          <a:extLst>
            <a:ext uri="{FF2B5EF4-FFF2-40B4-BE49-F238E27FC236}">
              <a16:creationId xmlns:a16="http://schemas.microsoft.com/office/drawing/2014/main" id="{3F744177-4391-4728-97AF-5C6FD028099A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8" name="TextBox 5">
          <a:extLst>
            <a:ext uri="{FF2B5EF4-FFF2-40B4-BE49-F238E27FC236}">
              <a16:creationId xmlns:a16="http://schemas.microsoft.com/office/drawing/2014/main" id="{76F4A763-2459-4F4C-9E87-A594D2A326AD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6999" name="TextBox 6">
          <a:extLst>
            <a:ext uri="{FF2B5EF4-FFF2-40B4-BE49-F238E27FC236}">
              <a16:creationId xmlns:a16="http://schemas.microsoft.com/office/drawing/2014/main" id="{078D0DFE-CBB5-45F7-AF99-B5D7FE2EF2F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0" name="TextBox 7">
          <a:extLst>
            <a:ext uri="{FF2B5EF4-FFF2-40B4-BE49-F238E27FC236}">
              <a16:creationId xmlns:a16="http://schemas.microsoft.com/office/drawing/2014/main" id="{E32E7005-3F74-4A9B-AF54-6887815ADEA5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1" name="TextBox 8">
          <a:extLst>
            <a:ext uri="{FF2B5EF4-FFF2-40B4-BE49-F238E27FC236}">
              <a16:creationId xmlns:a16="http://schemas.microsoft.com/office/drawing/2014/main" id="{A1F874E1-29FC-4185-8A57-E20B95211B40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2" name="TextBox 2">
          <a:extLst>
            <a:ext uri="{FF2B5EF4-FFF2-40B4-BE49-F238E27FC236}">
              <a16:creationId xmlns:a16="http://schemas.microsoft.com/office/drawing/2014/main" id="{66D5D9AA-EF8F-46B6-A260-4697737332F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3" name="TextBox 4">
          <a:extLst>
            <a:ext uri="{FF2B5EF4-FFF2-40B4-BE49-F238E27FC236}">
              <a16:creationId xmlns:a16="http://schemas.microsoft.com/office/drawing/2014/main" id="{8ACADE22-67A9-4E0D-B282-26CDAB6F8C2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4" name="TextBox 5">
          <a:extLst>
            <a:ext uri="{FF2B5EF4-FFF2-40B4-BE49-F238E27FC236}">
              <a16:creationId xmlns:a16="http://schemas.microsoft.com/office/drawing/2014/main" id="{C134F9FE-0000-4F46-806A-547CE820257C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5" name="TextBox 6">
          <a:extLst>
            <a:ext uri="{FF2B5EF4-FFF2-40B4-BE49-F238E27FC236}">
              <a16:creationId xmlns:a16="http://schemas.microsoft.com/office/drawing/2014/main" id="{901A3315-D852-4891-A924-667DDCBD201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6" name="TextBox 7">
          <a:extLst>
            <a:ext uri="{FF2B5EF4-FFF2-40B4-BE49-F238E27FC236}">
              <a16:creationId xmlns:a16="http://schemas.microsoft.com/office/drawing/2014/main" id="{E3B861BD-2828-4CDF-A694-E3AA214755C1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7" name="TextBox 8">
          <a:extLst>
            <a:ext uri="{FF2B5EF4-FFF2-40B4-BE49-F238E27FC236}">
              <a16:creationId xmlns:a16="http://schemas.microsoft.com/office/drawing/2014/main" id="{359DCBC1-0CA0-4184-ADEB-938C905576E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8" name="TextBox 2">
          <a:extLst>
            <a:ext uri="{FF2B5EF4-FFF2-40B4-BE49-F238E27FC236}">
              <a16:creationId xmlns:a16="http://schemas.microsoft.com/office/drawing/2014/main" id="{8CC8DA77-4FBF-4791-8DAA-F44885770A7E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09" name="TextBox 4">
          <a:extLst>
            <a:ext uri="{FF2B5EF4-FFF2-40B4-BE49-F238E27FC236}">
              <a16:creationId xmlns:a16="http://schemas.microsoft.com/office/drawing/2014/main" id="{423D58E2-BBC4-428F-BF84-F9402B78ECD8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0" name="TextBox 5">
          <a:extLst>
            <a:ext uri="{FF2B5EF4-FFF2-40B4-BE49-F238E27FC236}">
              <a16:creationId xmlns:a16="http://schemas.microsoft.com/office/drawing/2014/main" id="{51B416FD-65BB-4E57-9BB9-0E9AE34C22D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1" name="TextBox 6">
          <a:extLst>
            <a:ext uri="{FF2B5EF4-FFF2-40B4-BE49-F238E27FC236}">
              <a16:creationId xmlns:a16="http://schemas.microsoft.com/office/drawing/2014/main" id="{05EBB464-64F5-4358-A239-6E93405A0F9D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2" name="TextBox 7">
          <a:extLst>
            <a:ext uri="{FF2B5EF4-FFF2-40B4-BE49-F238E27FC236}">
              <a16:creationId xmlns:a16="http://schemas.microsoft.com/office/drawing/2014/main" id="{29326F2F-478F-485E-A59B-74FB057DF3A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3" name="TextBox 8">
          <a:extLst>
            <a:ext uri="{FF2B5EF4-FFF2-40B4-BE49-F238E27FC236}">
              <a16:creationId xmlns:a16="http://schemas.microsoft.com/office/drawing/2014/main" id="{8A3058DC-9959-420B-B9E6-29C41A9DF68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4" name="TextBox 2">
          <a:extLst>
            <a:ext uri="{FF2B5EF4-FFF2-40B4-BE49-F238E27FC236}">
              <a16:creationId xmlns:a16="http://schemas.microsoft.com/office/drawing/2014/main" id="{D6130211-73C6-4EEF-94EE-46B4164D7784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5" name="TextBox 4">
          <a:extLst>
            <a:ext uri="{FF2B5EF4-FFF2-40B4-BE49-F238E27FC236}">
              <a16:creationId xmlns:a16="http://schemas.microsoft.com/office/drawing/2014/main" id="{32AA96DB-7E0F-4008-B4EC-493382A996A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6" name="TextBox 5">
          <a:extLst>
            <a:ext uri="{FF2B5EF4-FFF2-40B4-BE49-F238E27FC236}">
              <a16:creationId xmlns:a16="http://schemas.microsoft.com/office/drawing/2014/main" id="{0F7A8BD4-396C-4717-885F-8CBD0D087954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7" name="TextBox 6">
          <a:extLst>
            <a:ext uri="{FF2B5EF4-FFF2-40B4-BE49-F238E27FC236}">
              <a16:creationId xmlns:a16="http://schemas.microsoft.com/office/drawing/2014/main" id="{40E23C52-5209-4C7F-8393-72E14CB9BED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8" name="TextBox 7">
          <a:extLst>
            <a:ext uri="{FF2B5EF4-FFF2-40B4-BE49-F238E27FC236}">
              <a16:creationId xmlns:a16="http://schemas.microsoft.com/office/drawing/2014/main" id="{B7E3D3EB-CB57-4E6F-828E-073814546595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19" name="TextBox 8">
          <a:extLst>
            <a:ext uri="{FF2B5EF4-FFF2-40B4-BE49-F238E27FC236}">
              <a16:creationId xmlns:a16="http://schemas.microsoft.com/office/drawing/2014/main" id="{8F79FDB3-4CB8-4CB0-976C-1862CF5F2DC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0" name="TextBox 2">
          <a:extLst>
            <a:ext uri="{FF2B5EF4-FFF2-40B4-BE49-F238E27FC236}">
              <a16:creationId xmlns:a16="http://schemas.microsoft.com/office/drawing/2014/main" id="{E7A1D1EF-4150-4A62-9863-A634F90A2D11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1" name="TextBox 4">
          <a:extLst>
            <a:ext uri="{FF2B5EF4-FFF2-40B4-BE49-F238E27FC236}">
              <a16:creationId xmlns:a16="http://schemas.microsoft.com/office/drawing/2014/main" id="{90ABC330-80C7-490C-9FC7-7CA3747C29B5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2" name="TextBox 5">
          <a:extLst>
            <a:ext uri="{FF2B5EF4-FFF2-40B4-BE49-F238E27FC236}">
              <a16:creationId xmlns:a16="http://schemas.microsoft.com/office/drawing/2014/main" id="{1500DA4D-9196-42BC-AAF3-1BA28C06FF9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3" name="TextBox 6">
          <a:extLst>
            <a:ext uri="{FF2B5EF4-FFF2-40B4-BE49-F238E27FC236}">
              <a16:creationId xmlns:a16="http://schemas.microsoft.com/office/drawing/2014/main" id="{140D7486-B682-4576-A662-06F8AC032204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4" name="TextBox 7">
          <a:extLst>
            <a:ext uri="{FF2B5EF4-FFF2-40B4-BE49-F238E27FC236}">
              <a16:creationId xmlns:a16="http://schemas.microsoft.com/office/drawing/2014/main" id="{75BF1DE3-9ABA-439B-9540-2DEE0C48F76F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5" name="TextBox 8">
          <a:extLst>
            <a:ext uri="{FF2B5EF4-FFF2-40B4-BE49-F238E27FC236}">
              <a16:creationId xmlns:a16="http://schemas.microsoft.com/office/drawing/2014/main" id="{10ED47ED-3ADC-47FD-8862-C37AB17F3178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6" name="TextBox 2">
          <a:extLst>
            <a:ext uri="{FF2B5EF4-FFF2-40B4-BE49-F238E27FC236}">
              <a16:creationId xmlns:a16="http://schemas.microsoft.com/office/drawing/2014/main" id="{DC09C239-4D36-4BFB-8A9F-73D2A557AE8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7" name="TextBox 4">
          <a:extLst>
            <a:ext uri="{FF2B5EF4-FFF2-40B4-BE49-F238E27FC236}">
              <a16:creationId xmlns:a16="http://schemas.microsoft.com/office/drawing/2014/main" id="{39C1098B-6031-4348-BB90-890EF4FCF0A1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8" name="TextBox 5">
          <a:extLst>
            <a:ext uri="{FF2B5EF4-FFF2-40B4-BE49-F238E27FC236}">
              <a16:creationId xmlns:a16="http://schemas.microsoft.com/office/drawing/2014/main" id="{DEDFA4FE-DC8D-48DB-A775-1CF3945C589C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29" name="TextBox 6">
          <a:extLst>
            <a:ext uri="{FF2B5EF4-FFF2-40B4-BE49-F238E27FC236}">
              <a16:creationId xmlns:a16="http://schemas.microsoft.com/office/drawing/2014/main" id="{10CCC7E2-9101-49A4-B51F-8824B3C85E4F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0" name="TextBox 7">
          <a:extLst>
            <a:ext uri="{FF2B5EF4-FFF2-40B4-BE49-F238E27FC236}">
              <a16:creationId xmlns:a16="http://schemas.microsoft.com/office/drawing/2014/main" id="{B838F00C-1E25-4CF2-934A-3674C2E2BC0A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1" name="TextBox 8">
          <a:extLst>
            <a:ext uri="{FF2B5EF4-FFF2-40B4-BE49-F238E27FC236}">
              <a16:creationId xmlns:a16="http://schemas.microsoft.com/office/drawing/2014/main" id="{58318299-2C6A-4C28-9653-E0D1614A7190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2" name="TextBox 2">
          <a:extLst>
            <a:ext uri="{FF2B5EF4-FFF2-40B4-BE49-F238E27FC236}">
              <a16:creationId xmlns:a16="http://schemas.microsoft.com/office/drawing/2014/main" id="{5BDD7E47-A38D-4969-897F-24484D70A94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3" name="TextBox 4">
          <a:extLst>
            <a:ext uri="{FF2B5EF4-FFF2-40B4-BE49-F238E27FC236}">
              <a16:creationId xmlns:a16="http://schemas.microsoft.com/office/drawing/2014/main" id="{233482F2-954A-4E0F-A544-01330A10146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4" name="TextBox 5">
          <a:extLst>
            <a:ext uri="{FF2B5EF4-FFF2-40B4-BE49-F238E27FC236}">
              <a16:creationId xmlns:a16="http://schemas.microsoft.com/office/drawing/2014/main" id="{360E979A-6745-4F7A-B5F8-ECBEA60D0FA4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5" name="TextBox 6">
          <a:extLst>
            <a:ext uri="{FF2B5EF4-FFF2-40B4-BE49-F238E27FC236}">
              <a16:creationId xmlns:a16="http://schemas.microsoft.com/office/drawing/2014/main" id="{9698E6F8-D407-4F68-839D-8356738FA8F4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6" name="TextBox 7">
          <a:extLst>
            <a:ext uri="{FF2B5EF4-FFF2-40B4-BE49-F238E27FC236}">
              <a16:creationId xmlns:a16="http://schemas.microsoft.com/office/drawing/2014/main" id="{ADA81C9A-1245-4B06-911B-19C40F853821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7" name="TextBox 8">
          <a:extLst>
            <a:ext uri="{FF2B5EF4-FFF2-40B4-BE49-F238E27FC236}">
              <a16:creationId xmlns:a16="http://schemas.microsoft.com/office/drawing/2014/main" id="{13AF20BF-E5E3-4D90-8BC1-0777BDCA45EE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8" name="TextBox 2">
          <a:extLst>
            <a:ext uri="{FF2B5EF4-FFF2-40B4-BE49-F238E27FC236}">
              <a16:creationId xmlns:a16="http://schemas.microsoft.com/office/drawing/2014/main" id="{1B5EAA77-5F54-4D51-9FB2-BD2B4229EE5F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39" name="TextBox 4">
          <a:extLst>
            <a:ext uri="{FF2B5EF4-FFF2-40B4-BE49-F238E27FC236}">
              <a16:creationId xmlns:a16="http://schemas.microsoft.com/office/drawing/2014/main" id="{68429AAE-36F2-4EB3-9846-E260A0681791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0" name="TextBox 5">
          <a:extLst>
            <a:ext uri="{FF2B5EF4-FFF2-40B4-BE49-F238E27FC236}">
              <a16:creationId xmlns:a16="http://schemas.microsoft.com/office/drawing/2014/main" id="{35A007AE-75AC-45F0-9534-4AF35D66C1DA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1" name="TextBox 6">
          <a:extLst>
            <a:ext uri="{FF2B5EF4-FFF2-40B4-BE49-F238E27FC236}">
              <a16:creationId xmlns:a16="http://schemas.microsoft.com/office/drawing/2014/main" id="{E7570473-3540-4935-9850-82CF92348FBC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2" name="TextBox 7">
          <a:extLst>
            <a:ext uri="{FF2B5EF4-FFF2-40B4-BE49-F238E27FC236}">
              <a16:creationId xmlns:a16="http://schemas.microsoft.com/office/drawing/2014/main" id="{A4316582-235C-4A86-A962-E7149E911A98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3" name="TextBox 8">
          <a:extLst>
            <a:ext uri="{FF2B5EF4-FFF2-40B4-BE49-F238E27FC236}">
              <a16:creationId xmlns:a16="http://schemas.microsoft.com/office/drawing/2014/main" id="{3C8C34A5-DAF8-47EB-A749-1D2E9BED555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4" name="TextBox 2">
          <a:extLst>
            <a:ext uri="{FF2B5EF4-FFF2-40B4-BE49-F238E27FC236}">
              <a16:creationId xmlns:a16="http://schemas.microsoft.com/office/drawing/2014/main" id="{9FCFCDAA-0760-48CB-B682-E497D0539D55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5" name="TextBox 4">
          <a:extLst>
            <a:ext uri="{FF2B5EF4-FFF2-40B4-BE49-F238E27FC236}">
              <a16:creationId xmlns:a16="http://schemas.microsoft.com/office/drawing/2014/main" id="{1F7C15B9-5732-4ACF-8451-66F14FECE97C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6" name="TextBox 5">
          <a:extLst>
            <a:ext uri="{FF2B5EF4-FFF2-40B4-BE49-F238E27FC236}">
              <a16:creationId xmlns:a16="http://schemas.microsoft.com/office/drawing/2014/main" id="{85488DA5-0EB2-4B2B-880F-DE2C53FCD516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7" name="TextBox 6">
          <a:extLst>
            <a:ext uri="{FF2B5EF4-FFF2-40B4-BE49-F238E27FC236}">
              <a16:creationId xmlns:a16="http://schemas.microsoft.com/office/drawing/2014/main" id="{B6B8D836-C31D-4807-8DC4-152C652C947F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8" name="TextBox 7">
          <a:extLst>
            <a:ext uri="{FF2B5EF4-FFF2-40B4-BE49-F238E27FC236}">
              <a16:creationId xmlns:a16="http://schemas.microsoft.com/office/drawing/2014/main" id="{BB5D17E7-285D-4526-94DC-CEF8D1EF3C35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49" name="TextBox 8">
          <a:extLst>
            <a:ext uri="{FF2B5EF4-FFF2-40B4-BE49-F238E27FC236}">
              <a16:creationId xmlns:a16="http://schemas.microsoft.com/office/drawing/2014/main" id="{3DB42E7D-9F3C-4F80-B45F-FDEFB7ACF43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0" name="TextBox 2">
          <a:extLst>
            <a:ext uri="{FF2B5EF4-FFF2-40B4-BE49-F238E27FC236}">
              <a16:creationId xmlns:a16="http://schemas.microsoft.com/office/drawing/2014/main" id="{77133A85-D59A-436D-BD1D-947AE0034664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1" name="TextBox 4">
          <a:extLst>
            <a:ext uri="{FF2B5EF4-FFF2-40B4-BE49-F238E27FC236}">
              <a16:creationId xmlns:a16="http://schemas.microsoft.com/office/drawing/2014/main" id="{8578F4FA-4640-41F9-895A-F53778DC5F90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2" name="TextBox 5">
          <a:extLst>
            <a:ext uri="{FF2B5EF4-FFF2-40B4-BE49-F238E27FC236}">
              <a16:creationId xmlns:a16="http://schemas.microsoft.com/office/drawing/2014/main" id="{2672746D-9DE5-4E1A-8542-543E65549B46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3" name="TextBox 6">
          <a:extLst>
            <a:ext uri="{FF2B5EF4-FFF2-40B4-BE49-F238E27FC236}">
              <a16:creationId xmlns:a16="http://schemas.microsoft.com/office/drawing/2014/main" id="{8322333B-0209-48ED-A047-87489B4272AE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4" name="TextBox 7">
          <a:extLst>
            <a:ext uri="{FF2B5EF4-FFF2-40B4-BE49-F238E27FC236}">
              <a16:creationId xmlns:a16="http://schemas.microsoft.com/office/drawing/2014/main" id="{CD0EA331-4B52-464F-9036-F4DB320C585B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5" name="TextBox 8">
          <a:extLst>
            <a:ext uri="{FF2B5EF4-FFF2-40B4-BE49-F238E27FC236}">
              <a16:creationId xmlns:a16="http://schemas.microsoft.com/office/drawing/2014/main" id="{B2936E15-F4B5-4CD7-A6FA-BF533F9168D6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6" name="TextBox 2">
          <a:extLst>
            <a:ext uri="{FF2B5EF4-FFF2-40B4-BE49-F238E27FC236}">
              <a16:creationId xmlns:a16="http://schemas.microsoft.com/office/drawing/2014/main" id="{054C8B65-D22A-40B8-BB71-D3232AD57AA0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7" name="TextBox 4">
          <a:extLst>
            <a:ext uri="{FF2B5EF4-FFF2-40B4-BE49-F238E27FC236}">
              <a16:creationId xmlns:a16="http://schemas.microsoft.com/office/drawing/2014/main" id="{7C383BB1-9324-48DC-8A97-CBE1B53FB07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8" name="TextBox 5">
          <a:extLst>
            <a:ext uri="{FF2B5EF4-FFF2-40B4-BE49-F238E27FC236}">
              <a16:creationId xmlns:a16="http://schemas.microsoft.com/office/drawing/2014/main" id="{78E55ED9-44FF-446B-9089-3106C86C8D4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59" name="TextBox 6">
          <a:extLst>
            <a:ext uri="{FF2B5EF4-FFF2-40B4-BE49-F238E27FC236}">
              <a16:creationId xmlns:a16="http://schemas.microsoft.com/office/drawing/2014/main" id="{F45AD2A3-7DA9-481D-9776-FF7A7B867BCD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0" name="TextBox 7">
          <a:extLst>
            <a:ext uri="{FF2B5EF4-FFF2-40B4-BE49-F238E27FC236}">
              <a16:creationId xmlns:a16="http://schemas.microsoft.com/office/drawing/2014/main" id="{7F733046-A48C-4835-8D25-0A47598E19E4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1" name="TextBox 8">
          <a:extLst>
            <a:ext uri="{FF2B5EF4-FFF2-40B4-BE49-F238E27FC236}">
              <a16:creationId xmlns:a16="http://schemas.microsoft.com/office/drawing/2014/main" id="{14D4D724-0DC0-4EE4-86A8-DFBB3103256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2" name="TextBox 2">
          <a:extLst>
            <a:ext uri="{FF2B5EF4-FFF2-40B4-BE49-F238E27FC236}">
              <a16:creationId xmlns:a16="http://schemas.microsoft.com/office/drawing/2014/main" id="{E0ABA764-E8A7-4919-A480-C27C7993B39A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3" name="TextBox 4">
          <a:extLst>
            <a:ext uri="{FF2B5EF4-FFF2-40B4-BE49-F238E27FC236}">
              <a16:creationId xmlns:a16="http://schemas.microsoft.com/office/drawing/2014/main" id="{AA173A3A-779D-4BB4-8E54-9B210DBDEBC1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4" name="TextBox 5">
          <a:extLst>
            <a:ext uri="{FF2B5EF4-FFF2-40B4-BE49-F238E27FC236}">
              <a16:creationId xmlns:a16="http://schemas.microsoft.com/office/drawing/2014/main" id="{42EDBEF0-1109-44A8-AE59-20747A514D7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5" name="TextBox 6">
          <a:extLst>
            <a:ext uri="{FF2B5EF4-FFF2-40B4-BE49-F238E27FC236}">
              <a16:creationId xmlns:a16="http://schemas.microsoft.com/office/drawing/2014/main" id="{BBE9E868-51DA-4E91-AD8A-9D0C9E08D0B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6" name="TextBox 7">
          <a:extLst>
            <a:ext uri="{FF2B5EF4-FFF2-40B4-BE49-F238E27FC236}">
              <a16:creationId xmlns:a16="http://schemas.microsoft.com/office/drawing/2014/main" id="{ECF55FF4-557A-4670-BBD8-471F831ED70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7" name="TextBox 8">
          <a:extLst>
            <a:ext uri="{FF2B5EF4-FFF2-40B4-BE49-F238E27FC236}">
              <a16:creationId xmlns:a16="http://schemas.microsoft.com/office/drawing/2014/main" id="{7628A4F3-2A4B-4559-A2FB-BFCAAC85551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8" name="TextBox 2">
          <a:extLst>
            <a:ext uri="{FF2B5EF4-FFF2-40B4-BE49-F238E27FC236}">
              <a16:creationId xmlns:a16="http://schemas.microsoft.com/office/drawing/2014/main" id="{CEC90A5A-4D19-471E-8B68-860E3F95BC3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69" name="TextBox 4">
          <a:extLst>
            <a:ext uri="{FF2B5EF4-FFF2-40B4-BE49-F238E27FC236}">
              <a16:creationId xmlns:a16="http://schemas.microsoft.com/office/drawing/2014/main" id="{CC10027C-0E1C-441D-A57D-2D1B7975EE40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0" name="TextBox 5">
          <a:extLst>
            <a:ext uri="{FF2B5EF4-FFF2-40B4-BE49-F238E27FC236}">
              <a16:creationId xmlns:a16="http://schemas.microsoft.com/office/drawing/2014/main" id="{C3E70020-3717-404C-8F3B-107B74BD5386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1" name="TextBox 6">
          <a:extLst>
            <a:ext uri="{FF2B5EF4-FFF2-40B4-BE49-F238E27FC236}">
              <a16:creationId xmlns:a16="http://schemas.microsoft.com/office/drawing/2014/main" id="{7CBDAFFD-F888-4DD8-B67F-E7977197C1AD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2" name="TextBox 7">
          <a:extLst>
            <a:ext uri="{FF2B5EF4-FFF2-40B4-BE49-F238E27FC236}">
              <a16:creationId xmlns:a16="http://schemas.microsoft.com/office/drawing/2014/main" id="{CA15A321-4FDE-4015-B1C2-51189279A44F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3" name="TextBox 8">
          <a:extLst>
            <a:ext uri="{FF2B5EF4-FFF2-40B4-BE49-F238E27FC236}">
              <a16:creationId xmlns:a16="http://schemas.microsoft.com/office/drawing/2014/main" id="{D8671C90-BF5C-42AC-87F4-3E7CD3230238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4" name="TextBox 2">
          <a:extLst>
            <a:ext uri="{FF2B5EF4-FFF2-40B4-BE49-F238E27FC236}">
              <a16:creationId xmlns:a16="http://schemas.microsoft.com/office/drawing/2014/main" id="{BB00C6E2-CE7F-4742-A3F4-1B1CBABABAEE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5" name="TextBox 4">
          <a:extLst>
            <a:ext uri="{FF2B5EF4-FFF2-40B4-BE49-F238E27FC236}">
              <a16:creationId xmlns:a16="http://schemas.microsoft.com/office/drawing/2014/main" id="{6D323F38-CCBC-4417-B31D-F95B9CAEA8DC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6" name="TextBox 5">
          <a:extLst>
            <a:ext uri="{FF2B5EF4-FFF2-40B4-BE49-F238E27FC236}">
              <a16:creationId xmlns:a16="http://schemas.microsoft.com/office/drawing/2014/main" id="{B80FA7F8-D1FB-4405-90E1-A910B379C725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7" name="TextBox 6">
          <a:extLst>
            <a:ext uri="{FF2B5EF4-FFF2-40B4-BE49-F238E27FC236}">
              <a16:creationId xmlns:a16="http://schemas.microsoft.com/office/drawing/2014/main" id="{D6B7BDED-D934-4AE3-944F-2AF29465A638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8" name="TextBox 7">
          <a:extLst>
            <a:ext uri="{FF2B5EF4-FFF2-40B4-BE49-F238E27FC236}">
              <a16:creationId xmlns:a16="http://schemas.microsoft.com/office/drawing/2014/main" id="{68A2EB6B-1BD9-4FE9-94EA-8D165C2644ED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79" name="TextBox 8">
          <a:extLst>
            <a:ext uri="{FF2B5EF4-FFF2-40B4-BE49-F238E27FC236}">
              <a16:creationId xmlns:a16="http://schemas.microsoft.com/office/drawing/2014/main" id="{97AB980A-DED1-4EC6-8F82-1EA870BB0CB6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0" name="TextBox 2">
          <a:extLst>
            <a:ext uri="{FF2B5EF4-FFF2-40B4-BE49-F238E27FC236}">
              <a16:creationId xmlns:a16="http://schemas.microsoft.com/office/drawing/2014/main" id="{CB1852DD-2DC1-4735-8FEF-2EAE8D9834E2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1" name="TextBox 4">
          <a:extLst>
            <a:ext uri="{FF2B5EF4-FFF2-40B4-BE49-F238E27FC236}">
              <a16:creationId xmlns:a16="http://schemas.microsoft.com/office/drawing/2014/main" id="{6A70576A-973A-4003-A31C-A687B60B0766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2" name="TextBox 5">
          <a:extLst>
            <a:ext uri="{FF2B5EF4-FFF2-40B4-BE49-F238E27FC236}">
              <a16:creationId xmlns:a16="http://schemas.microsoft.com/office/drawing/2014/main" id="{DADCED78-0D68-4FB6-83B6-1A60DB29BCD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3" name="TextBox 6">
          <a:extLst>
            <a:ext uri="{FF2B5EF4-FFF2-40B4-BE49-F238E27FC236}">
              <a16:creationId xmlns:a16="http://schemas.microsoft.com/office/drawing/2014/main" id="{51025ED4-CD3B-468A-9796-10D8E75D76D7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4" name="TextBox 7">
          <a:extLst>
            <a:ext uri="{FF2B5EF4-FFF2-40B4-BE49-F238E27FC236}">
              <a16:creationId xmlns:a16="http://schemas.microsoft.com/office/drawing/2014/main" id="{6EBA3FDF-6007-4FB6-B774-5C6A513C536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5" name="TextBox 8">
          <a:extLst>
            <a:ext uri="{FF2B5EF4-FFF2-40B4-BE49-F238E27FC236}">
              <a16:creationId xmlns:a16="http://schemas.microsoft.com/office/drawing/2014/main" id="{CBA1B59C-E57B-4A26-A653-A09357EFDB0D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6" name="TextBox 2">
          <a:extLst>
            <a:ext uri="{FF2B5EF4-FFF2-40B4-BE49-F238E27FC236}">
              <a16:creationId xmlns:a16="http://schemas.microsoft.com/office/drawing/2014/main" id="{33515808-AF73-4056-A86F-284B7F2C384A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7" name="TextBox 4">
          <a:extLst>
            <a:ext uri="{FF2B5EF4-FFF2-40B4-BE49-F238E27FC236}">
              <a16:creationId xmlns:a16="http://schemas.microsoft.com/office/drawing/2014/main" id="{D93476DE-C900-442E-BEC3-31B08F640938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8" name="TextBox 5">
          <a:extLst>
            <a:ext uri="{FF2B5EF4-FFF2-40B4-BE49-F238E27FC236}">
              <a16:creationId xmlns:a16="http://schemas.microsoft.com/office/drawing/2014/main" id="{C82A7DB6-7068-4E3F-9996-DF433DD3516A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89" name="TextBox 6">
          <a:extLst>
            <a:ext uri="{FF2B5EF4-FFF2-40B4-BE49-F238E27FC236}">
              <a16:creationId xmlns:a16="http://schemas.microsoft.com/office/drawing/2014/main" id="{9FDF9B2D-E052-4AD9-BFA7-5C0B6F7A4C23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0" name="TextBox 7">
          <a:extLst>
            <a:ext uri="{FF2B5EF4-FFF2-40B4-BE49-F238E27FC236}">
              <a16:creationId xmlns:a16="http://schemas.microsoft.com/office/drawing/2014/main" id="{FBB0661B-1DF6-4966-B12D-4E96623BABE9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1" name="TextBox 8">
          <a:extLst>
            <a:ext uri="{FF2B5EF4-FFF2-40B4-BE49-F238E27FC236}">
              <a16:creationId xmlns:a16="http://schemas.microsoft.com/office/drawing/2014/main" id="{B457B766-6774-4D90-9036-6818129AE0C6}"/>
            </a:ext>
          </a:extLst>
        </xdr:cNvPr>
        <xdr:cNvSpPr txBox="1"/>
      </xdr:nvSpPr>
      <xdr:spPr>
        <a:xfrm flipH="1"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2" name="TextBox 1470">
          <a:extLst>
            <a:ext uri="{FF2B5EF4-FFF2-40B4-BE49-F238E27FC236}">
              <a16:creationId xmlns:a16="http://schemas.microsoft.com/office/drawing/2014/main" id="{7C5FA88E-9078-4FD3-9B75-96315E84F7EC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3" name="TextBox 1471">
          <a:extLst>
            <a:ext uri="{FF2B5EF4-FFF2-40B4-BE49-F238E27FC236}">
              <a16:creationId xmlns:a16="http://schemas.microsoft.com/office/drawing/2014/main" id="{A3EA09C7-A950-47BA-BEE2-3E439BCD2661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4" name="TextBox 1472">
          <a:extLst>
            <a:ext uri="{FF2B5EF4-FFF2-40B4-BE49-F238E27FC236}">
              <a16:creationId xmlns:a16="http://schemas.microsoft.com/office/drawing/2014/main" id="{443C7DD8-6A57-4752-8C7C-296D1463D793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5" name="TextBox 1473">
          <a:extLst>
            <a:ext uri="{FF2B5EF4-FFF2-40B4-BE49-F238E27FC236}">
              <a16:creationId xmlns:a16="http://schemas.microsoft.com/office/drawing/2014/main" id="{8474E1D6-E2EF-48F1-9B11-37672937E17C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6" name="TextBox 2">
          <a:extLst>
            <a:ext uri="{FF2B5EF4-FFF2-40B4-BE49-F238E27FC236}">
              <a16:creationId xmlns:a16="http://schemas.microsoft.com/office/drawing/2014/main" id="{C78399D3-CBF0-466F-A406-21C88D503CA2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7" name="TextBox 4">
          <a:extLst>
            <a:ext uri="{FF2B5EF4-FFF2-40B4-BE49-F238E27FC236}">
              <a16:creationId xmlns:a16="http://schemas.microsoft.com/office/drawing/2014/main" id="{9EF69157-1978-4ABB-BE06-9C91057B5582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8" name="TextBox 5">
          <a:extLst>
            <a:ext uri="{FF2B5EF4-FFF2-40B4-BE49-F238E27FC236}">
              <a16:creationId xmlns:a16="http://schemas.microsoft.com/office/drawing/2014/main" id="{EFD9D703-8048-40D8-9AC9-9547B8167D34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099" name="TextBox 6">
          <a:extLst>
            <a:ext uri="{FF2B5EF4-FFF2-40B4-BE49-F238E27FC236}">
              <a16:creationId xmlns:a16="http://schemas.microsoft.com/office/drawing/2014/main" id="{F2BD6AB2-405B-4253-B8F7-7A217AB638F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0" name="TextBox 7">
          <a:extLst>
            <a:ext uri="{FF2B5EF4-FFF2-40B4-BE49-F238E27FC236}">
              <a16:creationId xmlns:a16="http://schemas.microsoft.com/office/drawing/2014/main" id="{CD732F5A-6C05-472B-9DCE-02C1EBB999B3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1" name="TextBox 8">
          <a:extLst>
            <a:ext uri="{FF2B5EF4-FFF2-40B4-BE49-F238E27FC236}">
              <a16:creationId xmlns:a16="http://schemas.microsoft.com/office/drawing/2014/main" id="{8D3E2C9D-9384-471D-99AE-17F6A0148F9F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2" name="TextBox 2">
          <a:extLst>
            <a:ext uri="{FF2B5EF4-FFF2-40B4-BE49-F238E27FC236}">
              <a16:creationId xmlns:a16="http://schemas.microsoft.com/office/drawing/2014/main" id="{96BB15BF-A87F-408A-B7CD-CD0216E786B7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3" name="TextBox 4">
          <a:extLst>
            <a:ext uri="{FF2B5EF4-FFF2-40B4-BE49-F238E27FC236}">
              <a16:creationId xmlns:a16="http://schemas.microsoft.com/office/drawing/2014/main" id="{9753A59C-4CEB-4AA2-8D55-56F3155B29DE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4" name="TextBox 5">
          <a:extLst>
            <a:ext uri="{FF2B5EF4-FFF2-40B4-BE49-F238E27FC236}">
              <a16:creationId xmlns:a16="http://schemas.microsoft.com/office/drawing/2014/main" id="{405971BE-4CA4-4622-8509-5DFB811E5810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5" name="TextBox 6">
          <a:extLst>
            <a:ext uri="{FF2B5EF4-FFF2-40B4-BE49-F238E27FC236}">
              <a16:creationId xmlns:a16="http://schemas.microsoft.com/office/drawing/2014/main" id="{45B471BD-186B-4AAD-8A79-492B16F53E23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6" name="TextBox 7">
          <a:extLst>
            <a:ext uri="{FF2B5EF4-FFF2-40B4-BE49-F238E27FC236}">
              <a16:creationId xmlns:a16="http://schemas.microsoft.com/office/drawing/2014/main" id="{299118F2-FF6F-4ABD-A094-DCED1D9F3D18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7" name="TextBox 8">
          <a:extLst>
            <a:ext uri="{FF2B5EF4-FFF2-40B4-BE49-F238E27FC236}">
              <a16:creationId xmlns:a16="http://schemas.microsoft.com/office/drawing/2014/main" id="{DA321989-9EA6-4B14-BEB0-D49703C37F66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8" name="TextBox 2">
          <a:extLst>
            <a:ext uri="{FF2B5EF4-FFF2-40B4-BE49-F238E27FC236}">
              <a16:creationId xmlns:a16="http://schemas.microsoft.com/office/drawing/2014/main" id="{4841EBB8-B424-4118-8864-59A55C452D9B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09" name="TextBox 4">
          <a:extLst>
            <a:ext uri="{FF2B5EF4-FFF2-40B4-BE49-F238E27FC236}">
              <a16:creationId xmlns:a16="http://schemas.microsoft.com/office/drawing/2014/main" id="{982ECB13-D241-44B1-A8E0-64A5E4EDF569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0" name="TextBox 5">
          <a:extLst>
            <a:ext uri="{FF2B5EF4-FFF2-40B4-BE49-F238E27FC236}">
              <a16:creationId xmlns:a16="http://schemas.microsoft.com/office/drawing/2014/main" id="{009B6827-3C77-45C7-9C3D-199D917CC7F9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1" name="TextBox 6">
          <a:extLst>
            <a:ext uri="{FF2B5EF4-FFF2-40B4-BE49-F238E27FC236}">
              <a16:creationId xmlns:a16="http://schemas.microsoft.com/office/drawing/2014/main" id="{2619C2F1-2D94-4B2B-AC36-385AB1DE8248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2" name="TextBox 7">
          <a:extLst>
            <a:ext uri="{FF2B5EF4-FFF2-40B4-BE49-F238E27FC236}">
              <a16:creationId xmlns:a16="http://schemas.microsoft.com/office/drawing/2014/main" id="{0C986796-2F86-4E39-BB5B-693E06645910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3" name="TextBox 8">
          <a:extLst>
            <a:ext uri="{FF2B5EF4-FFF2-40B4-BE49-F238E27FC236}">
              <a16:creationId xmlns:a16="http://schemas.microsoft.com/office/drawing/2014/main" id="{AB9C5A0B-6222-4718-96F9-3AA88E259AB8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4" name="TextBox 2">
          <a:extLst>
            <a:ext uri="{FF2B5EF4-FFF2-40B4-BE49-F238E27FC236}">
              <a16:creationId xmlns:a16="http://schemas.microsoft.com/office/drawing/2014/main" id="{A75F423D-3B8A-40E6-9DE6-547C59BD8289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5" name="TextBox 4">
          <a:extLst>
            <a:ext uri="{FF2B5EF4-FFF2-40B4-BE49-F238E27FC236}">
              <a16:creationId xmlns:a16="http://schemas.microsoft.com/office/drawing/2014/main" id="{57711E73-1DAC-4DA6-B98A-CB5F0C75334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6" name="TextBox 5">
          <a:extLst>
            <a:ext uri="{FF2B5EF4-FFF2-40B4-BE49-F238E27FC236}">
              <a16:creationId xmlns:a16="http://schemas.microsoft.com/office/drawing/2014/main" id="{AC0E91DD-8B18-4BEC-ACDA-263DDF2D17B4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7" name="TextBox 6">
          <a:extLst>
            <a:ext uri="{FF2B5EF4-FFF2-40B4-BE49-F238E27FC236}">
              <a16:creationId xmlns:a16="http://schemas.microsoft.com/office/drawing/2014/main" id="{9C165051-E8D9-49BE-AEC5-AFB9325AEE1B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8" name="TextBox 7">
          <a:extLst>
            <a:ext uri="{FF2B5EF4-FFF2-40B4-BE49-F238E27FC236}">
              <a16:creationId xmlns:a16="http://schemas.microsoft.com/office/drawing/2014/main" id="{70399DE9-0704-434D-B7A3-024F266FF95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19" name="TextBox 8">
          <a:extLst>
            <a:ext uri="{FF2B5EF4-FFF2-40B4-BE49-F238E27FC236}">
              <a16:creationId xmlns:a16="http://schemas.microsoft.com/office/drawing/2014/main" id="{745FACD2-657F-4159-A1C5-42C35ECB8E2F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0" name="TextBox 2">
          <a:extLst>
            <a:ext uri="{FF2B5EF4-FFF2-40B4-BE49-F238E27FC236}">
              <a16:creationId xmlns:a16="http://schemas.microsoft.com/office/drawing/2014/main" id="{B46D5A00-2B1C-4E51-AC6C-67702928042C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1" name="TextBox 4">
          <a:extLst>
            <a:ext uri="{FF2B5EF4-FFF2-40B4-BE49-F238E27FC236}">
              <a16:creationId xmlns:a16="http://schemas.microsoft.com/office/drawing/2014/main" id="{EF38ED2F-3FCE-4DC1-A328-831A6158255A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2" name="TextBox 5">
          <a:extLst>
            <a:ext uri="{FF2B5EF4-FFF2-40B4-BE49-F238E27FC236}">
              <a16:creationId xmlns:a16="http://schemas.microsoft.com/office/drawing/2014/main" id="{CE37A787-F93E-4753-A3CE-C507D848DDD1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3" name="TextBox 6">
          <a:extLst>
            <a:ext uri="{FF2B5EF4-FFF2-40B4-BE49-F238E27FC236}">
              <a16:creationId xmlns:a16="http://schemas.microsoft.com/office/drawing/2014/main" id="{B0AF0CB6-1BE3-4BC9-9E18-D754B9386CD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4" name="TextBox 7">
          <a:extLst>
            <a:ext uri="{FF2B5EF4-FFF2-40B4-BE49-F238E27FC236}">
              <a16:creationId xmlns:a16="http://schemas.microsoft.com/office/drawing/2014/main" id="{C4C787BC-A56D-4A15-9986-5CC6EBFB548B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5" name="TextBox 8">
          <a:extLst>
            <a:ext uri="{FF2B5EF4-FFF2-40B4-BE49-F238E27FC236}">
              <a16:creationId xmlns:a16="http://schemas.microsoft.com/office/drawing/2014/main" id="{9311D42C-EF55-4A1C-8922-A6FD3D2AE55C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6" name="TextBox 2">
          <a:extLst>
            <a:ext uri="{FF2B5EF4-FFF2-40B4-BE49-F238E27FC236}">
              <a16:creationId xmlns:a16="http://schemas.microsoft.com/office/drawing/2014/main" id="{4809564F-522B-49CA-A09C-03D43A30B999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7" name="TextBox 4">
          <a:extLst>
            <a:ext uri="{FF2B5EF4-FFF2-40B4-BE49-F238E27FC236}">
              <a16:creationId xmlns:a16="http://schemas.microsoft.com/office/drawing/2014/main" id="{5D9DFB48-F5C8-4A9D-98C7-5A6EB368D8E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8" name="TextBox 5">
          <a:extLst>
            <a:ext uri="{FF2B5EF4-FFF2-40B4-BE49-F238E27FC236}">
              <a16:creationId xmlns:a16="http://schemas.microsoft.com/office/drawing/2014/main" id="{28E38CCF-A1BE-4BE8-A8C2-81E698821F6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29" name="TextBox 6">
          <a:extLst>
            <a:ext uri="{FF2B5EF4-FFF2-40B4-BE49-F238E27FC236}">
              <a16:creationId xmlns:a16="http://schemas.microsoft.com/office/drawing/2014/main" id="{0505F06D-F6F2-49FA-ACC6-8D2C20FC0DE1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0" name="TextBox 7">
          <a:extLst>
            <a:ext uri="{FF2B5EF4-FFF2-40B4-BE49-F238E27FC236}">
              <a16:creationId xmlns:a16="http://schemas.microsoft.com/office/drawing/2014/main" id="{881FDDA4-EC58-486F-A31E-328134D462F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1" name="TextBox 8">
          <a:extLst>
            <a:ext uri="{FF2B5EF4-FFF2-40B4-BE49-F238E27FC236}">
              <a16:creationId xmlns:a16="http://schemas.microsoft.com/office/drawing/2014/main" id="{571F8A0E-C3EE-47BD-8B73-47D7AF9D6C03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2" name="TextBox 2">
          <a:extLst>
            <a:ext uri="{FF2B5EF4-FFF2-40B4-BE49-F238E27FC236}">
              <a16:creationId xmlns:a16="http://schemas.microsoft.com/office/drawing/2014/main" id="{1082E50F-65D1-416A-B2D6-CA5C42848710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3" name="TextBox 4">
          <a:extLst>
            <a:ext uri="{FF2B5EF4-FFF2-40B4-BE49-F238E27FC236}">
              <a16:creationId xmlns:a16="http://schemas.microsoft.com/office/drawing/2014/main" id="{67DEFE6B-CCC0-4A9D-958A-F81A31CA44CB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4" name="TextBox 5">
          <a:extLst>
            <a:ext uri="{FF2B5EF4-FFF2-40B4-BE49-F238E27FC236}">
              <a16:creationId xmlns:a16="http://schemas.microsoft.com/office/drawing/2014/main" id="{EC239C96-A8D6-44DD-9F2E-C25DE0C8F56A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5" name="TextBox 6">
          <a:extLst>
            <a:ext uri="{FF2B5EF4-FFF2-40B4-BE49-F238E27FC236}">
              <a16:creationId xmlns:a16="http://schemas.microsoft.com/office/drawing/2014/main" id="{C69E66A1-EB4D-4725-A409-8443A42F68F4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6" name="TextBox 7">
          <a:extLst>
            <a:ext uri="{FF2B5EF4-FFF2-40B4-BE49-F238E27FC236}">
              <a16:creationId xmlns:a16="http://schemas.microsoft.com/office/drawing/2014/main" id="{66D743F0-2D84-47CA-9F45-A43E1AA255FD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7" name="TextBox 8">
          <a:extLst>
            <a:ext uri="{FF2B5EF4-FFF2-40B4-BE49-F238E27FC236}">
              <a16:creationId xmlns:a16="http://schemas.microsoft.com/office/drawing/2014/main" id="{AA09B5B8-1618-4FC1-A15F-653B54454291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8" name="TextBox 2">
          <a:extLst>
            <a:ext uri="{FF2B5EF4-FFF2-40B4-BE49-F238E27FC236}">
              <a16:creationId xmlns:a16="http://schemas.microsoft.com/office/drawing/2014/main" id="{D1E1E457-484E-4576-8D58-7BECDDFD1EF0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39" name="TextBox 4">
          <a:extLst>
            <a:ext uri="{FF2B5EF4-FFF2-40B4-BE49-F238E27FC236}">
              <a16:creationId xmlns:a16="http://schemas.microsoft.com/office/drawing/2014/main" id="{E537F5CD-CDF7-4996-A131-4646E9B8B48A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0" name="TextBox 5">
          <a:extLst>
            <a:ext uri="{FF2B5EF4-FFF2-40B4-BE49-F238E27FC236}">
              <a16:creationId xmlns:a16="http://schemas.microsoft.com/office/drawing/2014/main" id="{CF04EDB9-D668-4697-98EA-EAFA15912FD6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1" name="TextBox 6">
          <a:extLst>
            <a:ext uri="{FF2B5EF4-FFF2-40B4-BE49-F238E27FC236}">
              <a16:creationId xmlns:a16="http://schemas.microsoft.com/office/drawing/2014/main" id="{2133B715-26EC-4F65-BB93-7346935C48E4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2" name="TextBox 7">
          <a:extLst>
            <a:ext uri="{FF2B5EF4-FFF2-40B4-BE49-F238E27FC236}">
              <a16:creationId xmlns:a16="http://schemas.microsoft.com/office/drawing/2014/main" id="{0784175D-59A4-4690-B500-430DBC09E2F2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3" name="TextBox 8">
          <a:extLst>
            <a:ext uri="{FF2B5EF4-FFF2-40B4-BE49-F238E27FC236}">
              <a16:creationId xmlns:a16="http://schemas.microsoft.com/office/drawing/2014/main" id="{8672D759-BF24-434B-9888-001DC4183482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4" name="TextBox 2">
          <a:extLst>
            <a:ext uri="{FF2B5EF4-FFF2-40B4-BE49-F238E27FC236}">
              <a16:creationId xmlns:a16="http://schemas.microsoft.com/office/drawing/2014/main" id="{FD9EB114-6A20-4167-A5CD-6A6DC4A5308C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5" name="TextBox 4">
          <a:extLst>
            <a:ext uri="{FF2B5EF4-FFF2-40B4-BE49-F238E27FC236}">
              <a16:creationId xmlns:a16="http://schemas.microsoft.com/office/drawing/2014/main" id="{473B5E53-38BD-4486-B099-D811C9150341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6" name="TextBox 5">
          <a:extLst>
            <a:ext uri="{FF2B5EF4-FFF2-40B4-BE49-F238E27FC236}">
              <a16:creationId xmlns:a16="http://schemas.microsoft.com/office/drawing/2014/main" id="{ED740693-34A1-4A11-8EFB-79D51101270F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7" name="TextBox 6">
          <a:extLst>
            <a:ext uri="{FF2B5EF4-FFF2-40B4-BE49-F238E27FC236}">
              <a16:creationId xmlns:a16="http://schemas.microsoft.com/office/drawing/2014/main" id="{C6C930A9-C2CA-4388-A3D1-CE44FDDAFDA0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8" name="TextBox 7">
          <a:extLst>
            <a:ext uri="{FF2B5EF4-FFF2-40B4-BE49-F238E27FC236}">
              <a16:creationId xmlns:a16="http://schemas.microsoft.com/office/drawing/2014/main" id="{11B50419-29C4-461B-9496-BBDC2AA25077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49" name="TextBox 8">
          <a:extLst>
            <a:ext uri="{FF2B5EF4-FFF2-40B4-BE49-F238E27FC236}">
              <a16:creationId xmlns:a16="http://schemas.microsoft.com/office/drawing/2014/main" id="{53810F52-19A6-4D88-B34A-53AFB87254CB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0" name="TextBox 2">
          <a:extLst>
            <a:ext uri="{FF2B5EF4-FFF2-40B4-BE49-F238E27FC236}">
              <a16:creationId xmlns:a16="http://schemas.microsoft.com/office/drawing/2014/main" id="{948EBC0E-4DB7-4560-9E5F-1AA56B84312C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1" name="TextBox 4">
          <a:extLst>
            <a:ext uri="{FF2B5EF4-FFF2-40B4-BE49-F238E27FC236}">
              <a16:creationId xmlns:a16="http://schemas.microsoft.com/office/drawing/2014/main" id="{0281F3B4-894E-4469-AFF9-B870FBB0C278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2" name="TextBox 5">
          <a:extLst>
            <a:ext uri="{FF2B5EF4-FFF2-40B4-BE49-F238E27FC236}">
              <a16:creationId xmlns:a16="http://schemas.microsoft.com/office/drawing/2014/main" id="{55ACE0A6-92B8-4613-AB82-E9F7AD1FCCF8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3" name="TextBox 6">
          <a:extLst>
            <a:ext uri="{FF2B5EF4-FFF2-40B4-BE49-F238E27FC236}">
              <a16:creationId xmlns:a16="http://schemas.microsoft.com/office/drawing/2014/main" id="{EA76F649-1321-458F-BAA2-2970073C3394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4" name="TextBox 7">
          <a:extLst>
            <a:ext uri="{FF2B5EF4-FFF2-40B4-BE49-F238E27FC236}">
              <a16:creationId xmlns:a16="http://schemas.microsoft.com/office/drawing/2014/main" id="{778C1A3C-DAB0-4C97-9769-C5D21859AA16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5" name="TextBox 8">
          <a:extLst>
            <a:ext uri="{FF2B5EF4-FFF2-40B4-BE49-F238E27FC236}">
              <a16:creationId xmlns:a16="http://schemas.microsoft.com/office/drawing/2014/main" id="{63C36C04-50A3-40FD-A21C-F42B66777A2B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6" name="TextBox 2">
          <a:extLst>
            <a:ext uri="{FF2B5EF4-FFF2-40B4-BE49-F238E27FC236}">
              <a16:creationId xmlns:a16="http://schemas.microsoft.com/office/drawing/2014/main" id="{865A0F8E-9AA6-4021-BB2A-097F097F40AB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7" name="TextBox 4">
          <a:extLst>
            <a:ext uri="{FF2B5EF4-FFF2-40B4-BE49-F238E27FC236}">
              <a16:creationId xmlns:a16="http://schemas.microsoft.com/office/drawing/2014/main" id="{AD6F6D18-297C-44BF-90F0-CC028A60CC15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8" name="TextBox 5">
          <a:extLst>
            <a:ext uri="{FF2B5EF4-FFF2-40B4-BE49-F238E27FC236}">
              <a16:creationId xmlns:a16="http://schemas.microsoft.com/office/drawing/2014/main" id="{1A4916F1-E72B-45E4-8D4A-A56A27EA2B41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59" name="TextBox 6">
          <a:extLst>
            <a:ext uri="{FF2B5EF4-FFF2-40B4-BE49-F238E27FC236}">
              <a16:creationId xmlns:a16="http://schemas.microsoft.com/office/drawing/2014/main" id="{A3D50787-D1F1-4FB0-85D1-BAF68D34E094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0" name="TextBox 7">
          <a:extLst>
            <a:ext uri="{FF2B5EF4-FFF2-40B4-BE49-F238E27FC236}">
              <a16:creationId xmlns:a16="http://schemas.microsoft.com/office/drawing/2014/main" id="{DE0DE65A-739C-45BB-8433-6618BE9E322E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1" name="TextBox 8">
          <a:extLst>
            <a:ext uri="{FF2B5EF4-FFF2-40B4-BE49-F238E27FC236}">
              <a16:creationId xmlns:a16="http://schemas.microsoft.com/office/drawing/2014/main" id="{AFF515AB-7770-4650-9AE2-C0339D6E0511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2" name="TextBox 2">
          <a:extLst>
            <a:ext uri="{FF2B5EF4-FFF2-40B4-BE49-F238E27FC236}">
              <a16:creationId xmlns:a16="http://schemas.microsoft.com/office/drawing/2014/main" id="{1E3806D4-82D7-454B-A872-7F6E114F640F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3" name="TextBox 4">
          <a:extLst>
            <a:ext uri="{FF2B5EF4-FFF2-40B4-BE49-F238E27FC236}">
              <a16:creationId xmlns:a16="http://schemas.microsoft.com/office/drawing/2014/main" id="{E2A22A39-BA87-484F-8297-AF2B7B96EC02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4" name="TextBox 5">
          <a:extLst>
            <a:ext uri="{FF2B5EF4-FFF2-40B4-BE49-F238E27FC236}">
              <a16:creationId xmlns:a16="http://schemas.microsoft.com/office/drawing/2014/main" id="{5ED52961-74F4-4DA4-9128-F16597DD42FB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5" name="TextBox 6">
          <a:extLst>
            <a:ext uri="{FF2B5EF4-FFF2-40B4-BE49-F238E27FC236}">
              <a16:creationId xmlns:a16="http://schemas.microsoft.com/office/drawing/2014/main" id="{ABC8AA15-141D-4DB1-A57B-A4FE35FE7004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6" name="TextBox 7">
          <a:extLst>
            <a:ext uri="{FF2B5EF4-FFF2-40B4-BE49-F238E27FC236}">
              <a16:creationId xmlns:a16="http://schemas.microsoft.com/office/drawing/2014/main" id="{CE3460E4-2DCA-49E7-9841-E3DD235207BB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7" name="TextBox 8">
          <a:extLst>
            <a:ext uri="{FF2B5EF4-FFF2-40B4-BE49-F238E27FC236}">
              <a16:creationId xmlns:a16="http://schemas.microsoft.com/office/drawing/2014/main" id="{53B90115-0B3A-40D3-8CF6-DCFE2D284D5B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8" name="TextBox 2">
          <a:extLst>
            <a:ext uri="{FF2B5EF4-FFF2-40B4-BE49-F238E27FC236}">
              <a16:creationId xmlns:a16="http://schemas.microsoft.com/office/drawing/2014/main" id="{01A0B70F-6BFD-4267-9B17-186437FDDFE5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69" name="TextBox 4">
          <a:extLst>
            <a:ext uri="{FF2B5EF4-FFF2-40B4-BE49-F238E27FC236}">
              <a16:creationId xmlns:a16="http://schemas.microsoft.com/office/drawing/2014/main" id="{15EDD317-B657-4F72-A38E-BECD8827B198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0" name="TextBox 5">
          <a:extLst>
            <a:ext uri="{FF2B5EF4-FFF2-40B4-BE49-F238E27FC236}">
              <a16:creationId xmlns:a16="http://schemas.microsoft.com/office/drawing/2014/main" id="{AF11DA4C-944E-47EF-B91D-1E82E239E14D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1" name="TextBox 6">
          <a:extLst>
            <a:ext uri="{FF2B5EF4-FFF2-40B4-BE49-F238E27FC236}">
              <a16:creationId xmlns:a16="http://schemas.microsoft.com/office/drawing/2014/main" id="{AD328EAD-E9EE-44E2-9FC2-F8B0F6031E25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2" name="TextBox 7">
          <a:extLst>
            <a:ext uri="{FF2B5EF4-FFF2-40B4-BE49-F238E27FC236}">
              <a16:creationId xmlns:a16="http://schemas.microsoft.com/office/drawing/2014/main" id="{1F0337FE-0079-48B4-B230-BFE2DF7A9421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3" name="TextBox 8">
          <a:extLst>
            <a:ext uri="{FF2B5EF4-FFF2-40B4-BE49-F238E27FC236}">
              <a16:creationId xmlns:a16="http://schemas.microsoft.com/office/drawing/2014/main" id="{980BC3C0-3537-4E5A-A18F-92BD580F13B3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4" name="TextBox 2">
          <a:extLst>
            <a:ext uri="{FF2B5EF4-FFF2-40B4-BE49-F238E27FC236}">
              <a16:creationId xmlns:a16="http://schemas.microsoft.com/office/drawing/2014/main" id="{9247DDED-C065-4DE8-90FC-283E19989106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5" name="TextBox 4">
          <a:extLst>
            <a:ext uri="{FF2B5EF4-FFF2-40B4-BE49-F238E27FC236}">
              <a16:creationId xmlns:a16="http://schemas.microsoft.com/office/drawing/2014/main" id="{D00AA7A9-FBC0-4CDB-A24C-7A9AA8FCA870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6" name="TextBox 5">
          <a:extLst>
            <a:ext uri="{FF2B5EF4-FFF2-40B4-BE49-F238E27FC236}">
              <a16:creationId xmlns:a16="http://schemas.microsoft.com/office/drawing/2014/main" id="{4F40EF1E-BD67-4A24-BF58-C5122F4E0C1F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7" name="TextBox 6">
          <a:extLst>
            <a:ext uri="{FF2B5EF4-FFF2-40B4-BE49-F238E27FC236}">
              <a16:creationId xmlns:a16="http://schemas.microsoft.com/office/drawing/2014/main" id="{311C3F7D-86B4-480F-800F-9F309A0505DC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8" name="TextBox 7">
          <a:extLst>
            <a:ext uri="{FF2B5EF4-FFF2-40B4-BE49-F238E27FC236}">
              <a16:creationId xmlns:a16="http://schemas.microsoft.com/office/drawing/2014/main" id="{97015FCA-E370-4DFA-8E4E-6368D1F8E3B6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79" name="TextBox 8">
          <a:extLst>
            <a:ext uri="{FF2B5EF4-FFF2-40B4-BE49-F238E27FC236}">
              <a16:creationId xmlns:a16="http://schemas.microsoft.com/office/drawing/2014/main" id="{81F22628-2A66-46AB-BFEE-F65D399DBF73}"/>
            </a:ext>
          </a:extLst>
        </xdr:cNvPr>
        <xdr:cNvSpPr txBox="1"/>
      </xdr:nvSpPr>
      <xdr:spPr>
        <a:xfrm flipH="1"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0" name="TextBox 2">
          <a:extLst>
            <a:ext uri="{FF2B5EF4-FFF2-40B4-BE49-F238E27FC236}">
              <a16:creationId xmlns:a16="http://schemas.microsoft.com/office/drawing/2014/main" id="{1D31B1B9-DA17-4BE7-9203-06C773782147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1" name="TextBox 4">
          <a:extLst>
            <a:ext uri="{FF2B5EF4-FFF2-40B4-BE49-F238E27FC236}">
              <a16:creationId xmlns:a16="http://schemas.microsoft.com/office/drawing/2014/main" id="{A64A15C7-9EE9-498A-8431-840B4C58B089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2" name="TextBox 5">
          <a:extLst>
            <a:ext uri="{FF2B5EF4-FFF2-40B4-BE49-F238E27FC236}">
              <a16:creationId xmlns:a16="http://schemas.microsoft.com/office/drawing/2014/main" id="{B72EE739-0F56-4B9D-8FD7-963129904FEE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3" name="TextBox 6">
          <a:extLst>
            <a:ext uri="{FF2B5EF4-FFF2-40B4-BE49-F238E27FC236}">
              <a16:creationId xmlns:a16="http://schemas.microsoft.com/office/drawing/2014/main" id="{F12605C2-8BD2-41C5-86C5-1613566C56C7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4" name="TextBox 7">
          <a:extLst>
            <a:ext uri="{FF2B5EF4-FFF2-40B4-BE49-F238E27FC236}">
              <a16:creationId xmlns:a16="http://schemas.microsoft.com/office/drawing/2014/main" id="{B29D652E-C42D-466B-A4DC-2C16A984E4E2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5" name="TextBox 8">
          <a:extLst>
            <a:ext uri="{FF2B5EF4-FFF2-40B4-BE49-F238E27FC236}">
              <a16:creationId xmlns:a16="http://schemas.microsoft.com/office/drawing/2014/main" id="{2F2D52C7-AAA4-4212-9F35-C37293DE29E4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6" name="TextBox 2">
          <a:extLst>
            <a:ext uri="{FF2B5EF4-FFF2-40B4-BE49-F238E27FC236}">
              <a16:creationId xmlns:a16="http://schemas.microsoft.com/office/drawing/2014/main" id="{917E42A7-70D0-4FB4-A8C3-8414BC89180B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7" name="TextBox 4">
          <a:extLst>
            <a:ext uri="{FF2B5EF4-FFF2-40B4-BE49-F238E27FC236}">
              <a16:creationId xmlns:a16="http://schemas.microsoft.com/office/drawing/2014/main" id="{CD21FF78-9D81-4EC2-97AC-8274CAFC975E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8" name="TextBox 5">
          <a:extLst>
            <a:ext uri="{FF2B5EF4-FFF2-40B4-BE49-F238E27FC236}">
              <a16:creationId xmlns:a16="http://schemas.microsoft.com/office/drawing/2014/main" id="{7A8A5430-CEFA-47DB-8037-E79A82BC3058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89" name="TextBox 6">
          <a:extLst>
            <a:ext uri="{FF2B5EF4-FFF2-40B4-BE49-F238E27FC236}">
              <a16:creationId xmlns:a16="http://schemas.microsoft.com/office/drawing/2014/main" id="{D064D26B-BB7E-4FC6-AC37-0A8D58D64BBA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0" name="TextBox 7">
          <a:extLst>
            <a:ext uri="{FF2B5EF4-FFF2-40B4-BE49-F238E27FC236}">
              <a16:creationId xmlns:a16="http://schemas.microsoft.com/office/drawing/2014/main" id="{8CC2B3D2-7322-4D58-A1F3-FB477E96977F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1" name="TextBox 8">
          <a:extLst>
            <a:ext uri="{FF2B5EF4-FFF2-40B4-BE49-F238E27FC236}">
              <a16:creationId xmlns:a16="http://schemas.microsoft.com/office/drawing/2014/main" id="{CF3CE29A-7338-452E-BA49-BCA11D4AC574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2" name="TextBox 2">
          <a:extLst>
            <a:ext uri="{FF2B5EF4-FFF2-40B4-BE49-F238E27FC236}">
              <a16:creationId xmlns:a16="http://schemas.microsoft.com/office/drawing/2014/main" id="{923477D1-56AA-454C-8072-B8CBB908603F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3" name="TextBox 4">
          <a:extLst>
            <a:ext uri="{FF2B5EF4-FFF2-40B4-BE49-F238E27FC236}">
              <a16:creationId xmlns:a16="http://schemas.microsoft.com/office/drawing/2014/main" id="{6464CB20-5E9C-4C4C-B27A-DECE1D505705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4" name="TextBox 5">
          <a:extLst>
            <a:ext uri="{FF2B5EF4-FFF2-40B4-BE49-F238E27FC236}">
              <a16:creationId xmlns:a16="http://schemas.microsoft.com/office/drawing/2014/main" id="{F92F51B4-20D4-46AE-83DC-7C858F2FC1A4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5" name="TextBox 6">
          <a:extLst>
            <a:ext uri="{FF2B5EF4-FFF2-40B4-BE49-F238E27FC236}">
              <a16:creationId xmlns:a16="http://schemas.microsoft.com/office/drawing/2014/main" id="{6600DAF7-F62F-4C22-A738-246FBDD66B93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6" name="TextBox 7">
          <a:extLst>
            <a:ext uri="{FF2B5EF4-FFF2-40B4-BE49-F238E27FC236}">
              <a16:creationId xmlns:a16="http://schemas.microsoft.com/office/drawing/2014/main" id="{D308504A-E18E-43B1-9B24-451AB5A0E1F9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7" name="TextBox 8">
          <a:extLst>
            <a:ext uri="{FF2B5EF4-FFF2-40B4-BE49-F238E27FC236}">
              <a16:creationId xmlns:a16="http://schemas.microsoft.com/office/drawing/2014/main" id="{62EDA0D4-A1CB-4E8F-9323-FB4188EF056D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8" name="TextBox 2">
          <a:extLst>
            <a:ext uri="{FF2B5EF4-FFF2-40B4-BE49-F238E27FC236}">
              <a16:creationId xmlns:a16="http://schemas.microsoft.com/office/drawing/2014/main" id="{99C41528-4D32-44D4-8913-DD28C4C382B5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199" name="TextBox 4">
          <a:extLst>
            <a:ext uri="{FF2B5EF4-FFF2-40B4-BE49-F238E27FC236}">
              <a16:creationId xmlns:a16="http://schemas.microsoft.com/office/drawing/2014/main" id="{D8CD27AB-D4EC-4914-B0C5-F934348B14ED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0" name="TextBox 5">
          <a:extLst>
            <a:ext uri="{FF2B5EF4-FFF2-40B4-BE49-F238E27FC236}">
              <a16:creationId xmlns:a16="http://schemas.microsoft.com/office/drawing/2014/main" id="{8777CAAA-0A6B-4C37-A3CD-D574833782ED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1" name="TextBox 6">
          <a:extLst>
            <a:ext uri="{FF2B5EF4-FFF2-40B4-BE49-F238E27FC236}">
              <a16:creationId xmlns:a16="http://schemas.microsoft.com/office/drawing/2014/main" id="{8B776F11-675C-45A8-8B03-B4075487D44F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2" name="TextBox 7">
          <a:extLst>
            <a:ext uri="{FF2B5EF4-FFF2-40B4-BE49-F238E27FC236}">
              <a16:creationId xmlns:a16="http://schemas.microsoft.com/office/drawing/2014/main" id="{B78BF9FA-96BB-4061-893A-63FA91C9E181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3" name="TextBox 8">
          <a:extLst>
            <a:ext uri="{FF2B5EF4-FFF2-40B4-BE49-F238E27FC236}">
              <a16:creationId xmlns:a16="http://schemas.microsoft.com/office/drawing/2014/main" id="{90358224-A924-4CEA-8095-6A0B700F06BA}"/>
            </a:ext>
          </a:extLst>
        </xdr:cNvPr>
        <xdr:cNvSpPr txBox="1"/>
      </xdr:nvSpPr>
      <xdr:spPr>
        <a:xfrm flipH="1"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4" name="TextBox 2">
          <a:extLst>
            <a:ext uri="{FF2B5EF4-FFF2-40B4-BE49-F238E27FC236}">
              <a16:creationId xmlns:a16="http://schemas.microsoft.com/office/drawing/2014/main" id="{B587CA28-BFED-47F5-8881-675E87DE6A86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5" name="TextBox 4">
          <a:extLst>
            <a:ext uri="{FF2B5EF4-FFF2-40B4-BE49-F238E27FC236}">
              <a16:creationId xmlns:a16="http://schemas.microsoft.com/office/drawing/2014/main" id="{6A837939-2E03-4472-BDDB-2821EFF50AE7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6" name="TextBox 5">
          <a:extLst>
            <a:ext uri="{FF2B5EF4-FFF2-40B4-BE49-F238E27FC236}">
              <a16:creationId xmlns:a16="http://schemas.microsoft.com/office/drawing/2014/main" id="{2AF2B360-8A8F-43BA-8B23-0DC37EB8C5FB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7" name="TextBox 6">
          <a:extLst>
            <a:ext uri="{FF2B5EF4-FFF2-40B4-BE49-F238E27FC236}">
              <a16:creationId xmlns:a16="http://schemas.microsoft.com/office/drawing/2014/main" id="{98C3671D-BE1F-4608-B6B6-085397DC6CDD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8" name="TextBox 7">
          <a:extLst>
            <a:ext uri="{FF2B5EF4-FFF2-40B4-BE49-F238E27FC236}">
              <a16:creationId xmlns:a16="http://schemas.microsoft.com/office/drawing/2014/main" id="{C46E391E-D764-4D22-93A4-03ED8C57A36E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09" name="TextBox 8">
          <a:extLst>
            <a:ext uri="{FF2B5EF4-FFF2-40B4-BE49-F238E27FC236}">
              <a16:creationId xmlns:a16="http://schemas.microsoft.com/office/drawing/2014/main" id="{19DE55E0-CA99-4183-999A-E624A1C8007D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0" name="TextBox 2">
          <a:extLst>
            <a:ext uri="{FF2B5EF4-FFF2-40B4-BE49-F238E27FC236}">
              <a16:creationId xmlns:a16="http://schemas.microsoft.com/office/drawing/2014/main" id="{C0202676-D7BD-49A5-A075-49D39D5B473C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1" name="TextBox 4">
          <a:extLst>
            <a:ext uri="{FF2B5EF4-FFF2-40B4-BE49-F238E27FC236}">
              <a16:creationId xmlns:a16="http://schemas.microsoft.com/office/drawing/2014/main" id="{127C7D86-AA6E-484B-8FB8-F6E3E8F85D7E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2" name="TextBox 5">
          <a:extLst>
            <a:ext uri="{FF2B5EF4-FFF2-40B4-BE49-F238E27FC236}">
              <a16:creationId xmlns:a16="http://schemas.microsoft.com/office/drawing/2014/main" id="{7E398C2D-434B-481B-AF6A-16092AC14D87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3" name="TextBox 6">
          <a:extLst>
            <a:ext uri="{FF2B5EF4-FFF2-40B4-BE49-F238E27FC236}">
              <a16:creationId xmlns:a16="http://schemas.microsoft.com/office/drawing/2014/main" id="{5F7D9F4A-EC8C-440D-BC4B-009683471468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4" name="TextBox 7">
          <a:extLst>
            <a:ext uri="{FF2B5EF4-FFF2-40B4-BE49-F238E27FC236}">
              <a16:creationId xmlns:a16="http://schemas.microsoft.com/office/drawing/2014/main" id="{186552FF-9521-42A0-8924-CD96B86AE22B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5" name="TextBox 8">
          <a:extLst>
            <a:ext uri="{FF2B5EF4-FFF2-40B4-BE49-F238E27FC236}">
              <a16:creationId xmlns:a16="http://schemas.microsoft.com/office/drawing/2014/main" id="{CC7C60DC-C49A-4CD4-9F36-D4DB437EB747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6" name="TextBox 2">
          <a:extLst>
            <a:ext uri="{FF2B5EF4-FFF2-40B4-BE49-F238E27FC236}">
              <a16:creationId xmlns:a16="http://schemas.microsoft.com/office/drawing/2014/main" id="{46E15FB1-AB90-4B59-A36A-66C87E5B8129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7" name="TextBox 4">
          <a:extLst>
            <a:ext uri="{FF2B5EF4-FFF2-40B4-BE49-F238E27FC236}">
              <a16:creationId xmlns:a16="http://schemas.microsoft.com/office/drawing/2014/main" id="{6485C1E9-E807-4A6A-A2D4-B8406390B957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8" name="TextBox 5">
          <a:extLst>
            <a:ext uri="{FF2B5EF4-FFF2-40B4-BE49-F238E27FC236}">
              <a16:creationId xmlns:a16="http://schemas.microsoft.com/office/drawing/2014/main" id="{B8E407DE-5596-4BFB-B9D3-282ED4CA6ACC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19" name="TextBox 6">
          <a:extLst>
            <a:ext uri="{FF2B5EF4-FFF2-40B4-BE49-F238E27FC236}">
              <a16:creationId xmlns:a16="http://schemas.microsoft.com/office/drawing/2014/main" id="{75B334A0-4DAD-421B-8F42-185FBF852300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0" name="TextBox 7">
          <a:extLst>
            <a:ext uri="{FF2B5EF4-FFF2-40B4-BE49-F238E27FC236}">
              <a16:creationId xmlns:a16="http://schemas.microsoft.com/office/drawing/2014/main" id="{41666203-088B-418D-8EE7-D3A2852452D2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1" name="TextBox 8">
          <a:extLst>
            <a:ext uri="{FF2B5EF4-FFF2-40B4-BE49-F238E27FC236}">
              <a16:creationId xmlns:a16="http://schemas.microsoft.com/office/drawing/2014/main" id="{447A54F3-93B0-4EF1-8611-DDAB6FEBB281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2" name="TextBox 2">
          <a:extLst>
            <a:ext uri="{FF2B5EF4-FFF2-40B4-BE49-F238E27FC236}">
              <a16:creationId xmlns:a16="http://schemas.microsoft.com/office/drawing/2014/main" id="{202120E2-F289-44EE-A46C-DE4ADC0D2985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3" name="TextBox 4">
          <a:extLst>
            <a:ext uri="{FF2B5EF4-FFF2-40B4-BE49-F238E27FC236}">
              <a16:creationId xmlns:a16="http://schemas.microsoft.com/office/drawing/2014/main" id="{FE201314-1875-4E15-A6F2-2772ADF8CC08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4" name="TextBox 5">
          <a:extLst>
            <a:ext uri="{FF2B5EF4-FFF2-40B4-BE49-F238E27FC236}">
              <a16:creationId xmlns:a16="http://schemas.microsoft.com/office/drawing/2014/main" id="{BA70F046-A3F6-43BC-9163-0EC06EF9B272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5" name="TextBox 6">
          <a:extLst>
            <a:ext uri="{FF2B5EF4-FFF2-40B4-BE49-F238E27FC236}">
              <a16:creationId xmlns:a16="http://schemas.microsoft.com/office/drawing/2014/main" id="{FB488488-B4C9-49EE-8F9E-CED47714DD1F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6" name="TextBox 7">
          <a:extLst>
            <a:ext uri="{FF2B5EF4-FFF2-40B4-BE49-F238E27FC236}">
              <a16:creationId xmlns:a16="http://schemas.microsoft.com/office/drawing/2014/main" id="{D1D26D41-2098-43F2-A90B-57F2A1FCCAA9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7" name="TextBox 8">
          <a:extLst>
            <a:ext uri="{FF2B5EF4-FFF2-40B4-BE49-F238E27FC236}">
              <a16:creationId xmlns:a16="http://schemas.microsoft.com/office/drawing/2014/main" id="{31F793D3-891D-4ADF-BCE2-321B6332C751}"/>
            </a:ext>
          </a:extLst>
        </xdr:cNvPr>
        <xdr:cNvSpPr txBox="1"/>
      </xdr:nvSpPr>
      <xdr:spPr>
        <a:xfrm flipH="1"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8" name="TextBox 2">
          <a:extLst>
            <a:ext uri="{FF2B5EF4-FFF2-40B4-BE49-F238E27FC236}">
              <a16:creationId xmlns:a16="http://schemas.microsoft.com/office/drawing/2014/main" id="{810EE3CF-6451-49F9-A18B-1982DDD6D93B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29" name="TextBox 4">
          <a:extLst>
            <a:ext uri="{FF2B5EF4-FFF2-40B4-BE49-F238E27FC236}">
              <a16:creationId xmlns:a16="http://schemas.microsoft.com/office/drawing/2014/main" id="{60F0FB17-5305-41C5-BC6B-D7D37C5A3FAE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0" name="TextBox 5">
          <a:extLst>
            <a:ext uri="{FF2B5EF4-FFF2-40B4-BE49-F238E27FC236}">
              <a16:creationId xmlns:a16="http://schemas.microsoft.com/office/drawing/2014/main" id="{7BE595E0-667A-4E3F-9C05-F695950029B2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1" name="TextBox 6">
          <a:extLst>
            <a:ext uri="{FF2B5EF4-FFF2-40B4-BE49-F238E27FC236}">
              <a16:creationId xmlns:a16="http://schemas.microsoft.com/office/drawing/2014/main" id="{6DBB47D9-1B33-4ED9-8677-D26EBDD0DB3A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2" name="TextBox 7">
          <a:extLst>
            <a:ext uri="{FF2B5EF4-FFF2-40B4-BE49-F238E27FC236}">
              <a16:creationId xmlns:a16="http://schemas.microsoft.com/office/drawing/2014/main" id="{BA0AD2E6-DE4B-401B-AFB1-817DFB1C4662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3" name="TextBox 8">
          <a:extLst>
            <a:ext uri="{FF2B5EF4-FFF2-40B4-BE49-F238E27FC236}">
              <a16:creationId xmlns:a16="http://schemas.microsoft.com/office/drawing/2014/main" id="{F922CC1C-CB3D-426F-8028-D317E4BF9875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4" name="TextBox 2">
          <a:extLst>
            <a:ext uri="{FF2B5EF4-FFF2-40B4-BE49-F238E27FC236}">
              <a16:creationId xmlns:a16="http://schemas.microsoft.com/office/drawing/2014/main" id="{AB53B823-8D2B-4932-BABB-A6B94E7542E6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5" name="TextBox 4">
          <a:extLst>
            <a:ext uri="{FF2B5EF4-FFF2-40B4-BE49-F238E27FC236}">
              <a16:creationId xmlns:a16="http://schemas.microsoft.com/office/drawing/2014/main" id="{8D825FAB-FE4D-4733-A9AD-25722E64DF62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6" name="TextBox 5">
          <a:extLst>
            <a:ext uri="{FF2B5EF4-FFF2-40B4-BE49-F238E27FC236}">
              <a16:creationId xmlns:a16="http://schemas.microsoft.com/office/drawing/2014/main" id="{3DE15508-E7C5-4926-84CE-1E4E308CAC71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7" name="TextBox 6">
          <a:extLst>
            <a:ext uri="{FF2B5EF4-FFF2-40B4-BE49-F238E27FC236}">
              <a16:creationId xmlns:a16="http://schemas.microsoft.com/office/drawing/2014/main" id="{1233A0E9-CCEB-471F-8813-B26054ECBAE3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8" name="TextBox 7">
          <a:extLst>
            <a:ext uri="{FF2B5EF4-FFF2-40B4-BE49-F238E27FC236}">
              <a16:creationId xmlns:a16="http://schemas.microsoft.com/office/drawing/2014/main" id="{244473FB-4359-4A6A-9016-B11279DE80F3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39" name="TextBox 8">
          <a:extLst>
            <a:ext uri="{FF2B5EF4-FFF2-40B4-BE49-F238E27FC236}">
              <a16:creationId xmlns:a16="http://schemas.microsoft.com/office/drawing/2014/main" id="{24AC4B2B-4415-43EE-ADEC-00B23E9E005B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0" name="TextBox 2">
          <a:extLst>
            <a:ext uri="{FF2B5EF4-FFF2-40B4-BE49-F238E27FC236}">
              <a16:creationId xmlns:a16="http://schemas.microsoft.com/office/drawing/2014/main" id="{C5D59B78-00FE-42FD-98EA-E57367CEDB03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1" name="TextBox 4">
          <a:extLst>
            <a:ext uri="{FF2B5EF4-FFF2-40B4-BE49-F238E27FC236}">
              <a16:creationId xmlns:a16="http://schemas.microsoft.com/office/drawing/2014/main" id="{4313344A-89F1-4EF7-B9ED-E7AED5C640DE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2" name="TextBox 5">
          <a:extLst>
            <a:ext uri="{FF2B5EF4-FFF2-40B4-BE49-F238E27FC236}">
              <a16:creationId xmlns:a16="http://schemas.microsoft.com/office/drawing/2014/main" id="{49DC84DD-801B-422F-960D-02883F0FEF66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3" name="TextBox 6">
          <a:extLst>
            <a:ext uri="{FF2B5EF4-FFF2-40B4-BE49-F238E27FC236}">
              <a16:creationId xmlns:a16="http://schemas.microsoft.com/office/drawing/2014/main" id="{FE602778-2CA1-4C31-AEB7-7EFB4E12FF10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4" name="TextBox 7">
          <a:extLst>
            <a:ext uri="{FF2B5EF4-FFF2-40B4-BE49-F238E27FC236}">
              <a16:creationId xmlns:a16="http://schemas.microsoft.com/office/drawing/2014/main" id="{9014403F-7C67-48DC-9BCB-F9B39B02A118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5" name="TextBox 8">
          <a:extLst>
            <a:ext uri="{FF2B5EF4-FFF2-40B4-BE49-F238E27FC236}">
              <a16:creationId xmlns:a16="http://schemas.microsoft.com/office/drawing/2014/main" id="{E52D0328-67C1-4625-986B-05D56A3DC7C7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6" name="TextBox 2">
          <a:extLst>
            <a:ext uri="{FF2B5EF4-FFF2-40B4-BE49-F238E27FC236}">
              <a16:creationId xmlns:a16="http://schemas.microsoft.com/office/drawing/2014/main" id="{5B12E3FE-DD99-4635-9C29-D238857CDFEB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7" name="TextBox 4">
          <a:extLst>
            <a:ext uri="{FF2B5EF4-FFF2-40B4-BE49-F238E27FC236}">
              <a16:creationId xmlns:a16="http://schemas.microsoft.com/office/drawing/2014/main" id="{1C55ED9A-D17D-4B40-B645-BB9680767121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8" name="TextBox 5">
          <a:extLst>
            <a:ext uri="{FF2B5EF4-FFF2-40B4-BE49-F238E27FC236}">
              <a16:creationId xmlns:a16="http://schemas.microsoft.com/office/drawing/2014/main" id="{A7FBE06C-E086-458B-BA35-98A51177A3E0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49" name="TextBox 6">
          <a:extLst>
            <a:ext uri="{FF2B5EF4-FFF2-40B4-BE49-F238E27FC236}">
              <a16:creationId xmlns:a16="http://schemas.microsoft.com/office/drawing/2014/main" id="{82E11C82-B04E-4F67-8407-05A4569206C5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0" name="TextBox 7">
          <a:extLst>
            <a:ext uri="{FF2B5EF4-FFF2-40B4-BE49-F238E27FC236}">
              <a16:creationId xmlns:a16="http://schemas.microsoft.com/office/drawing/2014/main" id="{339644A3-5E10-4580-A5E6-E8BD06B69840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1" name="TextBox 8">
          <a:extLst>
            <a:ext uri="{FF2B5EF4-FFF2-40B4-BE49-F238E27FC236}">
              <a16:creationId xmlns:a16="http://schemas.microsoft.com/office/drawing/2014/main" id="{5101427D-68EF-4C78-94F1-A6E4A02835EE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2" name="TextBox 2">
          <a:extLst>
            <a:ext uri="{FF2B5EF4-FFF2-40B4-BE49-F238E27FC236}">
              <a16:creationId xmlns:a16="http://schemas.microsoft.com/office/drawing/2014/main" id="{6599F48F-41A3-46AD-A151-78E61B5B1911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3" name="TextBox 4">
          <a:extLst>
            <a:ext uri="{FF2B5EF4-FFF2-40B4-BE49-F238E27FC236}">
              <a16:creationId xmlns:a16="http://schemas.microsoft.com/office/drawing/2014/main" id="{3034ABD7-A6AA-415B-B6A9-CF3692E494FC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4" name="TextBox 5">
          <a:extLst>
            <a:ext uri="{FF2B5EF4-FFF2-40B4-BE49-F238E27FC236}">
              <a16:creationId xmlns:a16="http://schemas.microsoft.com/office/drawing/2014/main" id="{8BA971A6-9936-4103-8462-A2AA4C5EB7DA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5" name="TextBox 6">
          <a:extLst>
            <a:ext uri="{FF2B5EF4-FFF2-40B4-BE49-F238E27FC236}">
              <a16:creationId xmlns:a16="http://schemas.microsoft.com/office/drawing/2014/main" id="{DF9A010D-3291-4AA3-90A3-C7311775298B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6" name="TextBox 7">
          <a:extLst>
            <a:ext uri="{FF2B5EF4-FFF2-40B4-BE49-F238E27FC236}">
              <a16:creationId xmlns:a16="http://schemas.microsoft.com/office/drawing/2014/main" id="{1240013C-9B77-475F-A243-DFE4F330B751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7" name="TextBox 8">
          <a:extLst>
            <a:ext uri="{FF2B5EF4-FFF2-40B4-BE49-F238E27FC236}">
              <a16:creationId xmlns:a16="http://schemas.microsoft.com/office/drawing/2014/main" id="{9979F009-531E-4295-BF26-37D141309FB5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8" name="TextBox 2">
          <a:extLst>
            <a:ext uri="{FF2B5EF4-FFF2-40B4-BE49-F238E27FC236}">
              <a16:creationId xmlns:a16="http://schemas.microsoft.com/office/drawing/2014/main" id="{CCDBD1A3-C1B4-4259-AE34-58980721B4CD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59" name="TextBox 4">
          <a:extLst>
            <a:ext uri="{FF2B5EF4-FFF2-40B4-BE49-F238E27FC236}">
              <a16:creationId xmlns:a16="http://schemas.microsoft.com/office/drawing/2014/main" id="{EC4A5823-EE62-4851-9FEB-FF15524C9497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0" name="TextBox 5">
          <a:extLst>
            <a:ext uri="{FF2B5EF4-FFF2-40B4-BE49-F238E27FC236}">
              <a16:creationId xmlns:a16="http://schemas.microsoft.com/office/drawing/2014/main" id="{A1497E8C-BFFA-4E46-B73A-74103945B88E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1" name="TextBox 6">
          <a:extLst>
            <a:ext uri="{FF2B5EF4-FFF2-40B4-BE49-F238E27FC236}">
              <a16:creationId xmlns:a16="http://schemas.microsoft.com/office/drawing/2014/main" id="{44175C8A-604E-4F84-996B-A42FB577F7E5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2" name="TextBox 7">
          <a:extLst>
            <a:ext uri="{FF2B5EF4-FFF2-40B4-BE49-F238E27FC236}">
              <a16:creationId xmlns:a16="http://schemas.microsoft.com/office/drawing/2014/main" id="{A27686C1-6DF2-4B40-9738-853F81DB4750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3" name="TextBox 8">
          <a:extLst>
            <a:ext uri="{FF2B5EF4-FFF2-40B4-BE49-F238E27FC236}">
              <a16:creationId xmlns:a16="http://schemas.microsoft.com/office/drawing/2014/main" id="{DAA52BE9-C0E0-480C-8EC7-CEF4FFD5296D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4" name="TextBox 2">
          <a:extLst>
            <a:ext uri="{FF2B5EF4-FFF2-40B4-BE49-F238E27FC236}">
              <a16:creationId xmlns:a16="http://schemas.microsoft.com/office/drawing/2014/main" id="{F27BE133-2369-4334-97F8-C4E9419D9594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5" name="TextBox 4">
          <a:extLst>
            <a:ext uri="{FF2B5EF4-FFF2-40B4-BE49-F238E27FC236}">
              <a16:creationId xmlns:a16="http://schemas.microsoft.com/office/drawing/2014/main" id="{53D23DFA-5684-4A46-98F3-B3588D62AD39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6" name="TextBox 5">
          <a:extLst>
            <a:ext uri="{FF2B5EF4-FFF2-40B4-BE49-F238E27FC236}">
              <a16:creationId xmlns:a16="http://schemas.microsoft.com/office/drawing/2014/main" id="{2C6E3891-B52D-4CCF-BF24-DE83A88B0ECE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7" name="TextBox 6">
          <a:extLst>
            <a:ext uri="{FF2B5EF4-FFF2-40B4-BE49-F238E27FC236}">
              <a16:creationId xmlns:a16="http://schemas.microsoft.com/office/drawing/2014/main" id="{768915D8-6063-4CA7-AE09-3B206B61D40F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8" name="TextBox 7">
          <a:extLst>
            <a:ext uri="{FF2B5EF4-FFF2-40B4-BE49-F238E27FC236}">
              <a16:creationId xmlns:a16="http://schemas.microsoft.com/office/drawing/2014/main" id="{72E8C7B4-EF97-44B7-94CF-02A5955D2D78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69" name="TextBox 8">
          <a:extLst>
            <a:ext uri="{FF2B5EF4-FFF2-40B4-BE49-F238E27FC236}">
              <a16:creationId xmlns:a16="http://schemas.microsoft.com/office/drawing/2014/main" id="{E9472F8C-3133-4B3F-B4AC-CEF672CE9D84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0" name="TextBox 2">
          <a:extLst>
            <a:ext uri="{FF2B5EF4-FFF2-40B4-BE49-F238E27FC236}">
              <a16:creationId xmlns:a16="http://schemas.microsoft.com/office/drawing/2014/main" id="{DD1AD1B0-FAB2-42B1-AC09-B32DB23207A5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1" name="TextBox 4">
          <a:extLst>
            <a:ext uri="{FF2B5EF4-FFF2-40B4-BE49-F238E27FC236}">
              <a16:creationId xmlns:a16="http://schemas.microsoft.com/office/drawing/2014/main" id="{2F00E685-581E-45AD-AF82-06C729D32A20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2" name="TextBox 5">
          <a:extLst>
            <a:ext uri="{FF2B5EF4-FFF2-40B4-BE49-F238E27FC236}">
              <a16:creationId xmlns:a16="http://schemas.microsoft.com/office/drawing/2014/main" id="{F2B5C8C6-E14D-4CD9-88F9-AE1C88A3EA56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3" name="TextBox 6">
          <a:extLst>
            <a:ext uri="{FF2B5EF4-FFF2-40B4-BE49-F238E27FC236}">
              <a16:creationId xmlns:a16="http://schemas.microsoft.com/office/drawing/2014/main" id="{BE2A40E0-0E39-4819-813A-CB022DE8488F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4" name="TextBox 7">
          <a:extLst>
            <a:ext uri="{FF2B5EF4-FFF2-40B4-BE49-F238E27FC236}">
              <a16:creationId xmlns:a16="http://schemas.microsoft.com/office/drawing/2014/main" id="{ACD5B26F-555D-4B42-87D2-1D8E5F1234D3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5" name="TextBox 8">
          <a:extLst>
            <a:ext uri="{FF2B5EF4-FFF2-40B4-BE49-F238E27FC236}">
              <a16:creationId xmlns:a16="http://schemas.microsoft.com/office/drawing/2014/main" id="{B422B82D-F75E-41A8-9D3B-7DD5DD1D911A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6" name="TextBox 2">
          <a:extLst>
            <a:ext uri="{FF2B5EF4-FFF2-40B4-BE49-F238E27FC236}">
              <a16:creationId xmlns:a16="http://schemas.microsoft.com/office/drawing/2014/main" id="{54ED67B1-5365-4119-A6BD-2260365571C6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7" name="TextBox 4">
          <a:extLst>
            <a:ext uri="{FF2B5EF4-FFF2-40B4-BE49-F238E27FC236}">
              <a16:creationId xmlns:a16="http://schemas.microsoft.com/office/drawing/2014/main" id="{DCAE4151-CFFE-48F1-8FB7-B4DFBD6C051E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8" name="TextBox 5">
          <a:extLst>
            <a:ext uri="{FF2B5EF4-FFF2-40B4-BE49-F238E27FC236}">
              <a16:creationId xmlns:a16="http://schemas.microsoft.com/office/drawing/2014/main" id="{5FFB4C96-C6DB-41C7-AD0A-B06A324BC327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79" name="TextBox 6">
          <a:extLst>
            <a:ext uri="{FF2B5EF4-FFF2-40B4-BE49-F238E27FC236}">
              <a16:creationId xmlns:a16="http://schemas.microsoft.com/office/drawing/2014/main" id="{304C2635-BEBC-4BBB-8C2A-EAB209BD1DC0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0" name="TextBox 7">
          <a:extLst>
            <a:ext uri="{FF2B5EF4-FFF2-40B4-BE49-F238E27FC236}">
              <a16:creationId xmlns:a16="http://schemas.microsoft.com/office/drawing/2014/main" id="{799AEEE4-8828-4AE6-B523-DB212008B7A1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1" name="TextBox 8">
          <a:extLst>
            <a:ext uri="{FF2B5EF4-FFF2-40B4-BE49-F238E27FC236}">
              <a16:creationId xmlns:a16="http://schemas.microsoft.com/office/drawing/2014/main" id="{6A4B9531-FFE4-4F3C-BE86-6DBAA509D6DB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2" name="TextBox 2">
          <a:extLst>
            <a:ext uri="{FF2B5EF4-FFF2-40B4-BE49-F238E27FC236}">
              <a16:creationId xmlns:a16="http://schemas.microsoft.com/office/drawing/2014/main" id="{7B560868-DA20-4FF8-A109-0D5FBD33221F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3" name="TextBox 4">
          <a:extLst>
            <a:ext uri="{FF2B5EF4-FFF2-40B4-BE49-F238E27FC236}">
              <a16:creationId xmlns:a16="http://schemas.microsoft.com/office/drawing/2014/main" id="{06DF81C7-E009-4008-A17A-E348BEC5BA77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4" name="TextBox 5">
          <a:extLst>
            <a:ext uri="{FF2B5EF4-FFF2-40B4-BE49-F238E27FC236}">
              <a16:creationId xmlns:a16="http://schemas.microsoft.com/office/drawing/2014/main" id="{A95FCD49-ED22-422A-B488-B90ABF9DDD69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5" name="TextBox 6">
          <a:extLst>
            <a:ext uri="{FF2B5EF4-FFF2-40B4-BE49-F238E27FC236}">
              <a16:creationId xmlns:a16="http://schemas.microsoft.com/office/drawing/2014/main" id="{41632CBE-CF1D-48AE-BA9A-902262D38130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6" name="TextBox 7">
          <a:extLst>
            <a:ext uri="{FF2B5EF4-FFF2-40B4-BE49-F238E27FC236}">
              <a16:creationId xmlns:a16="http://schemas.microsoft.com/office/drawing/2014/main" id="{72CACA9D-04A7-45F7-8888-2BC6EF70A3CF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7" name="TextBox 8">
          <a:extLst>
            <a:ext uri="{FF2B5EF4-FFF2-40B4-BE49-F238E27FC236}">
              <a16:creationId xmlns:a16="http://schemas.microsoft.com/office/drawing/2014/main" id="{F6CF62B2-BDC1-47B8-BAB1-E72BA985307B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8" name="TextBox 2">
          <a:extLst>
            <a:ext uri="{FF2B5EF4-FFF2-40B4-BE49-F238E27FC236}">
              <a16:creationId xmlns:a16="http://schemas.microsoft.com/office/drawing/2014/main" id="{0522DFD3-6469-4B7F-97E0-5F5E312A9D26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89" name="TextBox 4">
          <a:extLst>
            <a:ext uri="{FF2B5EF4-FFF2-40B4-BE49-F238E27FC236}">
              <a16:creationId xmlns:a16="http://schemas.microsoft.com/office/drawing/2014/main" id="{3740C2F3-2FBC-4411-A7A7-AD3BFA60D311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0" name="TextBox 5">
          <a:extLst>
            <a:ext uri="{FF2B5EF4-FFF2-40B4-BE49-F238E27FC236}">
              <a16:creationId xmlns:a16="http://schemas.microsoft.com/office/drawing/2014/main" id="{1AE6260E-BC25-4D58-A324-B2468F054267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1" name="TextBox 6">
          <a:extLst>
            <a:ext uri="{FF2B5EF4-FFF2-40B4-BE49-F238E27FC236}">
              <a16:creationId xmlns:a16="http://schemas.microsoft.com/office/drawing/2014/main" id="{19499617-A612-4B3B-9B03-A0388C09F154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2" name="TextBox 7">
          <a:extLst>
            <a:ext uri="{FF2B5EF4-FFF2-40B4-BE49-F238E27FC236}">
              <a16:creationId xmlns:a16="http://schemas.microsoft.com/office/drawing/2014/main" id="{A4D07E39-BE59-4C93-8A39-CB51E9556E7D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3" name="TextBox 8">
          <a:extLst>
            <a:ext uri="{FF2B5EF4-FFF2-40B4-BE49-F238E27FC236}">
              <a16:creationId xmlns:a16="http://schemas.microsoft.com/office/drawing/2014/main" id="{55492BCD-2EC1-48F5-8D73-91A953BF051E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4" name="TextBox 2">
          <a:extLst>
            <a:ext uri="{FF2B5EF4-FFF2-40B4-BE49-F238E27FC236}">
              <a16:creationId xmlns:a16="http://schemas.microsoft.com/office/drawing/2014/main" id="{4A549C1F-053E-4E8D-AA15-7AFABE66D81C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5" name="TextBox 4">
          <a:extLst>
            <a:ext uri="{FF2B5EF4-FFF2-40B4-BE49-F238E27FC236}">
              <a16:creationId xmlns:a16="http://schemas.microsoft.com/office/drawing/2014/main" id="{3E969214-118C-482D-8D62-695EF0F4DC29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6" name="TextBox 5">
          <a:extLst>
            <a:ext uri="{FF2B5EF4-FFF2-40B4-BE49-F238E27FC236}">
              <a16:creationId xmlns:a16="http://schemas.microsoft.com/office/drawing/2014/main" id="{8CDF88F1-1609-401A-8D06-62AB54E0CCB5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7" name="TextBox 6">
          <a:extLst>
            <a:ext uri="{FF2B5EF4-FFF2-40B4-BE49-F238E27FC236}">
              <a16:creationId xmlns:a16="http://schemas.microsoft.com/office/drawing/2014/main" id="{853A1A5B-46BD-4D15-848E-E486E0D639BD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8" name="TextBox 7">
          <a:extLst>
            <a:ext uri="{FF2B5EF4-FFF2-40B4-BE49-F238E27FC236}">
              <a16:creationId xmlns:a16="http://schemas.microsoft.com/office/drawing/2014/main" id="{D0C657EA-03FB-4C7D-9FB7-A5420246A742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299" name="TextBox 8">
          <a:extLst>
            <a:ext uri="{FF2B5EF4-FFF2-40B4-BE49-F238E27FC236}">
              <a16:creationId xmlns:a16="http://schemas.microsoft.com/office/drawing/2014/main" id="{0C7FF14E-B625-41CA-B356-FCC0A5F38135}"/>
            </a:ext>
          </a:extLst>
        </xdr:cNvPr>
        <xdr:cNvSpPr txBox="1"/>
      </xdr:nvSpPr>
      <xdr:spPr>
        <a:xfrm flipH="1"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0" name="TextBox 2">
          <a:extLst>
            <a:ext uri="{FF2B5EF4-FFF2-40B4-BE49-F238E27FC236}">
              <a16:creationId xmlns:a16="http://schemas.microsoft.com/office/drawing/2014/main" id="{76D2755A-55C3-4D39-8392-781C6416802E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1" name="TextBox 4">
          <a:extLst>
            <a:ext uri="{FF2B5EF4-FFF2-40B4-BE49-F238E27FC236}">
              <a16:creationId xmlns:a16="http://schemas.microsoft.com/office/drawing/2014/main" id="{CD257D45-EE80-4E39-8D9C-886FEA1D879A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2" name="TextBox 5">
          <a:extLst>
            <a:ext uri="{FF2B5EF4-FFF2-40B4-BE49-F238E27FC236}">
              <a16:creationId xmlns:a16="http://schemas.microsoft.com/office/drawing/2014/main" id="{33EF4B51-C3F4-4011-93CA-298952B27B6F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3" name="TextBox 6">
          <a:extLst>
            <a:ext uri="{FF2B5EF4-FFF2-40B4-BE49-F238E27FC236}">
              <a16:creationId xmlns:a16="http://schemas.microsoft.com/office/drawing/2014/main" id="{B9224CC8-348D-4B46-B148-A29B3B666FF7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4" name="TextBox 7">
          <a:extLst>
            <a:ext uri="{FF2B5EF4-FFF2-40B4-BE49-F238E27FC236}">
              <a16:creationId xmlns:a16="http://schemas.microsoft.com/office/drawing/2014/main" id="{BC35E011-6B29-4F2F-BDFD-B2B2DF2F93F3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5" name="TextBox 8">
          <a:extLst>
            <a:ext uri="{FF2B5EF4-FFF2-40B4-BE49-F238E27FC236}">
              <a16:creationId xmlns:a16="http://schemas.microsoft.com/office/drawing/2014/main" id="{42999B11-BCBF-4AC2-AED1-51D5D26D787B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6" name="TextBox 2">
          <a:extLst>
            <a:ext uri="{FF2B5EF4-FFF2-40B4-BE49-F238E27FC236}">
              <a16:creationId xmlns:a16="http://schemas.microsoft.com/office/drawing/2014/main" id="{AC712E3C-DB70-452A-8681-91E5AF1A7008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7" name="TextBox 4">
          <a:extLst>
            <a:ext uri="{FF2B5EF4-FFF2-40B4-BE49-F238E27FC236}">
              <a16:creationId xmlns:a16="http://schemas.microsoft.com/office/drawing/2014/main" id="{FC6D8C36-6A86-4520-B9CC-F68AE9E9A0CE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8" name="TextBox 5">
          <a:extLst>
            <a:ext uri="{FF2B5EF4-FFF2-40B4-BE49-F238E27FC236}">
              <a16:creationId xmlns:a16="http://schemas.microsoft.com/office/drawing/2014/main" id="{41D1A629-5145-4B5A-90C3-840386D3F8B9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09" name="TextBox 6">
          <a:extLst>
            <a:ext uri="{FF2B5EF4-FFF2-40B4-BE49-F238E27FC236}">
              <a16:creationId xmlns:a16="http://schemas.microsoft.com/office/drawing/2014/main" id="{398DFAA5-29D3-470A-81E8-59F26800C887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0" name="TextBox 7">
          <a:extLst>
            <a:ext uri="{FF2B5EF4-FFF2-40B4-BE49-F238E27FC236}">
              <a16:creationId xmlns:a16="http://schemas.microsoft.com/office/drawing/2014/main" id="{38224C97-635E-4294-85A0-C2E80CED954A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1" name="TextBox 8">
          <a:extLst>
            <a:ext uri="{FF2B5EF4-FFF2-40B4-BE49-F238E27FC236}">
              <a16:creationId xmlns:a16="http://schemas.microsoft.com/office/drawing/2014/main" id="{499CC4F3-DE00-4224-A074-4D6280D12341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2" name="TextBox 2">
          <a:extLst>
            <a:ext uri="{FF2B5EF4-FFF2-40B4-BE49-F238E27FC236}">
              <a16:creationId xmlns:a16="http://schemas.microsoft.com/office/drawing/2014/main" id="{D97E3D17-0FF6-4709-8D40-01091B71A0A7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3" name="TextBox 4">
          <a:extLst>
            <a:ext uri="{FF2B5EF4-FFF2-40B4-BE49-F238E27FC236}">
              <a16:creationId xmlns:a16="http://schemas.microsoft.com/office/drawing/2014/main" id="{468D8379-BA9F-42D1-850F-F8E21E26B0CC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4" name="TextBox 5">
          <a:extLst>
            <a:ext uri="{FF2B5EF4-FFF2-40B4-BE49-F238E27FC236}">
              <a16:creationId xmlns:a16="http://schemas.microsoft.com/office/drawing/2014/main" id="{3E583DEE-14C7-469F-B707-78AC8664309B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5" name="TextBox 6">
          <a:extLst>
            <a:ext uri="{FF2B5EF4-FFF2-40B4-BE49-F238E27FC236}">
              <a16:creationId xmlns:a16="http://schemas.microsoft.com/office/drawing/2014/main" id="{65F0288B-36EC-47BE-BD42-517968C9E805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6" name="TextBox 7">
          <a:extLst>
            <a:ext uri="{FF2B5EF4-FFF2-40B4-BE49-F238E27FC236}">
              <a16:creationId xmlns:a16="http://schemas.microsoft.com/office/drawing/2014/main" id="{BCE3DA5B-B95E-4E13-BD80-066E280D3472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7" name="TextBox 8">
          <a:extLst>
            <a:ext uri="{FF2B5EF4-FFF2-40B4-BE49-F238E27FC236}">
              <a16:creationId xmlns:a16="http://schemas.microsoft.com/office/drawing/2014/main" id="{90BBCA4A-A3C7-4006-BAF4-AFBBD99C548E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8" name="TextBox 2">
          <a:extLst>
            <a:ext uri="{FF2B5EF4-FFF2-40B4-BE49-F238E27FC236}">
              <a16:creationId xmlns:a16="http://schemas.microsoft.com/office/drawing/2014/main" id="{7D4897F8-5EDB-4047-99BC-51DE50753BBF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19" name="TextBox 4">
          <a:extLst>
            <a:ext uri="{FF2B5EF4-FFF2-40B4-BE49-F238E27FC236}">
              <a16:creationId xmlns:a16="http://schemas.microsoft.com/office/drawing/2014/main" id="{8F9CD0BD-9DA7-495F-8953-CE7CA5B54142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0" name="TextBox 5">
          <a:extLst>
            <a:ext uri="{FF2B5EF4-FFF2-40B4-BE49-F238E27FC236}">
              <a16:creationId xmlns:a16="http://schemas.microsoft.com/office/drawing/2014/main" id="{2F146258-0E0C-4D63-A57C-05929C08B83D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1" name="TextBox 6">
          <a:extLst>
            <a:ext uri="{FF2B5EF4-FFF2-40B4-BE49-F238E27FC236}">
              <a16:creationId xmlns:a16="http://schemas.microsoft.com/office/drawing/2014/main" id="{FF3A2A66-19AD-4BCE-9C98-A065CE44AE06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2" name="TextBox 7">
          <a:extLst>
            <a:ext uri="{FF2B5EF4-FFF2-40B4-BE49-F238E27FC236}">
              <a16:creationId xmlns:a16="http://schemas.microsoft.com/office/drawing/2014/main" id="{44C57143-07D6-4904-8FD9-7C929A9387CC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3" name="TextBox 8">
          <a:extLst>
            <a:ext uri="{FF2B5EF4-FFF2-40B4-BE49-F238E27FC236}">
              <a16:creationId xmlns:a16="http://schemas.microsoft.com/office/drawing/2014/main" id="{75FAC43E-28F5-47C0-B8CA-AEBA7F8D863F}"/>
            </a:ext>
          </a:extLst>
        </xdr:cNvPr>
        <xdr:cNvSpPr txBox="1"/>
      </xdr:nvSpPr>
      <xdr:spPr>
        <a:xfrm flipH="1"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4" name="TextBox 2">
          <a:extLst>
            <a:ext uri="{FF2B5EF4-FFF2-40B4-BE49-F238E27FC236}">
              <a16:creationId xmlns:a16="http://schemas.microsoft.com/office/drawing/2014/main" id="{095D1446-C4C7-444F-BBB9-1177083F68CA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5" name="TextBox 4">
          <a:extLst>
            <a:ext uri="{FF2B5EF4-FFF2-40B4-BE49-F238E27FC236}">
              <a16:creationId xmlns:a16="http://schemas.microsoft.com/office/drawing/2014/main" id="{63F7315C-57B7-4B4E-BFAB-D2F250235326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6" name="TextBox 5">
          <a:extLst>
            <a:ext uri="{FF2B5EF4-FFF2-40B4-BE49-F238E27FC236}">
              <a16:creationId xmlns:a16="http://schemas.microsoft.com/office/drawing/2014/main" id="{4D4B4C3C-FA70-4A9F-BDF8-0592D985A85E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7" name="TextBox 6">
          <a:extLst>
            <a:ext uri="{FF2B5EF4-FFF2-40B4-BE49-F238E27FC236}">
              <a16:creationId xmlns:a16="http://schemas.microsoft.com/office/drawing/2014/main" id="{3C5294E3-683E-46CA-9B7A-7B1011F076CC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8" name="TextBox 7">
          <a:extLst>
            <a:ext uri="{FF2B5EF4-FFF2-40B4-BE49-F238E27FC236}">
              <a16:creationId xmlns:a16="http://schemas.microsoft.com/office/drawing/2014/main" id="{3B36DA06-9CD2-4D35-B7FA-F0D4BB94BC55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29" name="TextBox 8">
          <a:extLst>
            <a:ext uri="{FF2B5EF4-FFF2-40B4-BE49-F238E27FC236}">
              <a16:creationId xmlns:a16="http://schemas.microsoft.com/office/drawing/2014/main" id="{AECC068F-949E-4179-8A1B-3DB9AC49049A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0" name="TextBox 2">
          <a:extLst>
            <a:ext uri="{FF2B5EF4-FFF2-40B4-BE49-F238E27FC236}">
              <a16:creationId xmlns:a16="http://schemas.microsoft.com/office/drawing/2014/main" id="{8A2CC2EB-A745-424B-BEC2-1350112FF5CF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1" name="TextBox 4">
          <a:extLst>
            <a:ext uri="{FF2B5EF4-FFF2-40B4-BE49-F238E27FC236}">
              <a16:creationId xmlns:a16="http://schemas.microsoft.com/office/drawing/2014/main" id="{D96F00F1-A7C7-4D37-A258-2E8095421483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2" name="TextBox 5">
          <a:extLst>
            <a:ext uri="{FF2B5EF4-FFF2-40B4-BE49-F238E27FC236}">
              <a16:creationId xmlns:a16="http://schemas.microsoft.com/office/drawing/2014/main" id="{5F54D8F4-DE2A-47B5-93CD-96EA88DB22E1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3" name="TextBox 6">
          <a:extLst>
            <a:ext uri="{FF2B5EF4-FFF2-40B4-BE49-F238E27FC236}">
              <a16:creationId xmlns:a16="http://schemas.microsoft.com/office/drawing/2014/main" id="{3D7079AD-EA03-4F3E-AB42-0D513D2F1D5B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4" name="TextBox 7">
          <a:extLst>
            <a:ext uri="{FF2B5EF4-FFF2-40B4-BE49-F238E27FC236}">
              <a16:creationId xmlns:a16="http://schemas.microsoft.com/office/drawing/2014/main" id="{B7768D83-0DFB-4FE8-AF11-CD39205D3DC3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5" name="TextBox 8">
          <a:extLst>
            <a:ext uri="{FF2B5EF4-FFF2-40B4-BE49-F238E27FC236}">
              <a16:creationId xmlns:a16="http://schemas.microsoft.com/office/drawing/2014/main" id="{F30A9950-A295-4AFE-B3D7-B9945DBFD0F2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6" name="TextBox 2">
          <a:extLst>
            <a:ext uri="{FF2B5EF4-FFF2-40B4-BE49-F238E27FC236}">
              <a16:creationId xmlns:a16="http://schemas.microsoft.com/office/drawing/2014/main" id="{0D25071B-6FB0-4B30-8787-3AC6FA759BF4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7" name="TextBox 4">
          <a:extLst>
            <a:ext uri="{FF2B5EF4-FFF2-40B4-BE49-F238E27FC236}">
              <a16:creationId xmlns:a16="http://schemas.microsoft.com/office/drawing/2014/main" id="{0D5596E0-C155-4883-BC80-D6FF85395BB2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8" name="TextBox 5">
          <a:extLst>
            <a:ext uri="{FF2B5EF4-FFF2-40B4-BE49-F238E27FC236}">
              <a16:creationId xmlns:a16="http://schemas.microsoft.com/office/drawing/2014/main" id="{6BF26277-3C7A-4DD6-89D3-B2FBD07FFE43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39" name="TextBox 6">
          <a:extLst>
            <a:ext uri="{FF2B5EF4-FFF2-40B4-BE49-F238E27FC236}">
              <a16:creationId xmlns:a16="http://schemas.microsoft.com/office/drawing/2014/main" id="{9B158EFE-893A-4C6E-AC99-508B938BC15A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0" name="TextBox 7">
          <a:extLst>
            <a:ext uri="{FF2B5EF4-FFF2-40B4-BE49-F238E27FC236}">
              <a16:creationId xmlns:a16="http://schemas.microsoft.com/office/drawing/2014/main" id="{37905CAF-99FD-4FBC-929C-FFEA0ECF9356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1" name="TextBox 8">
          <a:extLst>
            <a:ext uri="{FF2B5EF4-FFF2-40B4-BE49-F238E27FC236}">
              <a16:creationId xmlns:a16="http://schemas.microsoft.com/office/drawing/2014/main" id="{4E43373C-B9A1-4661-892F-E928ED092B4A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2" name="TextBox 2">
          <a:extLst>
            <a:ext uri="{FF2B5EF4-FFF2-40B4-BE49-F238E27FC236}">
              <a16:creationId xmlns:a16="http://schemas.microsoft.com/office/drawing/2014/main" id="{3BB9B157-DF44-4FB3-900B-4747443E1DAC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3" name="TextBox 4">
          <a:extLst>
            <a:ext uri="{FF2B5EF4-FFF2-40B4-BE49-F238E27FC236}">
              <a16:creationId xmlns:a16="http://schemas.microsoft.com/office/drawing/2014/main" id="{0362D3F4-42CD-4250-B5FC-0337BF9FA2B4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4" name="TextBox 5">
          <a:extLst>
            <a:ext uri="{FF2B5EF4-FFF2-40B4-BE49-F238E27FC236}">
              <a16:creationId xmlns:a16="http://schemas.microsoft.com/office/drawing/2014/main" id="{6A36342B-1564-4AE3-B920-9487B635A6D6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5" name="TextBox 6">
          <a:extLst>
            <a:ext uri="{FF2B5EF4-FFF2-40B4-BE49-F238E27FC236}">
              <a16:creationId xmlns:a16="http://schemas.microsoft.com/office/drawing/2014/main" id="{3CE19D7A-8EC3-44A9-AE6B-BE655449AAAF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6" name="TextBox 7">
          <a:extLst>
            <a:ext uri="{FF2B5EF4-FFF2-40B4-BE49-F238E27FC236}">
              <a16:creationId xmlns:a16="http://schemas.microsoft.com/office/drawing/2014/main" id="{86B62750-91E0-4FFC-B9D0-533980071038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7" name="TextBox 8">
          <a:extLst>
            <a:ext uri="{FF2B5EF4-FFF2-40B4-BE49-F238E27FC236}">
              <a16:creationId xmlns:a16="http://schemas.microsoft.com/office/drawing/2014/main" id="{584D5EE5-5034-4B65-AC0E-C6A483399D73}"/>
            </a:ext>
          </a:extLst>
        </xdr:cNvPr>
        <xdr:cNvSpPr txBox="1"/>
      </xdr:nvSpPr>
      <xdr:spPr>
        <a:xfrm flipH="1"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8" name="TextBox 1955">
          <a:extLst>
            <a:ext uri="{FF2B5EF4-FFF2-40B4-BE49-F238E27FC236}">
              <a16:creationId xmlns:a16="http://schemas.microsoft.com/office/drawing/2014/main" id="{9F717377-C71B-4147-9051-1607177BF258}"/>
            </a:ext>
          </a:extLst>
        </xdr:cNvPr>
        <xdr:cNvSpPr txBox="1"/>
      </xdr:nvSpPr>
      <xdr:spPr>
        <a:xfrm>
          <a:off x="1909762" y="4629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49" name="TextBox 1957">
          <a:extLst>
            <a:ext uri="{FF2B5EF4-FFF2-40B4-BE49-F238E27FC236}">
              <a16:creationId xmlns:a16="http://schemas.microsoft.com/office/drawing/2014/main" id="{A1730F75-9710-49C6-AC3B-6550123239EC}"/>
            </a:ext>
          </a:extLst>
        </xdr:cNvPr>
        <xdr:cNvSpPr txBox="1"/>
      </xdr:nvSpPr>
      <xdr:spPr>
        <a:xfrm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0" name="TextBox 1958">
          <a:extLst>
            <a:ext uri="{FF2B5EF4-FFF2-40B4-BE49-F238E27FC236}">
              <a16:creationId xmlns:a16="http://schemas.microsoft.com/office/drawing/2014/main" id="{41C7D05A-088B-4503-BE3A-E3B601950A27}"/>
            </a:ext>
          </a:extLst>
        </xdr:cNvPr>
        <xdr:cNvSpPr txBox="1"/>
      </xdr:nvSpPr>
      <xdr:spPr>
        <a:xfrm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1" name="TextBox 1959">
          <a:extLst>
            <a:ext uri="{FF2B5EF4-FFF2-40B4-BE49-F238E27FC236}">
              <a16:creationId xmlns:a16="http://schemas.microsoft.com/office/drawing/2014/main" id="{4F612CD3-34BC-4685-B2E6-74463B8378AB}"/>
            </a:ext>
          </a:extLst>
        </xdr:cNvPr>
        <xdr:cNvSpPr txBox="1"/>
      </xdr:nvSpPr>
      <xdr:spPr>
        <a:xfrm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2" name="TextBox 2">
          <a:extLst>
            <a:ext uri="{FF2B5EF4-FFF2-40B4-BE49-F238E27FC236}">
              <a16:creationId xmlns:a16="http://schemas.microsoft.com/office/drawing/2014/main" id="{3A4AFCBA-D8DC-45FC-A039-4FCBC7FD3606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3" name="TextBox 4">
          <a:extLst>
            <a:ext uri="{FF2B5EF4-FFF2-40B4-BE49-F238E27FC236}">
              <a16:creationId xmlns:a16="http://schemas.microsoft.com/office/drawing/2014/main" id="{560B6F24-108E-4501-8825-6117F4DA160B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4" name="TextBox 5">
          <a:extLst>
            <a:ext uri="{FF2B5EF4-FFF2-40B4-BE49-F238E27FC236}">
              <a16:creationId xmlns:a16="http://schemas.microsoft.com/office/drawing/2014/main" id="{68C8B880-22FC-4A69-BA5F-1180BC6DA657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5" name="TextBox 6">
          <a:extLst>
            <a:ext uri="{FF2B5EF4-FFF2-40B4-BE49-F238E27FC236}">
              <a16:creationId xmlns:a16="http://schemas.microsoft.com/office/drawing/2014/main" id="{0EFA9209-F96E-4415-A726-3E47F1D5C8B9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6" name="TextBox 7">
          <a:extLst>
            <a:ext uri="{FF2B5EF4-FFF2-40B4-BE49-F238E27FC236}">
              <a16:creationId xmlns:a16="http://schemas.microsoft.com/office/drawing/2014/main" id="{41CB263F-E5BF-4079-BFFC-AB799BA4A34B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7" name="TextBox 8">
          <a:extLst>
            <a:ext uri="{FF2B5EF4-FFF2-40B4-BE49-F238E27FC236}">
              <a16:creationId xmlns:a16="http://schemas.microsoft.com/office/drawing/2014/main" id="{F7ADEE37-B17E-4DF3-B874-57298A91C8A7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8" name="TextBox 11">
          <a:extLst>
            <a:ext uri="{FF2B5EF4-FFF2-40B4-BE49-F238E27FC236}">
              <a16:creationId xmlns:a16="http://schemas.microsoft.com/office/drawing/2014/main" id="{49F4A388-2958-4A3B-847B-9E0344336D58}"/>
            </a:ext>
          </a:extLst>
        </xdr:cNvPr>
        <xdr:cNvSpPr txBox="1"/>
      </xdr:nvSpPr>
      <xdr:spPr>
        <a:xfrm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59" name="TextBox 12">
          <a:extLst>
            <a:ext uri="{FF2B5EF4-FFF2-40B4-BE49-F238E27FC236}">
              <a16:creationId xmlns:a16="http://schemas.microsoft.com/office/drawing/2014/main" id="{5FBBBFED-E987-4C74-9D7B-86A3E9F5E206}"/>
            </a:ext>
          </a:extLst>
        </xdr:cNvPr>
        <xdr:cNvSpPr txBox="1"/>
      </xdr:nvSpPr>
      <xdr:spPr>
        <a:xfrm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0" name="TextBox 1970">
          <a:extLst>
            <a:ext uri="{FF2B5EF4-FFF2-40B4-BE49-F238E27FC236}">
              <a16:creationId xmlns:a16="http://schemas.microsoft.com/office/drawing/2014/main" id="{6192B043-165C-42F8-885D-C5F77217A55F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1" name="TextBox 1971">
          <a:extLst>
            <a:ext uri="{FF2B5EF4-FFF2-40B4-BE49-F238E27FC236}">
              <a16:creationId xmlns:a16="http://schemas.microsoft.com/office/drawing/2014/main" id="{5D39EFDF-CA26-4563-A48D-05386086A5BE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2" name="TextBox 1">
          <a:extLst>
            <a:ext uri="{FF2B5EF4-FFF2-40B4-BE49-F238E27FC236}">
              <a16:creationId xmlns:a16="http://schemas.microsoft.com/office/drawing/2014/main" id="{C5341FB6-5727-48D1-9907-D8C4C1DC1426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3" name="TextBox 3">
          <a:extLst>
            <a:ext uri="{FF2B5EF4-FFF2-40B4-BE49-F238E27FC236}">
              <a16:creationId xmlns:a16="http://schemas.microsoft.com/office/drawing/2014/main" id="{2DC15A49-CB4B-4170-B54B-2AE8975BF19B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4" name="TextBox 1974">
          <a:extLst>
            <a:ext uri="{FF2B5EF4-FFF2-40B4-BE49-F238E27FC236}">
              <a16:creationId xmlns:a16="http://schemas.microsoft.com/office/drawing/2014/main" id="{394A26B8-C110-4AD2-AE57-C82295F24B63}"/>
            </a:ext>
          </a:extLst>
        </xdr:cNvPr>
        <xdr:cNvSpPr txBox="1"/>
      </xdr:nvSpPr>
      <xdr:spPr>
        <a:xfrm>
          <a:off x="1909762" y="4629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5" name="TextBox 1975">
          <a:extLst>
            <a:ext uri="{FF2B5EF4-FFF2-40B4-BE49-F238E27FC236}">
              <a16:creationId xmlns:a16="http://schemas.microsoft.com/office/drawing/2014/main" id="{F615DA6B-3848-41FA-87AA-18D6DA7B5CAC}"/>
            </a:ext>
          </a:extLst>
        </xdr:cNvPr>
        <xdr:cNvSpPr txBox="1"/>
      </xdr:nvSpPr>
      <xdr:spPr>
        <a:xfrm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6" name="TextBox 1976">
          <a:extLst>
            <a:ext uri="{FF2B5EF4-FFF2-40B4-BE49-F238E27FC236}">
              <a16:creationId xmlns:a16="http://schemas.microsoft.com/office/drawing/2014/main" id="{37F598FA-6FAE-465A-934F-C17B34932545}"/>
            </a:ext>
          </a:extLst>
        </xdr:cNvPr>
        <xdr:cNvSpPr txBox="1"/>
      </xdr:nvSpPr>
      <xdr:spPr>
        <a:xfrm>
          <a:off x="1909762" y="4629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7" name="TextBox 1977">
          <a:extLst>
            <a:ext uri="{FF2B5EF4-FFF2-40B4-BE49-F238E27FC236}">
              <a16:creationId xmlns:a16="http://schemas.microsoft.com/office/drawing/2014/main" id="{0D3311D9-2DFA-4E48-A3E6-1B5BFF1E8220}"/>
            </a:ext>
          </a:extLst>
        </xdr:cNvPr>
        <xdr:cNvSpPr txBox="1"/>
      </xdr:nvSpPr>
      <xdr:spPr>
        <a:xfrm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8" name="TextBox 1978">
          <a:extLst>
            <a:ext uri="{FF2B5EF4-FFF2-40B4-BE49-F238E27FC236}">
              <a16:creationId xmlns:a16="http://schemas.microsoft.com/office/drawing/2014/main" id="{94080011-6603-4D81-BF7A-91462F5C8932}"/>
            </a:ext>
          </a:extLst>
        </xdr:cNvPr>
        <xdr:cNvSpPr txBox="1"/>
      </xdr:nvSpPr>
      <xdr:spPr>
        <a:xfrm>
          <a:off x="1909762" y="8924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69" name="TextBox 1979">
          <a:extLst>
            <a:ext uri="{FF2B5EF4-FFF2-40B4-BE49-F238E27FC236}">
              <a16:creationId xmlns:a16="http://schemas.microsoft.com/office/drawing/2014/main" id="{788DA6F0-ABD2-4CDC-A283-FBF892383F47}"/>
            </a:ext>
          </a:extLst>
        </xdr:cNvPr>
        <xdr:cNvSpPr txBox="1"/>
      </xdr:nvSpPr>
      <xdr:spPr>
        <a:xfrm>
          <a:off x="1909762" y="8924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0" name="TextBox 2">
          <a:extLst>
            <a:ext uri="{FF2B5EF4-FFF2-40B4-BE49-F238E27FC236}">
              <a16:creationId xmlns:a16="http://schemas.microsoft.com/office/drawing/2014/main" id="{8CFD4E16-25D6-4ED3-9DE1-5D2276843505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1" name="TextBox 4">
          <a:extLst>
            <a:ext uri="{FF2B5EF4-FFF2-40B4-BE49-F238E27FC236}">
              <a16:creationId xmlns:a16="http://schemas.microsoft.com/office/drawing/2014/main" id="{107FD057-82A0-4DC7-BFD4-D200D865AC71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2" name="TextBox 5">
          <a:extLst>
            <a:ext uri="{FF2B5EF4-FFF2-40B4-BE49-F238E27FC236}">
              <a16:creationId xmlns:a16="http://schemas.microsoft.com/office/drawing/2014/main" id="{3AE385DA-9136-4202-B1B4-C09F3F65C74B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3" name="TextBox 6">
          <a:extLst>
            <a:ext uri="{FF2B5EF4-FFF2-40B4-BE49-F238E27FC236}">
              <a16:creationId xmlns:a16="http://schemas.microsoft.com/office/drawing/2014/main" id="{5B5C935D-94EB-4674-B446-7504C7BE9BDF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4" name="TextBox 7">
          <a:extLst>
            <a:ext uri="{FF2B5EF4-FFF2-40B4-BE49-F238E27FC236}">
              <a16:creationId xmlns:a16="http://schemas.microsoft.com/office/drawing/2014/main" id="{A11FCE2A-A6D6-495B-B49C-8C08817A65B1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5" name="TextBox 8">
          <a:extLst>
            <a:ext uri="{FF2B5EF4-FFF2-40B4-BE49-F238E27FC236}">
              <a16:creationId xmlns:a16="http://schemas.microsoft.com/office/drawing/2014/main" id="{2E3BC824-A335-490C-8C1C-C1B93A89E3B1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6" name="TextBox 11">
          <a:extLst>
            <a:ext uri="{FF2B5EF4-FFF2-40B4-BE49-F238E27FC236}">
              <a16:creationId xmlns:a16="http://schemas.microsoft.com/office/drawing/2014/main" id="{471EB27B-0B6C-467F-9A20-76EC093CF18B}"/>
            </a:ext>
          </a:extLst>
        </xdr:cNvPr>
        <xdr:cNvSpPr txBox="1"/>
      </xdr:nvSpPr>
      <xdr:spPr>
        <a:xfrm>
          <a:off x="1909762" y="9705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7" name="TextBox 12">
          <a:extLst>
            <a:ext uri="{FF2B5EF4-FFF2-40B4-BE49-F238E27FC236}">
              <a16:creationId xmlns:a16="http://schemas.microsoft.com/office/drawing/2014/main" id="{8C943398-3FFB-4B66-B457-DDB419BB8D55}"/>
            </a:ext>
          </a:extLst>
        </xdr:cNvPr>
        <xdr:cNvSpPr txBox="1"/>
      </xdr:nvSpPr>
      <xdr:spPr>
        <a:xfrm>
          <a:off x="1909762" y="9705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8" name="TextBox 1988">
          <a:extLst>
            <a:ext uri="{FF2B5EF4-FFF2-40B4-BE49-F238E27FC236}">
              <a16:creationId xmlns:a16="http://schemas.microsoft.com/office/drawing/2014/main" id="{11588321-21EC-42EE-A4BF-E97BBB8E2167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79" name="TextBox 1989">
          <a:extLst>
            <a:ext uri="{FF2B5EF4-FFF2-40B4-BE49-F238E27FC236}">
              <a16:creationId xmlns:a16="http://schemas.microsoft.com/office/drawing/2014/main" id="{D5206A2E-E7A3-4071-84BC-F609A2CF8D07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0" name="TextBox 1">
          <a:extLst>
            <a:ext uri="{FF2B5EF4-FFF2-40B4-BE49-F238E27FC236}">
              <a16:creationId xmlns:a16="http://schemas.microsoft.com/office/drawing/2014/main" id="{8D1514DF-2C34-4D4A-B17E-D0CF8A6127A5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1" name="TextBox 3">
          <a:extLst>
            <a:ext uri="{FF2B5EF4-FFF2-40B4-BE49-F238E27FC236}">
              <a16:creationId xmlns:a16="http://schemas.microsoft.com/office/drawing/2014/main" id="{E1414326-4202-4995-9679-E609F9E07112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2" name="TextBox 1992">
          <a:extLst>
            <a:ext uri="{FF2B5EF4-FFF2-40B4-BE49-F238E27FC236}">
              <a16:creationId xmlns:a16="http://schemas.microsoft.com/office/drawing/2014/main" id="{D1BEA72F-142A-4635-99D1-BBA3DF7DDED1}"/>
            </a:ext>
          </a:extLst>
        </xdr:cNvPr>
        <xdr:cNvSpPr txBox="1"/>
      </xdr:nvSpPr>
      <xdr:spPr>
        <a:xfrm>
          <a:off x="1909762" y="4629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3" name="TextBox 1993">
          <a:extLst>
            <a:ext uri="{FF2B5EF4-FFF2-40B4-BE49-F238E27FC236}">
              <a16:creationId xmlns:a16="http://schemas.microsoft.com/office/drawing/2014/main" id="{6A3F3EEB-B432-445E-8AFA-311C3923B0D2}"/>
            </a:ext>
          </a:extLst>
        </xdr:cNvPr>
        <xdr:cNvSpPr txBox="1"/>
      </xdr:nvSpPr>
      <xdr:spPr>
        <a:xfrm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4" name="TextBox 1994">
          <a:extLst>
            <a:ext uri="{FF2B5EF4-FFF2-40B4-BE49-F238E27FC236}">
              <a16:creationId xmlns:a16="http://schemas.microsoft.com/office/drawing/2014/main" id="{6267F172-C659-4BD0-B10C-07608D62C633}"/>
            </a:ext>
          </a:extLst>
        </xdr:cNvPr>
        <xdr:cNvSpPr txBox="1"/>
      </xdr:nvSpPr>
      <xdr:spPr>
        <a:xfrm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5" name="TextBox 1995">
          <a:extLst>
            <a:ext uri="{FF2B5EF4-FFF2-40B4-BE49-F238E27FC236}">
              <a16:creationId xmlns:a16="http://schemas.microsoft.com/office/drawing/2014/main" id="{2CE6D135-FFFE-4601-A988-77F6A5B1263D}"/>
            </a:ext>
          </a:extLst>
        </xdr:cNvPr>
        <xdr:cNvSpPr txBox="1"/>
      </xdr:nvSpPr>
      <xdr:spPr>
        <a:xfrm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6" name="TextBox 2">
          <a:extLst>
            <a:ext uri="{FF2B5EF4-FFF2-40B4-BE49-F238E27FC236}">
              <a16:creationId xmlns:a16="http://schemas.microsoft.com/office/drawing/2014/main" id="{8C6AB8EC-045F-4B07-8DA9-FABEAE5AB615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7" name="TextBox 4">
          <a:extLst>
            <a:ext uri="{FF2B5EF4-FFF2-40B4-BE49-F238E27FC236}">
              <a16:creationId xmlns:a16="http://schemas.microsoft.com/office/drawing/2014/main" id="{C63C1C24-CE20-42B2-8894-422AACC368CB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8" name="TextBox 5">
          <a:extLst>
            <a:ext uri="{FF2B5EF4-FFF2-40B4-BE49-F238E27FC236}">
              <a16:creationId xmlns:a16="http://schemas.microsoft.com/office/drawing/2014/main" id="{33848D9E-6E87-4423-9BC0-E6C5448D5ACD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89" name="TextBox 6">
          <a:extLst>
            <a:ext uri="{FF2B5EF4-FFF2-40B4-BE49-F238E27FC236}">
              <a16:creationId xmlns:a16="http://schemas.microsoft.com/office/drawing/2014/main" id="{83710A43-6039-468F-A7E3-822302A176DE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0" name="TextBox 7">
          <a:extLst>
            <a:ext uri="{FF2B5EF4-FFF2-40B4-BE49-F238E27FC236}">
              <a16:creationId xmlns:a16="http://schemas.microsoft.com/office/drawing/2014/main" id="{6D9A38AB-EA48-4881-9F11-58637ECC79DB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1" name="TextBox 8">
          <a:extLst>
            <a:ext uri="{FF2B5EF4-FFF2-40B4-BE49-F238E27FC236}">
              <a16:creationId xmlns:a16="http://schemas.microsoft.com/office/drawing/2014/main" id="{353A9F24-C063-4391-9F0A-CB245D3B48AC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2" name="TextBox 11">
          <a:extLst>
            <a:ext uri="{FF2B5EF4-FFF2-40B4-BE49-F238E27FC236}">
              <a16:creationId xmlns:a16="http://schemas.microsoft.com/office/drawing/2014/main" id="{442ABA54-B062-421B-BF52-7C1C9E481B83}"/>
            </a:ext>
          </a:extLst>
        </xdr:cNvPr>
        <xdr:cNvSpPr txBox="1"/>
      </xdr:nvSpPr>
      <xdr:spPr>
        <a:xfrm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3" name="TextBox 12">
          <a:extLst>
            <a:ext uri="{FF2B5EF4-FFF2-40B4-BE49-F238E27FC236}">
              <a16:creationId xmlns:a16="http://schemas.microsoft.com/office/drawing/2014/main" id="{00274A2D-EBB4-4F15-B6DF-FD0F387C156D}"/>
            </a:ext>
          </a:extLst>
        </xdr:cNvPr>
        <xdr:cNvSpPr txBox="1"/>
      </xdr:nvSpPr>
      <xdr:spPr>
        <a:xfrm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4" name="TextBox 2004">
          <a:extLst>
            <a:ext uri="{FF2B5EF4-FFF2-40B4-BE49-F238E27FC236}">
              <a16:creationId xmlns:a16="http://schemas.microsoft.com/office/drawing/2014/main" id="{F4506323-55C0-4BED-9A50-C674703B617B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5" name="TextBox 2005">
          <a:extLst>
            <a:ext uri="{FF2B5EF4-FFF2-40B4-BE49-F238E27FC236}">
              <a16:creationId xmlns:a16="http://schemas.microsoft.com/office/drawing/2014/main" id="{479ED36B-C22B-438E-A99C-EEFCC69A76C8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6" name="TextBox 1">
          <a:extLst>
            <a:ext uri="{FF2B5EF4-FFF2-40B4-BE49-F238E27FC236}">
              <a16:creationId xmlns:a16="http://schemas.microsoft.com/office/drawing/2014/main" id="{A3BF1303-792B-4E29-9C00-7EE24CB4C21C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7" name="TextBox 3">
          <a:extLst>
            <a:ext uri="{FF2B5EF4-FFF2-40B4-BE49-F238E27FC236}">
              <a16:creationId xmlns:a16="http://schemas.microsoft.com/office/drawing/2014/main" id="{9AB6C496-97D4-4990-B35F-79C29A39C816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8" name="TextBox 2008">
          <a:extLst>
            <a:ext uri="{FF2B5EF4-FFF2-40B4-BE49-F238E27FC236}">
              <a16:creationId xmlns:a16="http://schemas.microsoft.com/office/drawing/2014/main" id="{57F4A8FB-B8F4-41B9-B525-7CC67467B14D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399" name="TextBox 2009">
          <a:extLst>
            <a:ext uri="{FF2B5EF4-FFF2-40B4-BE49-F238E27FC236}">
              <a16:creationId xmlns:a16="http://schemas.microsoft.com/office/drawing/2014/main" id="{AD130B68-C24A-4095-B76A-EDFE152711DC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0" name="TextBox 2010">
          <a:extLst>
            <a:ext uri="{FF2B5EF4-FFF2-40B4-BE49-F238E27FC236}">
              <a16:creationId xmlns:a16="http://schemas.microsoft.com/office/drawing/2014/main" id="{827EF42C-73E3-4310-B3B9-54A213773090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1" name="TextBox 2011">
          <a:extLst>
            <a:ext uri="{FF2B5EF4-FFF2-40B4-BE49-F238E27FC236}">
              <a16:creationId xmlns:a16="http://schemas.microsoft.com/office/drawing/2014/main" id="{30209E9C-4F3D-4E83-8C71-F09A9A4DB00C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2" name="TextBox 15">
          <a:extLst>
            <a:ext uri="{FF2B5EF4-FFF2-40B4-BE49-F238E27FC236}">
              <a16:creationId xmlns:a16="http://schemas.microsoft.com/office/drawing/2014/main" id="{FBE088B5-F9BD-4E3A-9DA5-7360DFDF939E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3" name="TextBox 16">
          <a:extLst>
            <a:ext uri="{FF2B5EF4-FFF2-40B4-BE49-F238E27FC236}">
              <a16:creationId xmlns:a16="http://schemas.microsoft.com/office/drawing/2014/main" id="{30FD88CE-9170-4276-BD1A-02A8096AF61D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4" name="TextBox 17">
          <a:extLst>
            <a:ext uri="{FF2B5EF4-FFF2-40B4-BE49-F238E27FC236}">
              <a16:creationId xmlns:a16="http://schemas.microsoft.com/office/drawing/2014/main" id="{D0511EA2-AD87-49D8-A64F-7965727EC13B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5" name="TextBox 18">
          <a:extLst>
            <a:ext uri="{FF2B5EF4-FFF2-40B4-BE49-F238E27FC236}">
              <a16:creationId xmlns:a16="http://schemas.microsoft.com/office/drawing/2014/main" id="{54175DA9-7CA9-4E90-B8DF-5F8F80C60F27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6" name="TextBox 2016">
          <a:extLst>
            <a:ext uri="{FF2B5EF4-FFF2-40B4-BE49-F238E27FC236}">
              <a16:creationId xmlns:a16="http://schemas.microsoft.com/office/drawing/2014/main" id="{541D044B-CC74-43D2-8D70-AADE90CF5B76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7" name="TextBox 2017">
          <a:extLst>
            <a:ext uri="{FF2B5EF4-FFF2-40B4-BE49-F238E27FC236}">
              <a16:creationId xmlns:a16="http://schemas.microsoft.com/office/drawing/2014/main" id="{978B112C-AD84-45F2-A74A-9931669B4D18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8" name="TextBox 1">
          <a:extLst>
            <a:ext uri="{FF2B5EF4-FFF2-40B4-BE49-F238E27FC236}">
              <a16:creationId xmlns:a16="http://schemas.microsoft.com/office/drawing/2014/main" id="{5E296C79-7619-4F25-9C17-24FFC04AB1D4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09" name="TextBox 3">
          <a:extLst>
            <a:ext uri="{FF2B5EF4-FFF2-40B4-BE49-F238E27FC236}">
              <a16:creationId xmlns:a16="http://schemas.microsoft.com/office/drawing/2014/main" id="{725E5AA5-ACA3-402B-9355-A72331179387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0" name="TextBox 2020">
          <a:extLst>
            <a:ext uri="{FF2B5EF4-FFF2-40B4-BE49-F238E27FC236}">
              <a16:creationId xmlns:a16="http://schemas.microsoft.com/office/drawing/2014/main" id="{CDAC41FC-3641-4AFC-9EA9-FAE26B36707A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1" name="TextBox 2021">
          <a:extLst>
            <a:ext uri="{FF2B5EF4-FFF2-40B4-BE49-F238E27FC236}">
              <a16:creationId xmlns:a16="http://schemas.microsoft.com/office/drawing/2014/main" id="{2F1BDF38-2F7F-4C79-8B2D-C264043CA604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2" name="TextBox 2022">
          <a:extLst>
            <a:ext uri="{FF2B5EF4-FFF2-40B4-BE49-F238E27FC236}">
              <a16:creationId xmlns:a16="http://schemas.microsoft.com/office/drawing/2014/main" id="{4E0ED0B7-2D91-47FD-A63C-2309F5E1304D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3" name="TextBox 2023">
          <a:extLst>
            <a:ext uri="{FF2B5EF4-FFF2-40B4-BE49-F238E27FC236}">
              <a16:creationId xmlns:a16="http://schemas.microsoft.com/office/drawing/2014/main" id="{A783800D-E7CB-43A4-A079-C4884B0B624C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4" name="TextBox 2024">
          <a:extLst>
            <a:ext uri="{FF2B5EF4-FFF2-40B4-BE49-F238E27FC236}">
              <a16:creationId xmlns:a16="http://schemas.microsoft.com/office/drawing/2014/main" id="{21DF877D-5760-40C6-917A-CD9F27DC4B13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5" name="TextBox 2025">
          <a:extLst>
            <a:ext uri="{FF2B5EF4-FFF2-40B4-BE49-F238E27FC236}">
              <a16:creationId xmlns:a16="http://schemas.microsoft.com/office/drawing/2014/main" id="{071513A0-90AB-4941-B13E-833BCF1C77BD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6" name="TextBox 2026">
          <a:extLst>
            <a:ext uri="{FF2B5EF4-FFF2-40B4-BE49-F238E27FC236}">
              <a16:creationId xmlns:a16="http://schemas.microsoft.com/office/drawing/2014/main" id="{4285C0D2-2DC0-41EF-93C5-A7D43317CB76}"/>
            </a:ext>
          </a:extLst>
        </xdr:cNvPr>
        <xdr:cNvSpPr txBox="1"/>
      </xdr:nvSpPr>
      <xdr:spPr>
        <a:xfrm>
          <a:off x="1909762" y="4629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7" name="TextBox 2027">
          <a:extLst>
            <a:ext uri="{FF2B5EF4-FFF2-40B4-BE49-F238E27FC236}">
              <a16:creationId xmlns:a16="http://schemas.microsoft.com/office/drawing/2014/main" id="{34CEC1AA-AD6E-4A95-A58E-DC45FC9C0883}"/>
            </a:ext>
          </a:extLst>
        </xdr:cNvPr>
        <xdr:cNvSpPr txBox="1"/>
      </xdr:nvSpPr>
      <xdr:spPr>
        <a:xfrm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8" name="TextBox 2028">
          <a:extLst>
            <a:ext uri="{FF2B5EF4-FFF2-40B4-BE49-F238E27FC236}">
              <a16:creationId xmlns:a16="http://schemas.microsoft.com/office/drawing/2014/main" id="{E67F1A58-6A10-488B-ABDF-ADAEE9BAB916}"/>
            </a:ext>
          </a:extLst>
        </xdr:cNvPr>
        <xdr:cNvSpPr txBox="1"/>
      </xdr:nvSpPr>
      <xdr:spPr>
        <a:xfrm>
          <a:off x="1909762" y="4629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19" name="TextBox 2029">
          <a:extLst>
            <a:ext uri="{FF2B5EF4-FFF2-40B4-BE49-F238E27FC236}">
              <a16:creationId xmlns:a16="http://schemas.microsoft.com/office/drawing/2014/main" id="{0D92E6BB-FD1D-41C1-B24A-1E8F1769B736}"/>
            </a:ext>
          </a:extLst>
        </xdr:cNvPr>
        <xdr:cNvSpPr txBox="1"/>
      </xdr:nvSpPr>
      <xdr:spPr>
        <a:xfrm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0" name="TextBox 2030">
          <a:extLst>
            <a:ext uri="{FF2B5EF4-FFF2-40B4-BE49-F238E27FC236}">
              <a16:creationId xmlns:a16="http://schemas.microsoft.com/office/drawing/2014/main" id="{B6DCCA1F-B35E-4C37-8043-9D30E2E036C4}"/>
            </a:ext>
          </a:extLst>
        </xdr:cNvPr>
        <xdr:cNvSpPr txBox="1"/>
      </xdr:nvSpPr>
      <xdr:spPr>
        <a:xfrm>
          <a:off x="1909762" y="8924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1" name="TextBox 2031">
          <a:extLst>
            <a:ext uri="{FF2B5EF4-FFF2-40B4-BE49-F238E27FC236}">
              <a16:creationId xmlns:a16="http://schemas.microsoft.com/office/drawing/2014/main" id="{FE842512-988E-4036-889C-55B53768D238}"/>
            </a:ext>
          </a:extLst>
        </xdr:cNvPr>
        <xdr:cNvSpPr txBox="1"/>
      </xdr:nvSpPr>
      <xdr:spPr>
        <a:xfrm>
          <a:off x="1909762" y="8924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2" name="TextBox 2">
          <a:extLst>
            <a:ext uri="{FF2B5EF4-FFF2-40B4-BE49-F238E27FC236}">
              <a16:creationId xmlns:a16="http://schemas.microsoft.com/office/drawing/2014/main" id="{A4104206-37CF-40A0-AFE5-C0AC78A57E8A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3" name="TextBox 4">
          <a:extLst>
            <a:ext uri="{FF2B5EF4-FFF2-40B4-BE49-F238E27FC236}">
              <a16:creationId xmlns:a16="http://schemas.microsoft.com/office/drawing/2014/main" id="{5BC2E7B4-0915-4842-B8F0-5CA1F0C57C6A}"/>
            </a:ext>
          </a:extLst>
        </xdr:cNvPr>
        <xdr:cNvSpPr txBox="1"/>
      </xdr:nvSpPr>
      <xdr:spPr>
        <a:xfrm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4" name="TextBox 5">
          <a:extLst>
            <a:ext uri="{FF2B5EF4-FFF2-40B4-BE49-F238E27FC236}">
              <a16:creationId xmlns:a16="http://schemas.microsoft.com/office/drawing/2014/main" id="{EE9691A6-0FF3-404D-B5D5-8339CEC6559F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5" name="TextBox 6">
          <a:extLst>
            <a:ext uri="{FF2B5EF4-FFF2-40B4-BE49-F238E27FC236}">
              <a16:creationId xmlns:a16="http://schemas.microsoft.com/office/drawing/2014/main" id="{22C2386B-45F2-4E28-8187-D5EE2F050BB2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6" name="TextBox 7">
          <a:extLst>
            <a:ext uri="{FF2B5EF4-FFF2-40B4-BE49-F238E27FC236}">
              <a16:creationId xmlns:a16="http://schemas.microsoft.com/office/drawing/2014/main" id="{A283CD22-95A0-4BD9-A8C6-B95515BDB8B5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7" name="TextBox 8">
          <a:extLst>
            <a:ext uri="{FF2B5EF4-FFF2-40B4-BE49-F238E27FC236}">
              <a16:creationId xmlns:a16="http://schemas.microsoft.com/office/drawing/2014/main" id="{75A32B5D-5445-4C85-B94C-CE779039A1BC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8" name="TextBox 11">
          <a:extLst>
            <a:ext uri="{FF2B5EF4-FFF2-40B4-BE49-F238E27FC236}">
              <a16:creationId xmlns:a16="http://schemas.microsoft.com/office/drawing/2014/main" id="{AF915738-D2AF-4737-8497-ED655A593A53}"/>
            </a:ext>
          </a:extLst>
        </xdr:cNvPr>
        <xdr:cNvSpPr txBox="1"/>
      </xdr:nvSpPr>
      <xdr:spPr>
        <a:xfrm>
          <a:off x="1909762" y="9705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29" name="TextBox 12">
          <a:extLst>
            <a:ext uri="{FF2B5EF4-FFF2-40B4-BE49-F238E27FC236}">
              <a16:creationId xmlns:a16="http://schemas.microsoft.com/office/drawing/2014/main" id="{22FB1A33-60F3-460F-9FC4-EB2F57DD15E2}"/>
            </a:ext>
          </a:extLst>
        </xdr:cNvPr>
        <xdr:cNvSpPr txBox="1"/>
      </xdr:nvSpPr>
      <xdr:spPr>
        <a:xfrm>
          <a:off x="1909762" y="9705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0" name="TextBox 2040">
          <a:extLst>
            <a:ext uri="{FF2B5EF4-FFF2-40B4-BE49-F238E27FC236}">
              <a16:creationId xmlns:a16="http://schemas.microsoft.com/office/drawing/2014/main" id="{F061B94C-0546-439E-AB36-8EC9F4F76313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1" name="TextBox 2041">
          <a:extLst>
            <a:ext uri="{FF2B5EF4-FFF2-40B4-BE49-F238E27FC236}">
              <a16:creationId xmlns:a16="http://schemas.microsoft.com/office/drawing/2014/main" id="{4FE9AE9D-C4DD-464B-948C-8B549700775A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2" name="TextBox 1">
          <a:extLst>
            <a:ext uri="{FF2B5EF4-FFF2-40B4-BE49-F238E27FC236}">
              <a16:creationId xmlns:a16="http://schemas.microsoft.com/office/drawing/2014/main" id="{46DF0E8D-46E4-4EC9-9DCE-43F59950A336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3" name="TextBox 3">
          <a:extLst>
            <a:ext uri="{FF2B5EF4-FFF2-40B4-BE49-F238E27FC236}">
              <a16:creationId xmlns:a16="http://schemas.microsoft.com/office/drawing/2014/main" id="{B15D824F-1935-4D72-84B3-69AD7CE5F6A8}"/>
            </a:ext>
          </a:extLst>
        </xdr:cNvPr>
        <xdr:cNvSpPr txBox="1"/>
      </xdr:nvSpPr>
      <xdr:spPr>
        <a:xfrm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4" name="TextBox 2044">
          <a:extLst>
            <a:ext uri="{FF2B5EF4-FFF2-40B4-BE49-F238E27FC236}">
              <a16:creationId xmlns:a16="http://schemas.microsoft.com/office/drawing/2014/main" id="{9A8ADB91-F225-48D4-B706-C4FEA3F42F1B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5" name="TextBox 2045">
          <a:extLst>
            <a:ext uri="{FF2B5EF4-FFF2-40B4-BE49-F238E27FC236}">
              <a16:creationId xmlns:a16="http://schemas.microsoft.com/office/drawing/2014/main" id="{98B3267F-1BC8-45D2-889D-97CBD695D360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6" name="TextBox 2046">
          <a:extLst>
            <a:ext uri="{FF2B5EF4-FFF2-40B4-BE49-F238E27FC236}">
              <a16:creationId xmlns:a16="http://schemas.microsoft.com/office/drawing/2014/main" id="{31D1F320-CF32-4129-8CEE-154061A139A5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7" name="TextBox 2047">
          <a:extLst>
            <a:ext uri="{FF2B5EF4-FFF2-40B4-BE49-F238E27FC236}">
              <a16:creationId xmlns:a16="http://schemas.microsoft.com/office/drawing/2014/main" id="{A7071D2F-2A50-468F-B6D2-158397CCDF57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8" name="TextBox 13">
          <a:extLst>
            <a:ext uri="{FF2B5EF4-FFF2-40B4-BE49-F238E27FC236}">
              <a16:creationId xmlns:a16="http://schemas.microsoft.com/office/drawing/2014/main" id="{85F4C9B9-6D35-4D08-8A49-56FACDB3BA7E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39" name="TextBox 14">
          <a:extLst>
            <a:ext uri="{FF2B5EF4-FFF2-40B4-BE49-F238E27FC236}">
              <a16:creationId xmlns:a16="http://schemas.microsoft.com/office/drawing/2014/main" id="{18F0122F-153C-40A2-9898-16DB8A3BC822}"/>
            </a:ext>
          </a:extLst>
        </xdr:cNvPr>
        <xdr:cNvSpPr txBox="1"/>
      </xdr:nvSpPr>
      <xdr:spPr>
        <a:xfrm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0" name="TextBox 2050">
          <a:extLst>
            <a:ext uri="{FF2B5EF4-FFF2-40B4-BE49-F238E27FC236}">
              <a16:creationId xmlns:a16="http://schemas.microsoft.com/office/drawing/2014/main" id="{F92EC4EA-062F-4ABE-907A-92BDA554185A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1" name="TextBox 2051">
          <a:extLst>
            <a:ext uri="{FF2B5EF4-FFF2-40B4-BE49-F238E27FC236}">
              <a16:creationId xmlns:a16="http://schemas.microsoft.com/office/drawing/2014/main" id="{45794297-760A-4FC6-9278-62F9FE63B5D9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2" name="TextBox 2052">
          <a:extLst>
            <a:ext uri="{FF2B5EF4-FFF2-40B4-BE49-F238E27FC236}">
              <a16:creationId xmlns:a16="http://schemas.microsoft.com/office/drawing/2014/main" id="{A6778564-D38D-43E3-966B-7E606EEE18FF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3" name="TextBox 2053">
          <a:extLst>
            <a:ext uri="{FF2B5EF4-FFF2-40B4-BE49-F238E27FC236}">
              <a16:creationId xmlns:a16="http://schemas.microsoft.com/office/drawing/2014/main" id="{A3AA1B44-5488-465F-AA5C-F8D3FF08431A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4" name="TextBox 13">
          <a:extLst>
            <a:ext uri="{FF2B5EF4-FFF2-40B4-BE49-F238E27FC236}">
              <a16:creationId xmlns:a16="http://schemas.microsoft.com/office/drawing/2014/main" id="{33F58B55-6E40-4A2A-A373-BAE7BE3E9735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5" name="TextBox 14">
          <a:extLst>
            <a:ext uri="{FF2B5EF4-FFF2-40B4-BE49-F238E27FC236}">
              <a16:creationId xmlns:a16="http://schemas.microsoft.com/office/drawing/2014/main" id="{8F0A975F-D23B-46AB-902B-78D768792C1C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6" name="TextBox 2056">
          <a:extLst>
            <a:ext uri="{FF2B5EF4-FFF2-40B4-BE49-F238E27FC236}">
              <a16:creationId xmlns:a16="http://schemas.microsoft.com/office/drawing/2014/main" id="{826E2171-09FD-4C06-B4B9-4DA3B68F9F22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7" name="TextBox 2057">
          <a:extLst>
            <a:ext uri="{FF2B5EF4-FFF2-40B4-BE49-F238E27FC236}">
              <a16:creationId xmlns:a16="http://schemas.microsoft.com/office/drawing/2014/main" id="{F449D861-0368-449D-8997-AE0114AA1AD4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8" name="TextBox 2058">
          <a:extLst>
            <a:ext uri="{FF2B5EF4-FFF2-40B4-BE49-F238E27FC236}">
              <a16:creationId xmlns:a16="http://schemas.microsoft.com/office/drawing/2014/main" id="{92E899F1-A038-49D8-9240-A413392AEE17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49" name="TextBox 2059">
          <a:extLst>
            <a:ext uri="{FF2B5EF4-FFF2-40B4-BE49-F238E27FC236}">
              <a16:creationId xmlns:a16="http://schemas.microsoft.com/office/drawing/2014/main" id="{1489508D-75DA-4625-8A44-549B139E91B6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0" name="TextBox 13">
          <a:extLst>
            <a:ext uri="{FF2B5EF4-FFF2-40B4-BE49-F238E27FC236}">
              <a16:creationId xmlns:a16="http://schemas.microsoft.com/office/drawing/2014/main" id="{35717E54-BEF6-48EE-A25B-43F17E72D7B1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1" name="TextBox 14">
          <a:extLst>
            <a:ext uri="{FF2B5EF4-FFF2-40B4-BE49-F238E27FC236}">
              <a16:creationId xmlns:a16="http://schemas.microsoft.com/office/drawing/2014/main" id="{404A16AF-C5C2-4DA7-BC9D-83ECC88483F0}"/>
            </a:ext>
          </a:extLst>
        </xdr:cNvPr>
        <xdr:cNvSpPr txBox="1"/>
      </xdr:nvSpPr>
      <xdr:spPr>
        <a:xfrm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2" name="TextBox 2062">
          <a:extLst>
            <a:ext uri="{FF2B5EF4-FFF2-40B4-BE49-F238E27FC236}">
              <a16:creationId xmlns:a16="http://schemas.microsoft.com/office/drawing/2014/main" id="{2F9077FF-0732-408F-83AD-0097008359A2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3" name="TextBox 2063">
          <a:extLst>
            <a:ext uri="{FF2B5EF4-FFF2-40B4-BE49-F238E27FC236}">
              <a16:creationId xmlns:a16="http://schemas.microsoft.com/office/drawing/2014/main" id="{35CF5F29-3CAD-40CF-9FF4-C99876C7D59E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4" name="TextBox 2064">
          <a:extLst>
            <a:ext uri="{FF2B5EF4-FFF2-40B4-BE49-F238E27FC236}">
              <a16:creationId xmlns:a16="http://schemas.microsoft.com/office/drawing/2014/main" id="{8B535C3F-9F05-4FBC-B448-2ACACACB10CD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5" name="TextBox 2065">
          <a:extLst>
            <a:ext uri="{FF2B5EF4-FFF2-40B4-BE49-F238E27FC236}">
              <a16:creationId xmlns:a16="http://schemas.microsoft.com/office/drawing/2014/main" id="{1C6476B5-8918-4EEA-831F-3EFA0E7517DA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6" name="TextBox 13">
          <a:extLst>
            <a:ext uri="{FF2B5EF4-FFF2-40B4-BE49-F238E27FC236}">
              <a16:creationId xmlns:a16="http://schemas.microsoft.com/office/drawing/2014/main" id="{EEA53DE0-585E-44BB-93EA-3336CC387316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7" name="TextBox 14">
          <a:extLst>
            <a:ext uri="{FF2B5EF4-FFF2-40B4-BE49-F238E27FC236}">
              <a16:creationId xmlns:a16="http://schemas.microsoft.com/office/drawing/2014/main" id="{22C5DA42-1F01-4A4A-AA71-693896112B87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8" name="TextBox 2068">
          <a:extLst>
            <a:ext uri="{FF2B5EF4-FFF2-40B4-BE49-F238E27FC236}">
              <a16:creationId xmlns:a16="http://schemas.microsoft.com/office/drawing/2014/main" id="{EB95FE15-75BC-4557-AEF4-3D08DE7ED78A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59" name="TextBox 2069">
          <a:extLst>
            <a:ext uri="{FF2B5EF4-FFF2-40B4-BE49-F238E27FC236}">
              <a16:creationId xmlns:a16="http://schemas.microsoft.com/office/drawing/2014/main" id="{1B1361F6-C274-4E3B-BD5B-57D5CB880BB4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0" name="TextBox 2070">
          <a:extLst>
            <a:ext uri="{FF2B5EF4-FFF2-40B4-BE49-F238E27FC236}">
              <a16:creationId xmlns:a16="http://schemas.microsoft.com/office/drawing/2014/main" id="{24DE7DDB-5EBF-4616-A93C-DB911A3D0A01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1" name="TextBox 2071">
          <a:extLst>
            <a:ext uri="{FF2B5EF4-FFF2-40B4-BE49-F238E27FC236}">
              <a16:creationId xmlns:a16="http://schemas.microsoft.com/office/drawing/2014/main" id="{A150B6F7-2238-4349-ADAB-E9CA3C8B42E3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2" name="TextBox 13">
          <a:extLst>
            <a:ext uri="{FF2B5EF4-FFF2-40B4-BE49-F238E27FC236}">
              <a16:creationId xmlns:a16="http://schemas.microsoft.com/office/drawing/2014/main" id="{2189FF3F-6CCF-4BE7-BA49-6C2598E61EDE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3" name="TextBox 14">
          <a:extLst>
            <a:ext uri="{FF2B5EF4-FFF2-40B4-BE49-F238E27FC236}">
              <a16:creationId xmlns:a16="http://schemas.microsoft.com/office/drawing/2014/main" id="{DDEC3B10-3D89-4E60-B32C-F5370A87B736}"/>
            </a:ext>
          </a:extLst>
        </xdr:cNvPr>
        <xdr:cNvSpPr txBox="1"/>
      </xdr:nvSpPr>
      <xdr:spPr>
        <a:xfrm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4" name="TextBox 15">
          <a:extLst>
            <a:ext uri="{FF2B5EF4-FFF2-40B4-BE49-F238E27FC236}">
              <a16:creationId xmlns:a16="http://schemas.microsoft.com/office/drawing/2014/main" id="{D4DEFEC4-6D21-4DD2-A6A2-EAE4365AC0B1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5" name="TextBox 16">
          <a:extLst>
            <a:ext uri="{FF2B5EF4-FFF2-40B4-BE49-F238E27FC236}">
              <a16:creationId xmlns:a16="http://schemas.microsoft.com/office/drawing/2014/main" id="{715FCD10-7723-4631-8C49-04882A7FEC89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6" name="TextBox 17">
          <a:extLst>
            <a:ext uri="{FF2B5EF4-FFF2-40B4-BE49-F238E27FC236}">
              <a16:creationId xmlns:a16="http://schemas.microsoft.com/office/drawing/2014/main" id="{166F059E-C289-4068-8E23-6E717DA79557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7" name="TextBox 18">
          <a:extLst>
            <a:ext uri="{FF2B5EF4-FFF2-40B4-BE49-F238E27FC236}">
              <a16:creationId xmlns:a16="http://schemas.microsoft.com/office/drawing/2014/main" id="{3D9D9669-8A18-4A71-A884-DF09868C5CE0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8" name="TextBox 15">
          <a:extLst>
            <a:ext uri="{FF2B5EF4-FFF2-40B4-BE49-F238E27FC236}">
              <a16:creationId xmlns:a16="http://schemas.microsoft.com/office/drawing/2014/main" id="{3664225A-8D51-4A5C-B82A-6AB8454BCFF2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69" name="TextBox 16">
          <a:extLst>
            <a:ext uri="{FF2B5EF4-FFF2-40B4-BE49-F238E27FC236}">
              <a16:creationId xmlns:a16="http://schemas.microsoft.com/office/drawing/2014/main" id="{2C4B8786-E6A3-4707-BA0F-CBBEB83CC5A4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0" name="TextBox 17">
          <a:extLst>
            <a:ext uri="{FF2B5EF4-FFF2-40B4-BE49-F238E27FC236}">
              <a16:creationId xmlns:a16="http://schemas.microsoft.com/office/drawing/2014/main" id="{1C3D1710-2549-4DF3-AFF7-0B919B29674D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1" name="TextBox 18">
          <a:extLst>
            <a:ext uri="{FF2B5EF4-FFF2-40B4-BE49-F238E27FC236}">
              <a16:creationId xmlns:a16="http://schemas.microsoft.com/office/drawing/2014/main" id="{F049E5DF-76C9-4E06-B772-85DB9144C59A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2" name="TextBox 2082">
          <a:extLst>
            <a:ext uri="{FF2B5EF4-FFF2-40B4-BE49-F238E27FC236}">
              <a16:creationId xmlns:a16="http://schemas.microsoft.com/office/drawing/2014/main" id="{E16DFFA0-EFA5-4213-8C95-C565C7DC8344}"/>
            </a:ext>
          </a:extLst>
        </xdr:cNvPr>
        <xdr:cNvSpPr txBox="1"/>
      </xdr:nvSpPr>
      <xdr:spPr>
        <a:xfrm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3" name="TextBox 2083">
          <a:extLst>
            <a:ext uri="{FF2B5EF4-FFF2-40B4-BE49-F238E27FC236}">
              <a16:creationId xmlns:a16="http://schemas.microsoft.com/office/drawing/2014/main" id="{87DE5297-B81C-4D54-BF0A-81AAF33302E1}"/>
            </a:ext>
          </a:extLst>
        </xdr:cNvPr>
        <xdr:cNvSpPr txBox="1"/>
      </xdr:nvSpPr>
      <xdr:spPr>
        <a:xfrm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4" name="TextBox 15">
          <a:extLst>
            <a:ext uri="{FF2B5EF4-FFF2-40B4-BE49-F238E27FC236}">
              <a16:creationId xmlns:a16="http://schemas.microsoft.com/office/drawing/2014/main" id="{97BC6E6A-EBC9-4AB1-9D74-E89763B1BF29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5" name="TextBox 16">
          <a:extLst>
            <a:ext uri="{FF2B5EF4-FFF2-40B4-BE49-F238E27FC236}">
              <a16:creationId xmlns:a16="http://schemas.microsoft.com/office/drawing/2014/main" id="{918BB7FC-D923-4CAD-A08D-8F728BA202BD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6" name="TextBox 17">
          <a:extLst>
            <a:ext uri="{FF2B5EF4-FFF2-40B4-BE49-F238E27FC236}">
              <a16:creationId xmlns:a16="http://schemas.microsoft.com/office/drawing/2014/main" id="{977FD45E-D6E6-4258-990C-E97F52E8A2D7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7" name="TextBox 18">
          <a:extLst>
            <a:ext uri="{FF2B5EF4-FFF2-40B4-BE49-F238E27FC236}">
              <a16:creationId xmlns:a16="http://schemas.microsoft.com/office/drawing/2014/main" id="{8C488E83-C2DF-4F3D-A5A6-86B59C2F227E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8" name="TextBox 15">
          <a:extLst>
            <a:ext uri="{FF2B5EF4-FFF2-40B4-BE49-F238E27FC236}">
              <a16:creationId xmlns:a16="http://schemas.microsoft.com/office/drawing/2014/main" id="{9B1CD4E3-A21C-4DFA-A76C-5F4A132FBF7D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79" name="TextBox 16">
          <a:extLst>
            <a:ext uri="{FF2B5EF4-FFF2-40B4-BE49-F238E27FC236}">
              <a16:creationId xmlns:a16="http://schemas.microsoft.com/office/drawing/2014/main" id="{FB187E55-1CB9-4CE2-BB34-DEDDE6B6374D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0" name="TextBox 17">
          <a:extLst>
            <a:ext uri="{FF2B5EF4-FFF2-40B4-BE49-F238E27FC236}">
              <a16:creationId xmlns:a16="http://schemas.microsoft.com/office/drawing/2014/main" id="{1AB59E4F-4DEA-4AD4-930A-87A2CE60D52E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1" name="TextBox 18">
          <a:extLst>
            <a:ext uri="{FF2B5EF4-FFF2-40B4-BE49-F238E27FC236}">
              <a16:creationId xmlns:a16="http://schemas.microsoft.com/office/drawing/2014/main" id="{F6D314A2-C04C-4C1A-9081-F42457674314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2" name="TextBox 2092">
          <a:extLst>
            <a:ext uri="{FF2B5EF4-FFF2-40B4-BE49-F238E27FC236}">
              <a16:creationId xmlns:a16="http://schemas.microsoft.com/office/drawing/2014/main" id="{B8886233-68AC-48B5-BCF9-B24F06A16241}"/>
            </a:ext>
          </a:extLst>
        </xdr:cNvPr>
        <xdr:cNvSpPr txBox="1"/>
      </xdr:nvSpPr>
      <xdr:spPr>
        <a:xfrm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3" name="TextBox 2093">
          <a:extLst>
            <a:ext uri="{FF2B5EF4-FFF2-40B4-BE49-F238E27FC236}">
              <a16:creationId xmlns:a16="http://schemas.microsoft.com/office/drawing/2014/main" id="{4D36BBB8-CE68-46CD-A59A-C42AE88D3F0B}"/>
            </a:ext>
          </a:extLst>
        </xdr:cNvPr>
        <xdr:cNvSpPr txBox="1"/>
      </xdr:nvSpPr>
      <xdr:spPr>
        <a:xfrm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4" name="TextBox 2094">
          <a:extLst>
            <a:ext uri="{FF2B5EF4-FFF2-40B4-BE49-F238E27FC236}">
              <a16:creationId xmlns:a16="http://schemas.microsoft.com/office/drawing/2014/main" id="{A17EEAA6-4983-4259-80CD-4AF7076D25E5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5" name="TextBox 2095">
          <a:extLst>
            <a:ext uri="{FF2B5EF4-FFF2-40B4-BE49-F238E27FC236}">
              <a16:creationId xmlns:a16="http://schemas.microsoft.com/office/drawing/2014/main" id="{1E261C56-2BF5-4C48-ACAF-740D8D22D0DF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6" name="TextBox 1">
          <a:extLst>
            <a:ext uri="{FF2B5EF4-FFF2-40B4-BE49-F238E27FC236}">
              <a16:creationId xmlns:a16="http://schemas.microsoft.com/office/drawing/2014/main" id="{2347460A-B95B-4341-B0C0-2C20D2591A15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7" name="TextBox 3">
          <a:extLst>
            <a:ext uri="{FF2B5EF4-FFF2-40B4-BE49-F238E27FC236}">
              <a16:creationId xmlns:a16="http://schemas.microsoft.com/office/drawing/2014/main" id="{53AA01B7-0072-451C-9E1D-EE5AB9D55425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8" name="TextBox 2098">
          <a:extLst>
            <a:ext uri="{FF2B5EF4-FFF2-40B4-BE49-F238E27FC236}">
              <a16:creationId xmlns:a16="http://schemas.microsoft.com/office/drawing/2014/main" id="{B7C1617C-F035-4297-BDDF-F56890F16E5E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89" name="TextBox 2099">
          <a:extLst>
            <a:ext uri="{FF2B5EF4-FFF2-40B4-BE49-F238E27FC236}">
              <a16:creationId xmlns:a16="http://schemas.microsoft.com/office/drawing/2014/main" id="{0E8BF0E1-1B5E-4BC0-9A6B-0559B28DB535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0" name="TextBox 2100">
          <a:extLst>
            <a:ext uri="{FF2B5EF4-FFF2-40B4-BE49-F238E27FC236}">
              <a16:creationId xmlns:a16="http://schemas.microsoft.com/office/drawing/2014/main" id="{28DDE535-86CC-4297-9BF4-726F4BB93E97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1" name="TextBox 2101">
          <a:extLst>
            <a:ext uri="{FF2B5EF4-FFF2-40B4-BE49-F238E27FC236}">
              <a16:creationId xmlns:a16="http://schemas.microsoft.com/office/drawing/2014/main" id="{2A8F9425-0342-4285-A7EA-F83E2D2A5B83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2" name="TextBox 2102">
          <a:extLst>
            <a:ext uri="{FF2B5EF4-FFF2-40B4-BE49-F238E27FC236}">
              <a16:creationId xmlns:a16="http://schemas.microsoft.com/office/drawing/2014/main" id="{44E6535E-1840-4EA0-B527-AD839641217B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3" name="TextBox 2103">
          <a:extLst>
            <a:ext uri="{FF2B5EF4-FFF2-40B4-BE49-F238E27FC236}">
              <a16:creationId xmlns:a16="http://schemas.microsoft.com/office/drawing/2014/main" id="{C6DF2C93-1F5C-4642-892B-DDE255D44AFF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4" name="TextBox 2104">
          <a:extLst>
            <a:ext uri="{FF2B5EF4-FFF2-40B4-BE49-F238E27FC236}">
              <a16:creationId xmlns:a16="http://schemas.microsoft.com/office/drawing/2014/main" id="{8ADA0D6A-C568-4058-96E4-384AC635E4F3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5" name="TextBox 2105">
          <a:extLst>
            <a:ext uri="{FF2B5EF4-FFF2-40B4-BE49-F238E27FC236}">
              <a16:creationId xmlns:a16="http://schemas.microsoft.com/office/drawing/2014/main" id="{432C428B-7EAC-4E00-811F-749F38D94968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6" name="TextBox 2106">
          <a:extLst>
            <a:ext uri="{FF2B5EF4-FFF2-40B4-BE49-F238E27FC236}">
              <a16:creationId xmlns:a16="http://schemas.microsoft.com/office/drawing/2014/main" id="{3A12D8A3-08A4-4116-959E-801CAE923244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7" name="TextBox 2107">
          <a:extLst>
            <a:ext uri="{FF2B5EF4-FFF2-40B4-BE49-F238E27FC236}">
              <a16:creationId xmlns:a16="http://schemas.microsoft.com/office/drawing/2014/main" id="{4D36A5BC-B271-4FD3-9829-7230167160C2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8" name="TextBox 1">
          <a:extLst>
            <a:ext uri="{FF2B5EF4-FFF2-40B4-BE49-F238E27FC236}">
              <a16:creationId xmlns:a16="http://schemas.microsoft.com/office/drawing/2014/main" id="{DE53EC30-ABE6-4CAA-ABD6-CAB0B919105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499" name="TextBox 3">
          <a:extLst>
            <a:ext uri="{FF2B5EF4-FFF2-40B4-BE49-F238E27FC236}">
              <a16:creationId xmlns:a16="http://schemas.microsoft.com/office/drawing/2014/main" id="{BAEAF1BF-99A0-490C-92D4-C08ABD326BC0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0" name="TextBox 2110">
          <a:extLst>
            <a:ext uri="{FF2B5EF4-FFF2-40B4-BE49-F238E27FC236}">
              <a16:creationId xmlns:a16="http://schemas.microsoft.com/office/drawing/2014/main" id="{AE3065D9-38D2-41FC-A48E-FEA8053934CB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1" name="TextBox 2111">
          <a:extLst>
            <a:ext uri="{FF2B5EF4-FFF2-40B4-BE49-F238E27FC236}">
              <a16:creationId xmlns:a16="http://schemas.microsoft.com/office/drawing/2014/main" id="{60DEB36C-EA1F-40FE-BBCB-004E906E6BDA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2" name="TextBox 2112">
          <a:extLst>
            <a:ext uri="{FF2B5EF4-FFF2-40B4-BE49-F238E27FC236}">
              <a16:creationId xmlns:a16="http://schemas.microsoft.com/office/drawing/2014/main" id="{B5F8A775-AEF7-4285-8E75-7CAAB928C793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3" name="TextBox 2113">
          <a:extLst>
            <a:ext uri="{FF2B5EF4-FFF2-40B4-BE49-F238E27FC236}">
              <a16:creationId xmlns:a16="http://schemas.microsoft.com/office/drawing/2014/main" id="{988CC8DA-6E20-46CE-917F-E12D04ACD0D8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4" name="TextBox 2114">
          <a:extLst>
            <a:ext uri="{FF2B5EF4-FFF2-40B4-BE49-F238E27FC236}">
              <a16:creationId xmlns:a16="http://schemas.microsoft.com/office/drawing/2014/main" id="{7B52E3BC-DA2B-4BB9-B00F-DEFBFA6464D0}"/>
            </a:ext>
          </a:extLst>
        </xdr:cNvPr>
        <xdr:cNvSpPr txBox="1"/>
      </xdr:nvSpPr>
      <xdr:spPr>
        <a:xfrm>
          <a:off x="1909762" y="19078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5" name="TextBox 2115">
          <a:extLst>
            <a:ext uri="{FF2B5EF4-FFF2-40B4-BE49-F238E27FC236}">
              <a16:creationId xmlns:a16="http://schemas.microsoft.com/office/drawing/2014/main" id="{BD913770-6BCC-43CF-96EE-65001D9FFDB5}"/>
            </a:ext>
          </a:extLst>
        </xdr:cNvPr>
        <xdr:cNvSpPr txBox="1"/>
      </xdr:nvSpPr>
      <xdr:spPr>
        <a:xfrm>
          <a:off x="1909762" y="19078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6" name="TextBox 1">
          <a:extLst>
            <a:ext uri="{FF2B5EF4-FFF2-40B4-BE49-F238E27FC236}">
              <a16:creationId xmlns:a16="http://schemas.microsoft.com/office/drawing/2014/main" id="{6FF59973-6C6D-457C-B4A5-CFE1FC65A459}"/>
            </a:ext>
          </a:extLst>
        </xdr:cNvPr>
        <xdr:cNvSpPr txBox="1"/>
      </xdr:nvSpPr>
      <xdr:spPr>
        <a:xfrm>
          <a:off x="1909762" y="19078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7" name="TextBox 3">
          <a:extLst>
            <a:ext uri="{FF2B5EF4-FFF2-40B4-BE49-F238E27FC236}">
              <a16:creationId xmlns:a16="http://schemas.microsoft.com/office/drawing/2014/main" id="{999F6B10-0F72-4AAD-9BFF-F90BD4D20146}"/>
            </a:ext>
          </a:extLst>
        </xdr:cNvPr>
        <xdr:cNvSpPr txBox="1"/>
      </xdr:nvSpPr>
      <xdr:spPr>
        <a:xfrm>
          <a:off x="1909762" y="19078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8" name="TextBox 2118">
          <a:extLst>
            <a:ext uri="{FF2B5EF4-FFF2-40B4-BE49-F238E27FC236}">
              <a16:creationId xmlns:a16="http://schemas.microsoft.com/office/drawing/2014/main" id="{9DD36ECB-F8AD-4896-B750-4A87E98E0CD7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09" name="TextBox 2119">
          <a:extLst>
            <a:ext uri="{FF2B5EF4-FFF2-40B4-BE49-F238E27FC236}">
              <a16:creationId xmlns:a16="http://schemas.microsoft.com/office/drawing/2014/main" id="{6B85B300-4D3B-4EB1-8341-B7A7F57561A7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0" name="TextBox 2120">
          <a:extLst>
            <a:ext uri="{FF2B5EF4-FFF2-40B4-BE49-F238E27FC236}">
              <a16:creationId xmlns:a16="http://schemas.microsoft.com/office/drawing/2014/main" id="{8B5BF315-F387-40EB-B9EC-6DB6D54128F0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1" name="TextBox 2121">
          <a:extLst>
            <a:ext uri="{FF2B5EF4-FFF2-40B4-BE49-F238E27FC236}">
              <a16:creationId xmlns:a16="http://schemas.microsoft.com/office/drawing/2014/main" id="{C4FF6DD0-90A5-48DF-8422-FADA922EC055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2" name="TextBox 2122">
          <a:extLst>
            <a:ext uri="{FF2B5EF4-FFF2-40B4-BE49-F238E27FC236}">
              <a16:creationId xmlns:a16="http://schemas.microsoft.com/office/drawing/2014/main" id="{0DD2A37E-B949-4885-89B7-CC245074D0AD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3" name="TextBox 2123">
          <a:extLst>
            <a:ext uri="{FF2B5EF4-FFF2-40B4-BE49-F238E27FC236}">
              <a16:creationId xmlns:a16="http://schemas.microsoft.com/office/drawing/2014/main" id="{860E44AD-1329-485A-A426-EDC34853A80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4" name="TextBox 2124">
          <a:extLst>
            <a:ext uri="{FF2B5EF4-FFF2-40B4-BE49-F238E27FC236}">
              <a16:creationId xmlns:a16="http://schemas.microsoft.com/office/drawing/2014/main" id="{7CC937D7-846D-4358-B955-BECF4E50F907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5" name="TextBox 2125">
          <a:extLst>
            <a:ext uri="{FF2B5EF4-FFF2-40B4-BE49-F238E27FC236}">
              <a16:creationId xmlns:a16="http://schemas.microsoft.com/office/drawing/2014/main" id="{92B214BC-B679-48E4-A868-9B18BB52E5BE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6" name="TextBox 15">
          <a:extLst>
            <a:ext uri="{FF2B5EF4-FFF2-40B4-BE49-F238E27FC236}">
              <a16:creationId xmlns:a16="http://schemas.microsoft.com/office/drawing/2014/main" id="{65F7EE5D-8917-4922-8FF9-E246F67568F0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7" name="TextBox 16">
          <a:extLst>
            <a:ext uri="{FF2B5EF4-FFF2-40B4-BE49-F238E27FC236}">
              <a16:creationId xmlns:a16="http://schemas.microsoft.com/office/drawing/2014/main" id="{91F00727-43AA-4BC3-8A20-D8B6DA570981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8" name="TextBox 17">
          <a:extLst>
            <a:ext uri="{FF2B5EF4-FFF2-40B4-BE49-F238E27FC236}">
              <a16:creationId xmlns:a16="http://schemas.microsoft.com/office/drawing/2014/main" id="{61A62CBA-C258-4119-AFA0-5FBE163DF2A7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19" name="TextBox 18">
          <a:extLst>
            <a:ext uri="{FF2B5EF4-FFF2-40B4-BE49-F238E27FC236}">
              <a16:creationId xmlns:a16="http://schemas.microsoft.com/office/drawing/2014/main" id="{4DFE4E7B-0497-4191-B7D9-D9D492CA44B8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0" name="TextBox 2130">
          <a:extLst>
            <a:ext uri="{FF2B5EF4-FFF2-40B4-BE49-F238E27FC236}">
              <a16:creationId xmlns:a16="http://schemas.microsoft.com/office/drawing/2014/main" id="{7EFE9B4F-662D-4DD2-9EDB-098AEF1D3D93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1" name="TextBox 2131">
          <a:extLst>
            <a:ext uri="{FF2B5EF4-FFF2-40B4-BE49-F238E27FC236}">
              <a16:creationId xmlns:a16="http://schemas.microsoft.com/office/drawing/2014/main" id="{CB4F2D84-939C-43D5-83C7-9FFAC4D298AD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2" name="TextBox 1">
          <a:extLst>
            <a:ext uri="{FF2B5EF4-FFF2-40B4-BE49-F238E27FC236}">
              <a16:creationId xmlns:a16="http://schemas.microsoft.com/office/drawing/2014/main" id="{2B958575-9BCF-494B-90BA-1206FBC13DF1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3" name="TextBox 3">
          <a:extLst>
            <a:ext uri="{FF2B5EF4-FFF2-40B4-BE49-F238E27FC236}">
              <a16:creationId xmlns:a16="http://schemas.microsoft.com/office/drawing/2014/main" id="{8AB72572-5EB6-45BB-84B8-A9A359FD122C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4" name="TextBox 2134">
          <a:extLst>
            <a:ext uri="{FF2B5EF4-FFF2-40B4-BE49-F238E27FC236}">
              <a16:creationId xmlns:a16="http://schemas.microsoft.com/office/drawing/2014/main" id="{B2B172AE-4807-4395-83A8-0AED3262D1F8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5" name="TextBox 2135">
          <a:extLst>
            <a:ext uri="{FF2B5EF4-FFF2-40B4-BE49-F238E27FC236}">
              <a16:creationId xmlns:a16="http://schemas.microsoft.com/office/drawing/2014/main" id="{950E957C-BBCD-4C14-9C87-897EE7E358E9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6" name="TextBox 2136">
          <a:extLst>
            <a:ext uri="{FF2B5EF4-FFF2-40B4-BE49-F238E27FC236}">
              <a16:creationId xmlns:a16="http://schemas.microsoft.com/office/drawing/2014/main" id="{C332BFDF-825F-4A7A-AA28-F6D872429769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7" name="TextBox 2137">
          <a:extLst>
            <a:ext uri="{FF2B5EF4-FFF2-40B4-BE49-F238E27FC236}">
              <a16:creationId xmlns:a16="http://schemas.microsoft.com/office/drawing/2014/main" id="{9ACD5662-7BD5-461A-AE8A-419F73DE761D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8" name="TextBox 2138">
          <a:extLst>
            <a:ext uri="{FF2B5EF4-FFF2-40B4-BE49-F238E27FC236}">
              <a16:creationId xmlns:a16="http://schemas.microsoft.com/office/drawing/2014/main" id="{D91CC599-0E09-49DE-9075-F1E625D23A24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29" name="TextBox 2139">
          <a:extLst>
            <a:ext uri="{FF2B5EF4-FFF2-40B4-BE49-F238E27FC236}">
              <a16:creationId xmlns:a16="http://schemas.microsoft.com/office/drawing/2014/main" id="{CDC7E5B4-9CCE-40BC-B6B0-D26187E8A7F8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0" name="TextBox 2140">
          <a:extLst>
            <a:ext uri="{FF2B5EF4-FFF2-40B4-BE49-F238E27FC236}">
              <a16:creationId xmlns:a16="http://schemas.microsoft.com/office/drawing/2014/main" id="{92C241E0-B726-4E76-A2EF-CE3F71E04135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1" name="TextBox 2141">
          <a:extLst>
            <a:ext uri="{FF2B5EF4-FFF2-40B4-BE49-F238E27FC236}">
              <a16:creationId xmlns:a16="http://schemas.microsoft.com/office/drawing/2014/main" id="{F42716B5-44BD-42B7-B9D6-3101316B9275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2" name="TextBox 2142">
          <a:extLst>
            <a:ext uri="{FF2B5EF4-FFF2-40B4-BE49-F238E27FC236}">
              <a16:creationId xmlns:a16="http://schemas.microsoft.com/office/drawing/2014/main" id="{F5F9F39D-46E6-4F58-AB17-15E880B2284F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3" name="TextBox 2143">
          <a:extLst>
            <a:ext uri="{FF2B5EF4-FFF2-40B4-BE49-F238E27FC236}">
              <a16:creationId xmlns:a16="http://schemas.microsoft.com/office/drawing/2014/main" id="{177E9E6B-9B3B-4227-A0F3-D481CF6DE541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4" name="TextBox 13">
          <a:extLst>
            <a:ext uri="{FF2B5EF4-FFF2-40B4-BE49-F238E27FC236}">
              <a16:creationId xmlns:a16="http://schemas.microsoft.com/office/drawing/2014/main" id="{46C2C1AA-A95A-4D76-8549-FC4CCB4F9C20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5" name="TextBox 14">
          <a:extLst>
            <a:ext uri="{FF2B5EF4-FFF2-40B4-BE49-F238E27FC236}">
              <a16:creationId xmlns:a16="http://schemas.microsoft.com/office/drawing/2014/main" id="{2AD559BF-8B44-41C9-BB09-B1A32E9F6A1A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6" name="TextBox 2146">
          <a:extLst>
            <a:ext uri="{FF2B5EF4-FFF2-40B4-BE49-F238E27FC236}">
              <a16:creationId xmlns:a16="http://schemas.microsoft.com/office/drawing/2014/main" id="{2BD647FD-43B5-44F5-813A-4E3F723CBE0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7" name="TextBox 2147">
          <a:extLst>
            <a:ext uri="{FF2B5EF4-FFF2-40B4-BE49-F238E27FC236}">
              <a16:creationId xmlns:a16="http://schemas.microsoft.com/office/drawing/2014/main" id="{89B88651-E3B3-4F8C-99C2-440494133F7D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8" name="TextBox 2148">
          <a:extLst>
            <a:ext uri="{FF2B5EF4-FFF2-40B4-BE49-F238E27FC236}">
              <a16:creationId xmlns:a16="http://schemas.microsoft.com/office/drawing/2014/main" id="{7C0BED19-B37A-4F96-BE42-305A78E28C02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39" name="TextBox 2149">
          <a:extLst>
            <a:ext uri="{FF2B5EF4-FFF2-40B4-BE49-F238E27FC236}">
              <a16:creationId xmlns:a16="http://schemas.microsoft.com/office/drawing/2014/main" id="{090E4D00-7D2F-46E3-A573-FB401023AC27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0" name="TextBox 15">
          <a:extLst>
            <a:ext uri="{FF2B5EF4-FFF2-40B4-BE49-F238E27FC236}">
              <a16:creationId xmlns:a16="http://schemas.microsoft.com/office/drawing/2014/main" id="{DE1A598E-6263-42D2-8195-04467486F29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1" name="TextBox 16">
          <a:extLst>
            <a:ext uri="{FF2B5EF4-FFF2-40B4-BE49-F238E27FC236}">
              <a16:creationId xmlns:a16="http://schemas.microsoft.com/office/drawing/2014/main" id="{AEBFA8EF-5F8C-4209-8A3A-4AE5F33D37BA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2" name="TextBox 17">
          <a:extLst>
            <a:ext uri="{FF2B5EF4-FFF2-40B4-BE49-F238E27FC236}">
              <a16:creationId xmlns:a16="http://schemas.microsoft.com/office/drawing/2014/main" id="{70105B1F-2C10-4689-8430-F5C93BA2E15F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3" name="TextBox 18">
          <a:extLst>
            <a:ext uri="{FF2B5EF4-FFF2-40B4-BE49-F238E27FC236}">
              <a16:creationId xmlns:a16="http://schemas.microsoft.com/office/drawing/2014/main" id="{AD3141F9-C5D7-4F46-8297-B1FDE4893EC9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4" name="TextBox 2154">
          <a:extLst>
            <a:ext uri="{FF2B5EF4-FFF2-40B4-BE49-F238E27FC236}">
              <a16:creationId xmlns:a16="http://schemas.microsoft.com/office/drawing/2014/main" id="{601BCDD7-CD67-4B77-89B1-523765B38A19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5" name="TextBox 2155">
          <a:extLst>
            <a:ext uri="{FF2B5EF4-FFF2-40B4-BE49-F238E27FC236}">
              <a16:creationId xmlns:a16="http://schemas.microsoft.com/office/drawing/2014/main" id="{2E186C0C-4235-4EC0-9A1C-01B1BC6CA27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6" name="TextBox 1">
          <a:extLst>
            <a:ext uri="{FF2B5EF4-FFF2-40B4-BE49-F238E27FC236}">
              <a16:creationId xmlns:a16="http://schemas.microsoft.com/office/drawing/2014/main" id="{FD91BD83-9490-4538-B3F9-287A630CA90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7" name="TextBox 3">
          <a:extLst>
            <a:ext uri="{FF2B5EF4-FFF2-40B4-BE49-F238E27FC236}">
              <a16:creationId xmlns:a16="http://schemas.microsoft.com/office/drawing/2014/main" id="{6F8D8354-6890-44BB-9049-50EC2D04E6B0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8" name="TextBox 2158">
          <a:extLst>
            <a:ext uri="{FF2B5EF4-FFF2-40B4-BE49-F238E27FC236}">
              <a16:creationId xmlns:a16="http://schemas.microsoft.com/office/drawing/2014/main" id="{D3F3DEDF-EF30-4602-8564-198A03655F48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49" name="TextBox 2159">
          <a:extLst>
            <a:ext uri="{FF2B5EF4-FFF2-40B4-BE49-F238E27FC236}">
              <a16:creationId xmlns:a16="http://schemas.microsoft.com/office/drawing/2014/main" id="{285F63FA-16AC-45F3-9B54-BA7C9C6B5F19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0" name="TextBox 2160">
          <a:extLst>
            <a:ext uri="{FF2B5EF4-FFF2-40B4-BE49-F238E27FC236}">
              <a16:creationId xmlns:a16="http://schemas.microsoft.com/office/drawing/2014/main" id="{6CC30AE7-6F04-4462-89B4-877D541D80D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1" name="TextBox 2161">
          <a:extLst>
            <a:ext uri="{FF2B5EF4-FFF2-40B4-BE49-F238E27FC236}">
              <a16:creationId xmlns:a16="http://schemas.microsoft.com/office/drawing/2014/main" id="{84059693-4B29-4E6B-9483-454694358731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2" name="TextBox 2162">
          <a:extLst>
            <a:ext uri="{FF2B5EF4-FFF2-40B4-BE49-F238E27FC236}">
              <a16:creationId xmlns:a16="http://schemas.microsoft.com/office/drawing/2014/main" id="{9AB2A383-9D22-44BA-B5C0-5DC48670A5AD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3" name="TextBox 2163">
          <a:extLst>
            <a:ext uri="{FF2B5EF4-FFF2-40B4-BE49-F238E27FC236}">
              <a16:creationId xmlns:a16="http://schemas.microsoft.com/office/drawing/2014/main" id="{10D4F9CE-2A3C-448E-AA50-68F7CFA23939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4" name="TextBox 2164">
          <a:extLst>
            <a:ext uri="{FF2B5EF4-FFF2-40B4-BE49-F238E27FC236}">
              <a16:creationId xmlns:a16="http://schemas.microsoft.com/office/drawing/2014/main" id="{E5153298-C2F5-4172-B0F3-6E7101FB83B4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5" name="TextBox 2165">
          <a:extLst>
            <a:ext uri="{FF2B5EF4-FFF2-40B4-BE49-F238E27FC236}">
              <a16:creationId xmlns:a16="http://schemas.microsoft.com/office/drawing/2014/main" id="{ECF79FFD-6E81-4543-889B-9F9CC0A6A9D5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6" name="TextBox 2166">
          <a:extLst>
            <a:ext uri="{FF2B5EF4-FFF2-40B4-BE49-F238E27FC236}">
              <a16:creationId xmlns:a16="http://schemas.microsoft.com/office/drawing/2014/main" id="{2D91B475-07E0-452B-A675-DB7154752FD0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7" name="TextBox 2167">
          <a:extLst>
            <a:ext uri="{FF2B5EF4-FFF2-40B4-BE49-F238E27FC236}">
              <a16:creationId xmlns:a16="http://schemas.microsoft.com/office/drawing/2014/main" id="{F20A1EEE-A8AB-411E-9E9B-A9125813612E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8" name="TextBox 13">
          <a:extLst>
            <a:ext uri="{FF2B5EF4-FFF2-40B4-BE49-F238E27FC236}">
              <a16:creationId xmlns:a16="http://schemas.microsoft.com/office/drawing/2014/main" id="{29BF5EF9-9EE7-46D9-9BDB-37EDBA8EAEE6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59" name="TextBox 14">
          <a:extLst>
            <a:ext uri="{FF2B5EF4-FFF2-40B4-BE49-F238E27FC236}">
              <a16:creationId xmlns:a16="http://schemas.microsoft.com/office/drawing/2014/main" id="{C6BB41C1-5CB1-4FC6-9EA5-49DD7827E79D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0" name="TextBox 2170">
          <a:extLst>
            <a:ext uri="{FF2B5EF4-FFF2-40B4-BE49-F238E27FC236}">
              <a16:creationId xmlns:a16="http://schemas.microsoft.com/office/drawing/2014/main" id="{3D4B40BF-E70D-4CE1-9CE6-AC68E3684736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1" name="TextBox 2171">
          <a:extLst>
            <a:ext uri="{FF2B5EF4-FFF2-40B4-BE49-F238E27FC236}">
              <a16:creationId xmlns:a16="http://schemas.microsoft.com/office/drawing/2014/main" id="{DF8F46FF-D9D9-485C-B967-A7F73BDB5C57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2" name="TextBox 2172">
          <a:extLst>
            <a:ext uri="{FF2B5EF4-FFF2-40B4-BE49-F238E27FC236}">
              <a16:creationId xmlns:a16="http://schemas.microsoft.com/office/drawing/2014/main" id="{DD1E35F1-484B-41CF-99A6-ABAD88F93A38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3" name="TextBox 2173">
          <a:extLst>
            <a:ext uri="{FF2B5EF4-FFF2-40B4-BE49-F238E27FC236}">
              <a16:creationId xmlns:a16="http://schemas.microsoft.com/office/drawing/2014/main" id="{3275D94B-17A4-428A-8711-4550B741EFD4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4" name="TextBox 15">
          <a:extLst>
            <a:ext uri="{FF2B5EF4-FFF2-40B4-BE49-F238E27FC236}">
              <a16:creationId xmlns:a16="http://schemas.microsoft.com/office/drawing/2014/main" id="{19CA7848-CD45-4807-AEE6-597291CEA918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5" name="TextBox 16">
          <a:extLst>
            <a:ext uri="{FF2B5EF4-FFF2-40B4-BE49-F238E27FC236}">
              <a16:creationId xmlns:a16="http://schemas.microsoft.com/office/drawing/2014/main" id="{52CAF928-5A60-4152-A33C-AC63C7DC9197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6" name="TextBox 17">
          <a:extLst>
            <a:ext uri="{FF2B5EF4-FFF2-40B4-BE49-F238E27FC236}">
              <a16:creationId xmlns:a16="http://schemas.microsoft.com/office/drawing/2014/main" id="{12FC9363-46B1-4E8B-A24E-A36DC46A5C25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7" name="TextBox 18">
          <a:extLst>
            <a:ext uri="{FF2B5EF4-FFF2-40B4-BE49-F238E27FC236}">
              <a16:creationId xmlns:a16="http://schemas.microsoft.com/office/drawing/2014/main" id="{750B0B72-3637-4E98-B473-AFBFB9A10939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8" name="TextBox 2178">
          <a:extLst>
            <a:ext uri="{FF2B5EF4-FFF2-40B4-BE49-F238E27FC236}">
              <a16:creationId xmlns:a16="http://schemas.microsoft.com/office/drawing/2014/main" id="{CE31974D-98F1-4F9E-9750-755A19C664D0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69" name="TextBox 2179">
          <a:extLst>
            <a:ext uri="{FF2B5EF4-FFF2-40B4-BE49-F238E27FC236}">
              <a16:creationId xmlns:a16="http://schemas.microsoft.com/office/drawing/2014/main" id="{953D0BEA-B7A1-4569-8E16-A286C86F8E82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0" name="TextBox 1">
          <a:extLst>
            <a:ext uri="{FF2B5EF4-FFF2-40B4-BE49-F238E27FC236}">
              <a16:creationId xmlns:a16="http://schemas.microsoft.com/office/drawing/2014/main" id="{31CF792E-31EE-4F58-92DC-5022EE9C7B6D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1" name="TextBox 3">
          <a:extLst>
            <a:ext uri="{FF2B5EF4-FFF2-40B4-BE49-F238E27FC236}">
              <a16:creationId xmlns:a16="http://schemas.microsoft.com/office/drawing/2014/main" id="{003AFCD2-4C64-47E2-948C-4BD2878E5D1B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2" name="TextBox 2182">
          <a:extLst>
            <a:ext uri="{FF2B5EF4-FFF2-40B4-BE49-F238E27FC236}">
              <a16:creationId xmlns:a16="http://schemas.microsoft.com/office/drawing/2014/main" id="{4E6E96DE-5135-46D2-B85D-5C767EAAA5B5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3" name="TextBox 2183">
          <a:extLst>
            <a:ext uri="{FF2B5EF4-FFF2-40B4-BE49-F238E27FC236}">
              <a16:creationId xmlns:a16="http://schemas.microsoft.com/office/drawing/2014/main" id="{5734316A-E748-474A-BEEA-75A6B0C49DF4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4" name="TextBox 2184">
          <a:extLst>
            <a:ext uri="{FF2B5EF4-FFF2-40B4-BE49-F238E27FC236}">
              <a16:creationId xmlns:a16="http://schemas.microsoft.com/office/drawing/2014/main" id="{87DB331F-EF7D-4232-AF65-0B9ED52029D5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5" name="TextBox 2185">
          <a:extLst>
            <a:ext uri="{FF2B5EF4-FFF2-40B4-BE49-F238E27FC236}">
              <a16:creationId xmlns:a16="http://schemas.microsoft.com/office/drawing/2014/main" id="{ADF264E6-2B09-483C-A36E-7BDC9DC2F684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6" name="TextBox 2186">
          <a:extLst>
            <a:ext uri="{FF2B5EF4-FFF2-40B4-BE49-F238E27FC236}">
              <a16:creationId xmlns:a16="http://schemas.microsoft.com/office/drawing/2014/main" id="{E85F95CF-54AA-4DFA-80CF-71ABDA720E29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7" name="TextBox 2187">
          <a:extLst>
            <a:ext uri="{FF2B5EF4-FFF2-40B4-BE49-F238E27FC236}">
              <a16:creationId xmlns:a16="http://schemas.microsoft.com/office/drawing/2014/main" id="{B2913DD2-C3A1-47F7-89DC-242B9409E942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8" name="TextBox 2188">
          <a:extLst>
            <a:ext uri="{FF2B5EF4-FFF2-40B4-BE49-F238E27FC236}">
              <a16:creationId xmlns:a16="http://schemas.microsoft.com/office/drawing/2014/main" id="{0DC1F5F4-CBA3-4146-9BD0-330A8C4BADCA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79" name="TextBox 2189">
          <a:extLst>
            <a:ext uri="{FF2B5EF4-FFF2-40B4-BE49-F238E27FC236}">
              <a16:creationId xmlns:a16="http://schemas.microsoft.com/office/drawing/2014/main" id="{6F3F922F-3291-4972-84DC-CCED6EEC2174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0" name="TextBox 2190">
          <a:extLst>
            <a:ext uri="{FF2B5EF4-FFF2-40B4-BE49-F238E27FC236}">
              <a16:creationId xmlns:a16="http://schemas.microsoft.com/office/drawing/2014/main" id="{51B6273B-4E41-427E-8671-1938522FACA6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1" name="TextBox 2191">
          <a:extLst>
            <a:ext uri="{FF2B5EF4-FFF2-40B4-BE49-F238E27FC236}">
              <a16:creationId xmlns:a16="http://schemas.microsoft.com/office/drawing/2014/main" id="{AB797E05-DAA4-4F52-BA4A-1CAA547EF43A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2" name="TextBox 13">
          <a:extLst>
            <a:ext uri="{FF2B5EF4-FFF2-40B4-BE49-F238E27FC236}">
              <a16:creationId xmlns:a16="http://schemas.microsoft.com/office/drawing/2014/main" id="{C26EBF2E-7568-4A8E-ACE6-B97986CBBF60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3" name="TextBox 14">
          <a:extLst>
            <a:ext uri="{FF2B5EF4-FFF2-40B4-BE49-F238E27FC236}">
              <a16:creationId xmlns:a16="http://schemas.microsoft.com/office/drawing/2014/main" id="{CFA5B5D9-F98C-41AC-BCEB-8CFD171EDDCE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4" name="TextBox 2194">
          <a:extLst>
            <a:ext uri="{FF2B5EF4-FFF2-40B4-BE49-F238E27FC236}">
              <a16:creationId xmlns:a16="http://schemas.microsoft.com/office/drawing/2014/main" id="{6AEBD538-0E33-4C9D-8C2B-9420AF1D322B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5" name="TextBox 2195">
          <a:extLst>
            <a:ext uri="{FF2B5EF4-FFF2-40B4-BE49-F238E27FC236}">
              <a16:creationId xmlns:a16="http://schemas.microsoft.com/office/drawing/2014/main" id="{C453EB91-A927-450D-A8A7-6ABBB0CEDFC1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6" name="TextBox 2196">
          <a:extLst>
            <a:ext uri="{FF2B5EF4-FFF2-40B4-BE49-F238E27FC236}">
              <a16:creationId xmlns:a16="http://schemas.microsoft.com/office/drawing/2014/main" id="{B3919BB7-29AE-4812-99F6-8E9AACEC91AA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7" name="TextBox 2197">
          <a:extLst>
            <a:ext uri="{FF2B5EF4-FFF2-40B4-BE49-F238E27FC236}">
              <a16:creationId xmlns:a16="http://schemas.microsoft.com/office/drawing/2014/main" id="{54113AA1-BCD0-4230-A754-ECB50A01540A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8" name="TextBox 15">
          <a:extLst>
            <a:ext uri="{FF2B5EF4-FFF2-40B4-BE49-F238E27FC236}">
              <a16:creationId xmlns:a16="http://schemas.microsoft.com/office/drawing/2014/main" id="{5F207FA5-D908-48D6-B875-3F773E3128F5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89" name="TextBox 16">
          <a:extLst>
            <a:ext uri="{FF2B5EF4-FFF2-40B4-BE49-F238E27FC236}">
              <a16:creationId xmlns:a16="http://schemas.microsoft.com/office/drawing/2014/main" id="{00CB47A6-48FD-4C05-B298-8DD2D82D3BEF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0" name="TextBox 17">
          <a:extLst>
            <a:ext uri="{FF2B5EF4-FFF2-40B4-BE49-F238E27FC236}">
              <a16:creationId xmlns:a16="http://schemas.microsoft.com/office/drawing/2014/main" id="{C5030D6F-D23C-458B-984F-40B52549AD71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1" name="TextBox 18">
          <a:extLst>
            <a:ext uri="{FF2B5EF4-FFF2-40B4-BE49-F238E27FC236}">
              <a16:creationId xmlns:a16="http://schemas.microsoft.com/office/drawing/2014/main" id="{0CEC1863-695B-4DD0-9F3B-B5B6622F4A5E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2" name="TextBox 2202">
          <a:extLst>
            <a:ext uri="{FF2B5EF4-FFF2-40B4-BE49-F238E27FC236}">
              <a16:creationId xmlns:a16="http://schemas.microsoft.com/office/drawing/2014/main" id="{91572A78-C7E1-4BFC-BA3C-E3A27C962D44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3" name="TextBox 2203">
          <a:extLst>
            <a:ext uri="{FF2B5EF4-FFF2-40B4-BE49-F238E27FC236}">
              <a16:creationId xmlns:a16="http://schemas.microsoft.com/office/drawing/2014/main" id="{2BE60116-D947-45F6-9AA0-B3EDD820201D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4" name="TextBox 1">
          <a:extLst>
            <a:ext uri="{FF2B5EF4-FFF2-40B4-BE49-F238E27FC236}">
              <a16:creationId xmlns:a16="http://schemas.microsoft.com/office/drawing/2014/main" id="{08613502-AC1B-4D21-AA12-E7545AACEA00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5" name="TextBox 3">
          <a:extLst>
            <a:ext uri="{FF2B5EF4-FFF2-40B4-BE49-F238E27FC236}">
              <a16:creationId xmlns:a16="http://schemas.microsoft.com/office/drawing/2014/main" id="{2ED659F7-18AC-409F-A26A-A2B37C9A9E3E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6" name="TextBox 2206">
          <a:extLst>
            <a:ext uri="{FF2B5EF4-FFF2-40B4-BE49-F238E27FC236}">
              <a16:creationId xmlns:a16="http://schemas.microsoft.com/office/drawing/2014/main" id="{CE044F99-E4E3-4387-A1F2-04FFF8A5F501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7" name="TextBox 2207">
          <a:extLst>
            <a:ext uri="{FF2B5EF4-FFF2-40B4-BE49-F238E27FC236}">
              <a16:creationId xmlns:a16="http://schemas.microsoft.com/office/drawing/2014/main" id="{86CE2D7A-6DC2-46B8-BBEE-6771F57E1BE1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8" name="TextBox 2208">
          <a:extLst>
            <a:ext uri="{FF2B5EF4-FFF2-40B4-BE49-F238E27FC236}">
              <a16:creationId xmlns:a16="http://schemas.microsoft.com/office/drawing/2014/main" id="{C3ACAFD4-9A2B-4F2D-8C94-B3CB80A83432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599" name="TextBox 2209">
          <a:extLst>
            <a:ext uri="{FF2B5EF4-FFF2-40B4-BE49-F238E27FC236}">
              <a16:creationId xmlns:a16="http://schemas.microsoft.com/office/drawing/2014/main" id="{AC9E2F08-A58C-438B-AAAB-E3676DF09CAB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0" name="TextBox 2210">
          <a:extLst>
            <a:ext uri="{FF2B5EF4-FFF2-40B4-BE49-F238E27FC236}">
              <a16:creationId xmlns:a16="http://schemas.microsoft.com/office/drawing/2014/main" id="{8FA2B8A9-4C53-42FD-B9E4-A18DF21735FC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1" name="TextBox 2211">
          <a:extLst>
            <a:ext uri="{FF2B5EF4-FFF2-40B4-BE49-F238E27FC236}">
              <a16:creationId xmlns:a16="http://schemas.microsoft.com/office/drawing/2014/main" id="{3020FAD6-F358-4062-9827-2840CF5F45C0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2" name="TextBox 2212">
          <a:extLst>
            <a:ext uri="{FF2B5EF4-FFF2-40B4-BE49-F238E27FC236}">
              <a16:creationId xmlns:a16="http://schemas.microsoft.com/office/drawing/2014/main" id="{692524B9-D5F7-4016-9477-EB167B96E1CF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3" name="TextBox 2213">
          <a:extLst>
            <a:ext uri="{FF2B5EF4-FFF2-40B4-BE49-F238E27FC236}">
              <a16:creationId xmlns:a16="http://schemas.microsoft.com/office/drawing/2014/main" id="{AEE46D08-0158-4462-91EA-70F7FB1A10BE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4" name="TextBox 2214">
          <a:extLst>
            <a:ext uri="{FF2B5EF4-FFF2-40B4-BE49-F238E27FC236}">
              <a16:creationId xmlns:a16="http://schemas.microsoft.com/office/drawing/2014/main" id="{049DF143-86BA-4A85-B4DC-B2301204EB7D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5" name="TextBox 2215">
          <a:extLst>
            <a:ext uri="{FF2B5EF4-FFF2-40B4-BE49-F238E27FC236}">
              <a16:creationId xmlns:a16="http://schemas.microsoft.com/office/drawing/2014/main" id="{1D596A87-605F-46AC-BD3F-869E3C2CB5A1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6" name="TextBox 13">
          <a:extLst>
            <a:ext uri="{FF2B5EF4-FFF2-40B4-BE49-F238E27FC236}">
              <a16:creationId xmlns:a16="http://schemas.microsoft.com/office/drawing/2014/main" id="{B5600529-4324-4F0C-9EA8-0416A9D7E114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7" name="TextBox 14">
          <a:extLst>
            <a:ext uri="{FF2B5EF4-FFF2-40B4-BE49-F238E27FC236}">
              <a16:creationId xmlns:a16="http://schemas.microsoft.com/office/drawing/2014/main" id="{F045F79B-B28A-495B-BC57-F281B1575E0D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8" name="TextBox 2218">
          <a:extLst>
            <a:ext uri="{FF2B5EF4-FFF2-40B4-BE49-F238E27FC236}">
              <a16:creationId xmlns:a16="http://schemas.microsoft.com/office/drawing/2014/main" id="{AD1D77A0-768E-40FC-B91B-ED687201C213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09" name="TextBox 2219">
          <a:extLst>
            <a:ext uri="{FF2B5EF4-FFF2-40B4-BE49-F238E27FC236}">
              <a16:creationId xmlns:a16="http://schemas.microsoft.com/office/drawing/2014/main" id="{7C44F446-F3A6-4464-BC63-FA0B572D8932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0" name="TextBox 2220">
          <a:extLst>
            <a:ext uri="{FF2B5EF4-FFF2-40B4-BE49-F238E27FC236}">
              <a16:creationId xmlns:a16="http://schemas.microsoft.com/office/drawing/2014/main" id="{9B44C289-B180-4350-98F4-8FA46A0BA72A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1" name="TextBox 2221">
          <a:extLst>
            <a:ext uri="{FF2B5EF4-FFF2-40B4-BE49-F238E27FC236}">
              <a16:creationId xmlns:a16="http://schemas.microsoft.com/office/drawing/2014/main" id="{30E67105-AC7A-4BC4-AFEB-1491DB90E99C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2" name="TextBox 2222">
          <a:extLst>
            <a:ext uri="{FF2B5EF4-FFF2-40B4-BE49-F238E27FC236}">
              <a16:creationId xmlns:a16="http://schemas.microsoft.com/office/drawing/2014/main" id="{B9D1932A-0671-4E0C-AE5B-8A359486D3BA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3" name="TextBox 2223">
          <a:extLst>
            <a:ext uri="{FF2B5EF4-FFF2-40B4-BE49-F238E27FC236}">
              <a16:creationId xmlns:a16="http://schemas.microsoft.com/office/drawing/2014/main" id="{E6DD84C0-E842-46FD-952C-939DBABC1461}"/>
            </a:ext>
          </a:extLst>
        </xdr:cNvPr>
        <xdr:cNvSpPr txBox="1"/>
      </xdr:nvSpPr>
      <xdr:spPr>
        <a:xfrm>
          <a:off x="1909762" y="18688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4" name="TextBox 5">
          <a:extLst>
            <a:ext uri="{FF2B5EF4-FFF2-40B4-BE49-F238E27FC236}">
              <a16:creationId xmlns:a16="http://schemas.microsoft.com/office/drawing/2014/main" id="{76939D7C-3247-4C9F-8C89-6F3775C76DD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5" name="TextBox 6">
          <a:extLst>
            <a:ext uri="{FF2B5EF4-FFF2-40B4-BE49-F238E27FC236}">
              <a16:creationId xmlns:a16="http://schemas.microsoft.com/office/drawing/2014/main" id="{BE472623-9666-4372-AE2F-B691FFB627C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6" name="TextBox 7">
          <a:extLst>
            <a:ext uri="{FF2B5EF4-FFF2-40B4-BE49-F238E27FC236}">
              <a16:creationId xmlns:a16="http://schemas.microsoft.com/office/drawing/2014/main" id="{476BCB44-43E2-42CE-BC67-3EB4A7491E7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7" name="TextBox 8">
          <a:extLst>
            <a:ext uri="{FF2B5EF4-FFF2-40B4-BE49-F238E27FC236}">
              <a16:creationId xmlns:a16="http://schemas.microsoft.com/office/drawing/2014/main" id="{2B6921E7-C31F-4F30-BE65-232F19746CF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8" name="TextBox 2228">
          <a:extLst>
            <a:ext uri="{FF2B5EF4-FFF2-40B4-BE49-F238E27FC236}">
              <a16:creationId xmlns:a16="http://schemas.microsoft.com/office/drawing/2014/main" id="{83B16B71-9F03-4851-A030-D76BE263FFFF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19" name="TextBox 2229">
          <a:extLst>
            <a:ext uri="{FF2B5EF4-FFF2-40B4-BE49-F238E27FC236}">
              <a16:creationId xmlns:a16="http://schemas.microsoft.com/office/drawing/2014/main" id="{300A1B92-540A-48C5-9B95-5ED8731E13D1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0" name="TextBox 1">
          <a:extLst>
            <a:ext uri="{FF2B5EF4-FFF2-40B4-BE49-F238E27FC236}">
              <a16:creationId xmlns:a16="http://schemas.microsoft.com/office/drawing/2014/main" id="{7D19B3D3-98DA-4546-A23D-B358B8333648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1" name="TextBox 3">
          <a:extLst>
            <a:ext uri="{FF2B5EF4-FFF2-40B4-BE49-F238E27FC236}">
              <a16:creationId xmlns:a16="http://schemas.microsoft.com/office/drawing/2014/main" id="{B8764A3E-482F-463D-BB8C-F7459F2D2BCF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2" name="TextBox 2232">
          <a:extLst>
            <a:ext uri="{FF2B5EF4-FFF2-40B4-BE49-F238E27FC236}">
              <a16:creationId xmlns:a16="http://schemas.microsoft.com/office/drawing/2014/main" id="{3506A10C-03FF-44A6-B158-D941AD1F346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3" name="TextBox 2233">
          <a:extLst>
            <a:ext uri="{FF2B5EF4-FFF2-40B4-BE49-F238E27FC236}">
              <a16:creationId xmlns:a16="http://schemas.microsoft.com/office/drawing/2014/main" id="{E783441B-CBC9-4DD1-AA37-5F7C49F8839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4" name="TextBox 2234">
          <a:extLst>
            <a:ext uri="{FF2B5EF4-FFF2-40B4-BE49-F238E27FC236}">
              <a16:creationId xmlns:a16="http://schemas.microsoft.com/office/drawing/2014/main" id="{2437FF96-0054-482E-871A-757336C19A4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5" name="TextBox 2235">
          <a:extLst>
            <a:ext uri="{FF2B5EF4-FFF2-40B4-BE49-F238E27FC236}">
              <a16:creationId xmlns:a16="http://schemas.microsoft.com/office/drawing/2014/main" id="{E750DDE4-AAFB-4E8B-A4CC-49199CE5B12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6" name="TextBox 2">
          <a:extLst>
            <a:ext uri="{FF2B5EF4-FFF2-40B4-BE49-F238E27FC236}">
              <a16:creationId xmlns:a16="http://schemas.microsoft.com/office/drawing/2014/main" id="{F87432BB-ACFB-4362-9F9C-BCE76452D47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7" name="TextBox 4">
          <a:extLst>
            <a:ext uri="{FF2B5EF4-FFF2-40B4-BE49-F238E27FC236}">
              <a16:creationId xmlns:a16="http://schemas.microsoft.com/office/drawing/2014/main" id="{2F57C67C-78C0-40E0-A5F1-BC48E7AB751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8" name="TextBox 5">
          <a:extLst>
            <a:ext uri="{FF2B5EF4-FFF2-40B4-BE49-F238E27FC236}">
              <a16:creationId xmlns:a16="http://schemas.microsoft.com/office/drawing/2014/main" id="{1C36E237-597C-43FB-BF10-C3C04A2910C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29" name="TextBox 6">
          <a:extLst>
            <a:ext uri="{FF2B5EF4-FFF2-40B4-BE49-F238E27FC236}">
              <a16:creationId xmlns:a16="http://schemas.microsoft.com/office/drawing/2014/main" id="{66BDB241-F221-4610-A51E-A93A86ABAAFC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0" name="TextBox 7">
          <a:extLst>
            <a:ext uri="{FF2B5EF4-FFF2-40B4-BE49-F238E27FC236}">
              <a16:creationId xmlns:a16="http://schemas.microsoft.com/office/drawing/2014/main" id="{5518D803-3DDA-470F-B4D9-E74F3CCA576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1" name="TextBox 8">
          <a:extLst>
            <a:ext uri="{FF2B5EF4-FFF2-40B4-BE49-F238E27FC236}">
              <a16:creationId xmlns:a16="http://schemas.microsoft.com/office/drawing/2014/main" id="{2839E2AE-6A11-4A71-8B51-84A8296C659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2" name="TextBox 2242">
          <a:extLst>
            <a:ext uri="{FF2B5EF4-FFF2-40B4-BE49-F238E27FC236}">
              <a16:creationId xmlns:a16="http://schemas.microsoft.com/office/drawing/2014/main" id="{9E9BA985-2AC8-4D61-ABEC-F98F6EED74DB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3" name="TextBox 2243">
          <a:extLst>
            <a:ext uri="{FF2B5EF4-FFF2-40B4-BE49-F238E27FC236}">
              <a16:creationId xmlns:a16="http://schemas.microsoft.com/office/drawing/2014/main" id="{FBEE8F82-1741-4B66-A508-07443CF6D67C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4" name="TextBox 2244">
          <a:extLst>
            <a:ext uri="{FF2B5EF4-FFF2-40B4-BE49-F238E27FC236}">
              <a16:creationId xmlns:a16="http://schemas.microsoft.com/office/drawing/2014/main" id="{D135DCD3-0975-4420-A642-775B10347A6E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5" name="TextBox 2245">
          <a:extLst>
            <a:ext uri="{FF2B5EF4-FFF2-40B4-BE49-F238E27FC236}">
              <a16:creationId xmlns:a16="http://schemas.microsoft.com/office/drawing/2014/main" id="{82408449-763A-49D2-A367-41530DFB801A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6" name="TextBox 15">
          <a:extLst>
            <a:ext uri="{FF2B5EF4-FFF2-40B4-BE49-F238E27FC236}">
              <a16:creationId xmlns:a16="http://schemas.microsoft.com/office/drawing/2014/main" id="{3953392B-1B16-4268-BB9F-761DA3D85916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7" name="TextBox 16">
          <a:extLst>
            <a:ext uri="{FF2B5EF4-FFF2-40B4-BE49-F238E27FC236}">
              <a16:creationId xmlns:a16="http://schemas.microsoft.com/office/drawing/2014/main" id="{4155875F-4F28-431B-95FD-59A29119EF29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8" name="TextBox 17">
          <a:extLst>
            <a:ext uri="{FF2B5EF4-FFF2-40B4-BE49-F238E27FC236}">
              <a16:creationId xmlns:a16="http://schemas.microsoft.com/office/drawing/2014/main" id="{74909BF0-199A-483D-A1B8-73E3134895CC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39" name="TextBox 18">
          <a:extLst>
            <a:ext uri="{FF2B5EF4-FFF2-40B4-BE49-F238E27FC236}">
              <a16:creationId xmlns:a16="http://schemas.microsoft.com/office/drawing/2014/main" id="{67FF81BE-F5C7-4B8A-B68E-C2EAD4CDFF2E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0" name="TextBox 2250">
          <a:extLst>
            <a:ext uri="{FF2B5EF4-FFF2-40B4-BE49-F238E27FC236}">
              <a16:creationId xmlns:a16="http://schemas.microsoft.com/office/drawing/2014/main" id="{3CBB8501-5323-42E1-8BED-EB0E2FC13BDF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1" name="TextBox 2251">
          <a:extLst>
            <a:ext uri="{FF2B5EF4-FFF2-40B4-BE49-F238E27FC236}">
              <a16:creationId xmlns:a16="http://schemas.microsoft.com/office/drawing/2014/main" id="{24999FC8-79BF-4E83-B676-4D273FC7EE6F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2" name="TextBox 1">
          <a:extLst>
            <a:ext uri="{FF2B5EF4-FFF2-40B4-BE49-F238E27FC236}">
              <a16:creationId xmlns:a16="http://schemas.microsoft.com/office/drawing/2014/main" id="{D47E2CE8-D9D4-4BFB-A63D-C55F52B7BC79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3" name="TextBox 3">
          <a:extLst>
            <a:ext uri="{FF2B5EF4-FFF2-40B4-BE49-F238E27FC236}">
              <a16:creationId xmlns:a16="http://schemas.microsoft.com/office/drawing/2014/main" id="{EFEFF59B-CBF4-4B01-A4C3-7599B9165938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4" name="TextBox 2254">
          <a:extLst>
            <a:ext uri="{FF2B5EF4-FFF2-40B4-BE49-F238E27FC236}">
              <a16:creationId xmlns:a16="http://schemas.microsoft.com/office/drawing/2014/main" id="{9FCDE479-2BB4-4E9F-BF04-98E262205EF9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5" name="TextBox 2255">
          <a:extLst>
            <a:ext uri="{FF2B5EF4-FFF2-40B4-BE49-F238E27FC236}">
              <a16:creationId xmlns:a16="http://schemas.microsoft.com/office/drawing/2014/main" id="{AD843DBF-5ED4-48B8-B756-7DEBE5EA2DA4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6" name="TextBox 2256">
          <a:extLst>
            <a:ext uri="{FF2B5EF4-FFF2-40B4-BE49-F238E27FC236}">
              <a16:creationId xmlns:a16="http://schemas.microsoft.com/office/drawing/2014/main" id="{149C6C6D-E58D-487D-8B7E-11BEB74C04F1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7" name="TextBox 2257">
          <a:extLst>
            <a:ext uri="{FF2B5EF4-FFF2-40B4-BE49-F238E27FC236}">
              <a16:creationId xmlns:a16="http://schemas.microsoft.com/office/drawing/2014/main" id="{59A8A515-5C98-4B82-9A66-8EF50754DC20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8" name="TextBox 2258">
          <a:extLst>
            <a:ext uri="{FF2B5EF4-FFF2-40B4-BE49-F238E27FC236}">
              <a16:creationId xmlns:a16="http://schemas.microsoft.com/office/drawing/2014/main" id="{9E2E327A-46B8-4E12-A42D-EE418B61329A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49" name="TextBox 2259">
          <a:extLst>
            <a:ext uri="{FF2B5EF4-FFF2-40B4-BE49-F238E27FC236}">
              <a16:creationId xmlns:a16="http://schemas.microsoft.com/office/drawing/2014/main" id="{5151B506-FCC8-470E-A9ED-67989B57C98D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0" name="TextBox 2260">
          <a:extLst>
            <a:ext uri="{FF2B5EF4-FFF2-40B4-BE49-F238E27FC236}">
              <a16:creationId xmlns:a16="http://schemas.microsoft.com/office/drawing/2014/main" id="{3FC5664B-3D8D-45A0-81AE-3AD5534C3C93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1" name="TextBox 2261">
          <a:extLst>
            <a:ext uri="{FF2B5EF4-FFF2-40B4-BE49-F238E27FC236}">
              <a16:creationId xmlns:a16="http://schemas.microsoft.com/office/drawing/2014/main" id="{3404385C-8F93-4D48-BFC4-86722103CC25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2" name="TextBox 2262">
          <a:extLst>
            <a:ext uri="{FF2B5EF4-FFF2-40B4-BE49-F238E27FC236}">
              <a16:creationId xmlns:a16="http://schemas.microsoft.com/office/drawing/2014/main" id="{C2C1069E-83C3-44AE-BB6F-9A8287026BBF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3" name="TextBox 2263">
          <a:extLst>
            <a:ext uri="{FF2B5EF4-FFF2-40B4-BE49-F238E27FC236}">
              <a16:creationId xmlns:a16="http://schemas.microsoft.com/office/drawing/2014/main" id="{B7AFC89C-BBA0-410B-840E-0CE2731E458E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4" name="TextBox 13">
          <a:extLst>
            <a:ext uri="{FF2B5EF4-FFF2-40B4-BE49-F238E27FC236}">
              <a16:creationId xmlns:a16="http://schemas.microsoft.com/office/drawing/2014/main" id="{A04369C6-8558-44C0-8A65-58B7241DE6D2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5" name="TextBox 14">
          <a:extLst>
            <a:ext uri="{FF2B5EF4-FFF2-40B4-BE49-F238E27FC236}">
              <a16:creationId xmlns:a16="http://schemas.microsoft.com/office/drawing/2014/main" id="{BABC7500-EBE7-436C-8D10-0CB7D8C93CDA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6" name="TextBox 2266">
          <a:extLst>
            <a:ext uri="{FF2B5EF4-FFF2-40B4-BE49-F238E27FC236}">
              <a16:creationId xmlns:a16="http://schemas.microsoft.com/office/drawing/2014/main" id="{6CE7E4C6-FBD4-4006-8B77-4CB6E08040DA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7" name="TextBox 2267">
          <a:extLst>
            <a:ext uri="{FF2B5EF4-FFF2-40B4-BE49-F238E27FC236}">
              <a16:creationId xmlns:a16="http://schemas.microsoft.com/office/drawing/2014/main" id="{278E435B-172C-48BD-B3D6-29657B67FB51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8" name="TextBox 2268">
          <a:extLst>
            <a:ext uri="{FF2B5EF4-FFF2-40B4-BE49-F238E27FC236}">
              <a16:creationId xmlns:a16="http://schemas.microsoft.com/office/drawing/2014/main" id="{EC701070-6F4B-46CE-A3AC-B6534CE72C26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59" name="TextBox 2269">
          <a:extLst>
            <a:ext uri="{FF2B5EF4-FFF2-40B4-BE49-F238E27FC236}">
              <a16:creationId xmlns:a16="http://schemas.microsoft.com/office/drawing/2014/main" id="{42E1D092-A7F1-4539-A857-22D9B89650E3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0" name="TextBox 15">
          <a:extLst>
            <a:ext uri="{FF2B5EF4-FFF2-40B4-BE49-F238E27FC236}">
              <a16:creationId xmlns:a16="http://schemas.microsoft.com/office/drawing/2014/main" id="{942525B1-2731-4B16-9AC3-23F6529FFA5C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1" name="TextBox 16">
          <a:extLst>
            <a:ext uri="{FF2B5EF4-FFF2-40B4-BE49-F238E27FC236}">
              <a16:creationId xmlns:a16="http://schemas.microsoft.com/office/drawing/2014/main" id="{09CA744E-C32F-45EE-92C5-C3BE3AC9278D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2" name="TextBox 17">
          <a:extLst>
            <a:ext uri="{FF2B5EF4-FFF2-40B4-BE49-F238E27FC236}">
              <a16:creationId xmlns:a16="http://schemas.microsoft.com/office/drawing/2014/main" id="{E5A175C3-D23F-4525-9D51-5A9CE42A290D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3" name="TextBox 18">
          <a:extLst>
            <a:ext uri="{FF2B5EF4-FFF2-40B4-BE49-F238E27FC236}">
              <a16:creationId xmlns:a16="http://schemas.microsoft.com/office/drawing/2014/main" id="{0B3BE152-AB8E-4DC8-9E5C-47970091385D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4" name="TextBox 2274">
          <a:extLst>
            <a:ext uri="{FF2B5EF4-FFF2-40B4-BE49-F238E27FC236}">
              <a16:creationId xmlns:a16="http://schemas.microsoft.com/office/drawing/2014/main" id="{69241C1B-1D12-4422-8AC0-02F53E6DCD17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5" name="TextBox 2275">
          <a:extLst>
            <a:ext uri="{FF2B5EF4-FFF2-40B4-BE49-F238E27FC236}">
              <a16:creationId xmlns:a16="http://schemas.microsoft.com/office/drawing/2014/main" id="{09BB8B07-9A8C-4153-BD6C-9A694147658D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6" name="TextBox 1">
          <a:extLst>
            <a:ext uri="{FF2B5EF4-FFF2-40B4-BE49-F238E27FC236}">
              <a16:creationId xmlns:a16="http://schemas.microsoft.com/office/drawing/2014/main" id="{9B9B4B1C-3B13-4157-A959-14434FC86E5E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7" name="TextBox 3">
          <a:extLst>
            <a:ext uri="{FF2B5EF4-FFF2-40B4-BE49-F238E27FC236}">
              <a16:creationId xmlns:a16="http://schemas.microsoft.com/office/drawing/2014/main" id="{BEA63BC0-2DD9-407C-B30C-1E82DF249C33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8" name="TextBox 2278">
          <a:extLst>
            <a:ext uri="{FF2B5EF4-FFF2-40B4-BE49-F238E27FC236}">
              <a16:creationId xmlns:a16="http://schemas.microsoft.com/office/drawing/2014/main" id="{59F8E9B7-FD3A-4ACA-ABF8-6C1EB43700C1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69" name="TextBox 2279">
          <a:extLst>
            <a:ext uri="{FF2B5EF4-FFF2-40B4-BE49-F238E27FC236}">
              <a16:creationId xmlns:a16="http://schemas.microsoft.com/office/drawing/2014/main" id="{5751D073-DDAE-4DD4-9854-8AE5C908820B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0" name="TextBox 2280">
          <a:extLst>
            <a:ext uri="{FF2B5EF4-FFF2-40B4-BE49-F238E27FC236}">
              <a16:creationId xmlns:a16="http://schemas.microsoft.com/office/drawing/2014/main" id="{0259ABB7-31AA-426A-9DF5-4D40A253AD1D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1" name="TextBox 2281">
          <a:extLst>
            <a:ext uri="{FF2B5EF4-FFF2-40B4-BE49-F238E27FC236}">
              <a16:creationId xmlns:a16="http://schemas.microsoft.com/office/drawing/2014/main" id="{C065CDA4-1DEB-4407-82AD-D0077377D6BE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2" name="TextBox 2282">
          <a:extLst>
            <a:ext uri="{FF2B5EF4-FFF2-40B4-BE49-F238E27FC236}">
              <a16:creationId xmlns:a16="http://schemas.microsoft.com/office/drawing/2014/main" id="{0D22AFC2-E76E-481C-9706-40F6A9B722F4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3" name="TextBox 2283">
          <a:extLst>
            <a:ext uri="{FF2B5EF4-FFF2-40B4-BE49-F238E27FC236}">
              <a16:creationId xmlns:a16="http://schemas.microsoft.com/office/drawing/2014/main" id="{22C875F7-0CC4-4E00-97E3-418B55082E64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4" name="TextBox 2284">
          <a:extLst>
            <a:ext uri="{FF2B5EF4-FFF2-40B4-BE49-F238E27FC236}">
              <a16:creationId xmlns:a16="http://schemas.microsoft.com/office/drawing/2014/main" id="{7C33A934-9F67-4F9D-963B-A65524E8F591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5" name="TextBox 2285">
          <a:extLst>
            <a:ext uri="{FF2B5EF4-FFF2-40B4-BE49-F238E27FC236}">
              <a16:creationId xmlns:a16="http://schemas.microsoft.com/office/drawing/2014/main" id="{8CD2B98C-A2BC-4FB1-8C1D-82736F1F2D65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6" name="TextBox 2286">
          <a:extLst>
            <a:ext uri="{FF2B5EF4-FFF2-40B4-BE49-F238E27FC236}">
              <a16:creationId xmlns:a16="http://schemas.microsoft.com/office/drawing/2014/main" id="{8421D182-227B-43D5-91D1-4313C2E1DB73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7" name="TextBox 2287">
          <a:extLst>
            <a:ext uri="{FF2B5EF4-FFF2-40B4-BE49-F238E27FC236}">
              <a16:creationId xmlns:a16="http://schemas.microsoft.com/office/drawing/2014/main" id="{F083E314-AD86-43ED-9377-56B38FFC10E5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8" name="TextBox 13">
          <a:extLst>
            <a:ext uri="{FF2B5EF4-FFF2-40B4-BE49-F238E27FC236}">
              <a16:creationId xmlns:a16="http://schemas.microsoft.com/office/drawing/2014/main" id="{775F34F7-1DCB-4EB9-829A-2E31D66A1BF2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79" name="TextBox 14">
          <a:extLst>
            <a:ext uri="{FF2B5EF4-FFF2-40B4-BE49-F238E27FC236}">
              <a16:creationId xmlns:a16="http://schemas.microsoft.com/office/drawing/2014/main" id="{48E69451-5978-4AE8-AB29-9B83ACD662B0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0" name="TextBox 2290">
          <a:extLst>
            <a:ext uri="{FF2B5EF4-FFF2-40B4-BE49-F238E27FC236}">
              <a16:creationId xmlns:a16="http://schemas.microsoft.com/office/drawing/2014/main" id="{AF36CC05-BF9E-4BB6-87BD-85E53F8733C3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1" name="TextBox 2291">
          <a:extLst>
            <a:ext uri="{FF2B5EF4-FFF2-40B4-BE49-F238E27FC236}">
              <a16:creationId xmlns:a16="http://schemas.microsoft.com/office/drawing/2014/main" id="{9249AFA7-7A27-4860-A3FC-9C8FF6776594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2" name="TextBox 2292">
          <a:extLst>
            <a:ext uri="{FF2B5EF4-FFF2-40B4-BE49-F238E27FC236}">
              <a16:creationId xmlns:a16="http://schemas.microsoft.com/office/drawing/2014/main" id="{4732BDC4-5C1A-4866-B0C1-E85B9CC31432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3" name="TextBox 2293">
          <a:extLst>
            <a:ext uri="{FF2B5EF4-FFF2-40B4-BE49-F238E27FC236}">
              <a16:creationId xmlns:a16="http://schemas.microsoft.com/office/drawing/2014/main" id="{AFD2520A-96F2-4A6F-BB22-F90606A3F754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4" name="TextBox 15">
          <a:extLst>
            <a:ext uri="{FF2B5EF4-FFF2-40B4-BE49-F238E27FC236}">
              <a16:creationId xmlns:a16="http://schemas.microsoft.com/office/drawing/2014/main" id="{0F1A4EA9-63FE-4F4D-B1E2-5AEE31599337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5" name="TextBox 16">
          <a:extLst>
            <a:ext uri="{FF2B5EF4-FFF2-40B4-BE49-F238E27FC236}">
              <a16:creationId xmlns:a16="http://schemas.microsoft.com/office/drawing/2014/main" id="{5E265E3D-4E01-40C4-BDC4-8829EB13A758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6" name="TextBox 17">
          <a:extLst>
            <a:ext uri="{FF2B5EF4-FFF2-40B4-BE49-F238E27FC236}">
              <a16:creationId xmlns:a16="http://schemas.microsoft.com/office/drawing/2014/main" id="{D1F06791-E9ED-4EDF-8615-3CE83E3D4126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7" name="TextBox 18">
          <a:extLst>
            <a:ext uri="{FF2B5EF4-FFF2-40B4-BE49-F238E27FC236}">
              <a16:creationId xmlns:a16="http://schemas.microsoft.com/office/drawing/2014/main" id="{266C5D26-6ACC-409D-9389-7C386C5F25E9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8" name="TextBox 2298">
          <a:extLst>
            <a:ext uri="{FF2B5EF4-FFF2-40B4-BE49-F238E27FC236}">
              <a16:creationId xmlns:a16="http://schemas.microsoft.com/office/drawing/2014/main" id="{653DBD81-B134-4C9F-8A09-F72253E7C258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89" name="TextBox 2299">
          <a:extLst>
            <a:ext uri="{FF2B5EF4-FFF2-40B4-BE49-F238E27FC236}">
              <a16:creationId xmlns:a16="http://schemas.microsoft.com/office/drawing/2014/main" id="{19A33EF7-0692-4B51-8847-EA5F24FF6DC1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0" name="TextBox 1">
          <a:extLst>
            <a:ext uri="{FF2B5EF4-FFF2-40B4-BE49-F238E27FC236}">
              <a16:creationId xmlns:a16="http://schemas.microsoft.com/office/drawing/2014/main" id="{5775B0DA-657F-405A-AA35-54DDE4C50EC6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1" name="TextBox 3">
          <a:extLst>
            <a:ext uri="{FF2B5EF4-FFF2-40B4-BE49-F238E27FC236}">
              <a16:creationId xmlns:a16="http://schemas.microsoft.com/office/drawing/2014/main" id="{BBBEAF2D-1527-4EE7-BED2-6760EC7B6465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2" name="TextBox 2302">
          <a:extLst>
            <a:ext uri="{FF2B5EF4-FFF2-40B4-BE49-F238E27FC236}">
              <a16:creationId xmlns:a16="http://schemas.microsoft.com/office/drawing/2014/main" id="{5AD92EFE-9C67-4F7A-86CC-7C3F80017435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3" name="TextBox 2303">
          <a:extLst>
            <a:ext uri="{FF2B5EF4-FFF2-40B4-BE49-F238E27FC236}">
              <a16:creationId xmlns:a16="http://schemas.microsoft.com/office/drawing/2014/main" id="{BFF9F2BF-E110-453F-99C5-110CF096C509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4" name="TextBox 2304">
          <a:extLst>
            <a:ext uri="{FF2B5EF4-FFF2-40B4-BE49-F238E27FC236}">
              <a16:creationId xmlns:a16="http://schemas.microsoft.com/office/drawing/2014/main" id="{EF805CA8-086A-4938-B53E-E18FD69AD31E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5" name="TextBox 2305">
          <a:extLst>
            <a:ext uri="{FF2B5EF4-FFF2-40B4-BE49-F238E27FC236}">
              <a16:creationId xmlns:a16="http://schemas.microsoft.com/office/drawing/2014/main" id="{02F10A42-9C6C-4B02-86A8-F9D86EDAF450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6" name="TextBox 2306">
          <a:extLst>
            <a:ext uri="{FF2B5EF4-FFF2-40B4-BE49-F238E27FC236}">
              <a16:creationId xmlns:a16="http://schemas.microsoft.com/office/drawing/2014/main" id="{AC520EE2-619E-43DB-86D9-D67D6007C713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7" name="TextBox 2307">
          <a:extLst>
            <a:ext uri="{FF2B5EF4-FFF2-40B4-BE49-F238E27FC236}">
              <a16:creationId xmlns:a16="http://schemas.microsoft.com/office/drawing/2014/main" id="{9B58083D-D61A-4AF8-9EBE-4F119A8C7276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8" name="TextBox 2308">
          <a:extLst>
            <a:ext uri="{FF2B5EF4-FFF2-40B4-BE49-F238E27FC236}">
              <a16:creationId xmlns:a16="http://schemas.microsoft.com/office/drawing/2014/main" id="{A30AF272-37AD-4802-BD03-393702CD741A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699" name="TextBox 2309">
          <a:extLst>
            <a:ext uri="{FF2B5EF4-FFF2-40B4-BE49-F238E27FC236}">
              <a16:creationId xmlns:a16="http://schemas.microsoft.com/office/drawing/2014/main" id="{35CC74DE-728A-4A67-AE55-B8A9D26DB1B0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0" name="TextBox 2310">
          <a:extLst>
            <a:ext uri="{FF2B5EF4-FFF2-40B4-BE49-F238E27FC236}">
              <a16:creationId xmlns:a16="http://schemas.microsoft.com/office/drawing/2014/main" id="{38DDC2EE-4B1C-4998-834D-06175EE14CB0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1" name="TextBox 2311">
          <a:extLst>
            <a:ext uri="{FF2B5EF4-FFF2-40B4-BE49-F238E27FC236}">
              <a16:creationId xmlns:a16="http://schemas.microsoft.com/office/drawing/2014/main" id="{D3835BAC-1EBE-45E2-A444-AC7C7CD4D86D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2" name="TextBox 13">
          <a:extLst>
            <a:ext uri="{FF2B5EF4-FFF2-40B4-BE49-F238E27FC236}">
              <a16:creationId xmlns:a16="http://schemas.microsoft.com/office/drawing/2014/main" id="{FC56BB66-CF7C-47FB-8CE9-0CAC677EEAA4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3" name="TextBox 14">
          <a:extLst>
            <a:ext uri="{FF2B5EF4-FFF2-40B4-BE49-F238E27FC236}">
              <a16:creationId xmlns:a16="http://schemas.microsoft.com/office/drawing/2014/main" id="{D8B211A3-D476-418D-8F90-962709027EA2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4" name="TextBox 2314">
          <a:extLst>
            <a:ext uri="{FF2B5EF4-FFF2-40B4-BE49-F238E27FC236}">
              <a16:creationId xmlns:a16="http://schemas.microsoft.com/office/drawing/2014/main" id="{A521A01B-8C03-453A-8219-AB95DAC4233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5" name="TextBox 2315">
          <a:extLst>
            <a:ext uri="{FF2B5EF4-FFF2-40B4-BE49-F238E27FC236}">
              <a16:creationId xmlns:a16="http://schemas.microsoft.com/office/drawing/2014/main" id="{F30666AE-1C9D-4476-9AEE-9E8D7549FE1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6" name="TextBox 2316">
          <a:extLst>
            <a:ext uri="{FF2B5EF4-FFF2-40B4-BE49-F238E27FC236}">
              <a16:creationId xmlns:a16="http://schemas.microsoft.com/office/drawing/2014/main" id="{3DE4C8EB-C9D5-4701-BD65-EE4B569EF4A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7" name="TextBox 2317">
          <a:extLst>
            <a:ext uri="{FF2B5EF4-FFF2-40B4-BE49-F238E27FC236}">
              <a16:creationId xmlns:a16="http://schemas.microsoft.com/office/drawing/2014/main" id="{60B6AD41-E899-4190-89B1-59582BFF5A9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8" name="TextBox 15">
          <a:extLst>
            <a:ext uri="{FF2B5EF4-FFF2-40B4-BE49-F238E27FC236}">
              <a16:creationId xmlns:a16="http://schemas.microsoft.com/office/drawing/2014/main" id="{3291736C-C9F8-4E68-8C3B-CEDDEBEF349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09" name="TextBox 16">
          <a:extLst>
            <a:ext uri="{FF2B5EF4-FFF2-40B4-BE49-F238E27FC236}">
              <a16:creationId xmlns:a16="http://schemas.microsoft.com/office/drawing/2014/main" id="{35877605-9EF0-4BB9-9C38-54D16A5BF66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0" name="TextBox 17">
          <a:extLst>
            <a:ext uri="{FF2B5EF4-FFF2-40B4-BE49-F238E27FC236}">
              <a16:creationId xmlns:a16="http://schemas.microsoft.com/office/drawing/2014/main" id="{2AE4A890-EB08-4F9A-8970-50489E00D82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1" name="TextBox 18">
          <a:extLst>
            <a:ext uri="{FF2B5EF4-FFF2-40B4-BE49-F238E27FC236}">
              <a16:creationId xmlns:a16="http://schemas.microsoft.com/office/drawing/2014/main" id="{A8C0B6D0-AC25-4C34-8EAB-9EF6E30C004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2" name="TextBox 2322">
          <a:extLst>
            <a:ext uri="{FF2B5EF4-FFF2-40B4-BE49-F238E27FC236}">
              <a16:creationId xmlns:a16="http://schemas.microsoft.com/office/drawing/2014/main" id="{C4D54E3C-67E5-4011-AEF3-D596F8049E1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3" name="TextBox 2323">
          <a:extLst>
            <a:ext uri="{FF2B5EF4-FFF2-40B4-BE49-F238E27FC236}">
              <a16:creationId xmlns:a16="http://schemas.microsoft.com/office/drawing/2014/main" id="{7DD16D6E-C735-49A1-9922-076D0C3705D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4" name="TextBox 1">
          <a:extLst>
            <a:ext uri="{FF2B5EF4-FFF2-40B4-BE49-F238E27FC236}">
              <a16:creationId xmlns:a16="http://schemas.microsoft.com/office/drawing/2014/main" id="{C88A82FE-8483-4F5C-A8B2-BE0E9DCC37C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5" name="TextBox 3">
          <a:extLst>
            <a:ext uri="{FF2B5EF4-FFF2-40B4-BE49-F238E27FC236}">
              <a16:creationId xmlns:a16="http://schemas.microsoft.com/office/drawing/2014/main" id="{BA37AB1A-175E-4776-BFE0-5F931E54390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6" name="TextBox 2326">
          <a:extLst>
            <a:ext uri="{FF2B5EF4-FFF2-40B4-BE49-F238E27FC236}">
              <a16:creationId xmlns:a16="http://schemas.microsoft.com/office/drawing/2014/main" id="{2A1EE11B-A636-4504-A863-A5673085F35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7" name="TextBox 2327">
          <a:extLst>
            <a:ext uri="{FF2B5EF4-FFF2-40B4-BE49-F238E27FC236}">
              <a16:creationId xmlns:a16="http://schemas.microsoft.com/office/drawing/2014/main" id="{C1DFBD0D-9241-4C99-BEAB-12EDFAF1F62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8" name="TextBox 2328">
          <a:extLst>
            <a:ext uri="{FF2B5EF4-FFF2-40B4-BE49-F238E27FC236}">
              <a16:creationId xmlns:a16="http://schemas.microsoft.com/office/drawing/2014/main" id="{98C5A913-AC18-403F-8E4E-5DE3FD8D7DD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19" name="TextBox 2329">
          <a:extLst>
            <a:ext uri="{FF2B5EF4-FFF2-40B4-BE49-F238E27FC236}">
              <a16:creationId xmlns:a16="http://schemas.microsoft.com/office/drawing/2014/main" id="{BB6FFA41-85EB-437E-8467-8F6F9E3FBE1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0" name="TextBox 2330">
          <a:extLst>
            <a:ext uri="{FF2B5EF4-FFF2-40B4-BE49-F238E27FC236}">
              <a16:creationId xmlns:a16="http://schemas.microsoft.com/office/drawing/2014/main" id="{92EB701C-5D60-4D68-9DC3-3564FE27F0E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1" name="TextBox 2331">
          <a:extLst>
            <a:ext uri="{FF2B5EF4-FFF2-40B4-BE49-F238E27FC236}">
              <a16:creationId xmlns:a16="http://schemas.microsoft.com/office/drawing/2014/main" id="{D6098453-6FFD-4B81-95FC-2B1563A273D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2" name="TextBox 2332">
          <a:extLst>
            <a:ext uri="{FF2B5EF4-FFF2-40B4-BE49-F238E27FC236}">
              <a16:creationId xmlns:a16="http://schemas.microsoft.com/office/drawing/2014/main" id="{D5ACD6E9-BD0B-4C88-9156-6BEF991FA42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3" name="TextBox 2333">
          <a:extLst>
            <a:ext uri="{FF2B5EF4-FFF2-40B4-BE49-F238E27FC236}">
              <a16:creationId xmlns:a16="http://schemas.microsoft.com/office/drawing/2014/main" id="{ED5A8BD1-FA50-44D5-BF8E-529104DEA87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4" name="TextBox 2334">
          <a:extLst>
            <a:ext uri="{FF2B5EF4-FFF2-40B4-BE49-F238E27FC236}">
              <a16:creationId xmlns:a16="http://schemas.microsoft.com/office/drawing/2014/main" id="{50C05DB9-6D3B-4793-BF54-DDA87391688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5" name="TextBox 2335">
          <a:extLst>
            <a:ext uri="{FF2B5EF4-FFF2-40B4-BE49-F238E27FC236}">
              <a16:creationId xmlns:a16="http://schemas.microsoft.com/office/drawing/2014/main" id="{60ADA21A-8DFC-4863-A27F-4D866F0046E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6" name="TextBox 13">
          <a:extLst>
            <a:ext uri="{FF2B5EF4-FFF2-40B4-BE49-F238E27FC236}">
              <a16:creationId xmlns:a16="http://schemas.microsoft.com/office/drawing/2014/main" id="{A9D38AA8-1C9C-4E16-9247-7AA87CBB614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7" name="TextBox 14">
          <a:extLst>
            <a:ext uri="{FF2B5EF4-FFF2-40B4-BE49-F238E27FC236}">
              <a16:creationId xmlns:a16="http://schemas.microsoft.com/office/drawing/2014/main" id="{E5524410-CB06-4072-B88B-31A485CC85D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8" name="TextBox 2338">
          <a:extLst>
            <a:ext uri="{FF2B5EF4-FFF2-40B4-BE49-F238E27FC236}">
              <a16:creationId xmlns:a16="http://schemas.microsoft.com/office/drawing/2014/main" id="{A681F923-F07F-40C0-857D-74CF6868138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29" name="TextBox 2339">
          <a:extLst>
            <a:ext uri="{FF2B5EF4-FFF2-40B4-BE49-F238E27FC236}">
              <a16:creationId xmlns:a16="http://schemas.microsoft.com/office/drawing/2014/main" id="{E1CD16A9-0186-499B-8D35-24C4D7DAC9C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0" name="TextBox 2340">
          <a:extLst>
            <a:ext uri="{FF2B5EF4-FFF2-40B4-BE49-F238E27FC236}">
              <a16:creationId xmlns:a16="http://schemas.microsoft.com/office/drawing/2014/main" id="{522C0B4E-22FF-423A-B66F-CC2DB3B5D9A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1" name="TextBox 2341">
          <a:extLst>
            <a:ext uri="{FF2B5EF4-FFF2-40B4-BE49-F238E27FC236}">
              <a16:creationId xmlns:a16="http://schemas.microsoft.com/office/drawing/2014/main" id="{B35E02F6-822D-4CA9-889B-447032EC562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2" name="TextBox 15">
          <a:extLst>
            <a:ext uri="{FF2B5EF4-FFF2-40B4-BE49-F238E27FC236}">
              <a16:creationId xmlns:a16="http://schemas.microsoft.com/office/drawing/2014/main" id="{2E64EE1A-5C66-4601-A371-60B568834BB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3" name="TextBox 16">
          <a:extLst>
            <a:ext uri="{FF2B5EF4-FFF2-40B4-BE49-F238E27FC236}">
              <a16:creationId xmlns:a16="http://schemas.microsoft.com/office/drawing/2014/main" id="{F8B6EDA5-2236-45B2-ADEA-E9E26B2FB35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4" name="TextBox 17">
          <a:extLst>
            <a:ext uri="{FF2B5EF4-FFF2-40B4-BE49-F238E27FC236}">
              <a16:creationId xmlns:a16="http://schemas.microsoft.com/office/drawing/2014/main" id="{E696D1E9-0242-4DAC-8A65-7B0BEE693B2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5" name="TextBox 18">
          <a:extLst>
            <a:ext uri="{FF2B5EF4-FFF2-40B4-BE49-F238E27FC236}">
              <a16:creationId xmlns:a16="http://schemas.microsoft.com/office/drawing/2014/main" id="{D985D3E9-43E8-4741-BFB3-C9D808E145F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6" name="TextBox 2346">
          <a:extLst>
            <a:ext uri="{FF2B5EF4-FFF2-40B4-BE49-F238E27FC236}">
              <a16:creationId xmlns:a16="http://schemas.microsoft.com/office/drawing/2014/main" id="{F9A325C8-7FD2-4C8C-BBEA-88C90C933AF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7" name="TextBox 2347">
          <a:extLst>
            <a:ext uri="{FF2B5EF4-FFF2-40B4-BE49-F238E27FC236}">
              <a16:creationId xmlns:a16="http://schemas.microsoft.com/office/drawing/2014/main" id="{52BCF869-5655-444A-A1DE-C35A0323065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8" name="TextBox 1">
          <a:extLst>
            <a:ext uri="{FF2B5EF4-FFF2-40B4-BE49-F238E27FC236}">
              <a16:creationId xmlns:a16="http://schemas.microsoft.com/office/drawing/2014/main" id="{41EFCAC8-4931-4D26-8EE7-006C2EB71F1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39" name="TextBox 3">
          <a:extLst>
            <a:ext uri="{FF2B5EF4-FFF2-40B4-BE49-F238E27FC236}">
              <a16:creationId xmlns:a16="http://schemas.microsoft.com/office/drawing/2014/main" id="{F6188182-F59F-4716-9898-B75299C7D8B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0" name="TextBox 2350">
          <a:extLst>
            <a:ext uri="{FF2B5EF4-FFF2-40B4-BE49-F238E27FC236}">
              <a16:creationId xmlns:a16="http://schemas.microsoft.com/office/drawing/2014/main" id="{3C02176D-CCC8-493E-B386-2A22CC3EBE3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1" name="TextBox 2351">
          <a:extLst>
            <a:ext uri="{FF2B5EF4-FFF2-40B4-BE49-F238E27FC236}">
              <a16:creationId xmlns:a16="http://schemas.microsoft.com/office/drawing/2014/main" id="{0C5E7BAB-08F0-4495-A02F-B1AF1EBEF48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2" name="TextBox 2352">
          <a:extLst>
            <a:ext uri="{FF2B5EF4-FFF2-40B4-BE49-F238E27FC236}">
              <a16:creationId xmlns:a16="http://schemas.microsoft.com/office/drawing/2014/main" id="{ED697091-A2B1-4CE2-8527-B742CFB9C32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3" name="TextBox 2353">
          <a:extLst>
            <a:ext uri="{FF2B5EF4-FFF2-40B4-BE49-F238E27FC236}">
              <a16:creationId xmlns:a16="http://schemas.microsoft.com/office/drawing/2014/main" id="{BAEC2DE0-67A5-4CFC-B75E-F8312C9DCD5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4" name="TextBox 2354">
          <a:extLst>
            <a:ext uri="{FF2B5EF4-FFF2-40B4-BE49-F238E27FC236}">
              <a16:creationId xmlns:a16="http://schemas.microsoft.com/office/drawing/2014/main" id="{C7B0FF25-15D2-4F09-87F3-2D13BE4440B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5" name="TextBox 2355">
          <a:extLst>
            <a:ext uri="{FF2B5EF4-FFF2-40B4-BE49-F238E27FC236}">
              <a16:creationId xmlns:a16="http://schemas.microsoft.com/office/drawing/2014/main" id="{0C07FFD4-C16C-405D-A671-ECADF68B195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6" name="TextBox 2356">
          <a:extLst>
            <a:ext uri="{FF2B5EF4-FFF2-40B4-BE49-F238E27FC236}">
              <a16:creationId xmlns:a16="http://schemas.microsoft.com/office/drawing/2014/main" id="{91339955-D278-4EBE-941F-1760E9BBCD8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7" name="TextBox 2357">
          <a:extLst>
            <a:ext uri="{FF2B5EF4-FFF2-40B4-BE49-F238E27FC236}">
              <a16:creationId xmlns:a16="http://schemas.microsoft.com/office/drawing/2014/main" id="{7F7545A5-63CE-459C-9AF8-1E16420FD77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8" name="TextBox 2358">
          <a:extLst>
            <a:ext uri="{FF2B5EF4-FFF2-40B4-BE49-F238E27FC236}">
              <a16:creationId xmlns:a16="http://schemas.microsoft.com/office/drawing/2014/main" id="{B8235864-EDC0-4DC1-9536-0B82AC3180C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49" name="TextBox 2359">
          <a:extLst>
            <a:ext uri="{FF2B5EF4-FFF2-40B4-BE49-F238E27FC236}">
              <a16:creationId xmlns:a16="http://schemas.microsoft.com/office/drawing/2014/main" id="{AC0993C9-EABF-44D3-BBB4-DAB4A1EF83A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0" name="TextBox 13">
          <a:extLst>
            <a:ext uri="{FF2B5EF4-FFF2-40B4-BE49-F238E27FC236}">
              <a16:creationId xmlns:a16="http://schemas.microsoft.com/office/drawing/2014/main" id="{B961078F-F67D-4175-ACBA-619675BEA60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1" name="TextBox 14">
          <a:extLst>
            <a:ext uri="{FF2B5EF4-FFF2-40B4-BE49-F238E27FC236}">
              <a16:creationId xmlns:a16="http://schemas.microsoft.com/office/drawing/2014/main" id="{47279F6C-0EC2-4A2F-8E4D-156EEA751DE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2" name="TextBox 2362">
          <a:extLst>
            <a:ext uri="{FF2B5EF4-FFF2-40B4-BE49-F238E27FC236}">
              <a16:creationId xmlns:a16="http://schemas.microsoft.com/office/drawing/2014/main" id="{AF6866FC-7E85-4C8C-AA9F-689C89F68E9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3" name="TextBox 2363">
          <a:extLst>
            <a:ext uri="{FF2B5EF4-FFF2-40B4-BE49-F238E27FC236}">
              <a16:creationId xmlns:a16="http://schemas.microsoft.com/office/drawing/2014/main" id="{0AAD5956-CB03-4C3F-987B-6EBDE59A34A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4" name="TextBox 2364">
          <a:extLst>
            <a:ext uri="{FF2B5EF4-FFF2-40B4-BE49-F238E27FC236}">
              <a16:creationId xmlns:a16="http://schemas.microsoft.com/office/drawing/2014/main" id="{722752ED-AC02-47D7-B29F-86452B58C71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5" name="TextBox 2365">
          <a:extLst>
            <a:ext uri="{FF2B5EF4-FFF2-40B4-BE49-F238E27FC236}">
              <a16:creationId xmlns:a16="http://schemas.microsoft.com/office/drawing/2014/main" id="{5742D9B4-1918-40D4-9187-C84E0D6CFF2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6" name="TextBox 15">
          <a:extLst>
            <a:ext uri="{FF2B5EF4-FFF2-40B4-BE49-F238E27FC236}">
              <a16:creationId xmlns:a16="http://schemas.microsoft.com/office/drawing/2014/main" id="{AF15B986-E0DE-44EA-8E82-F9E8B00DFC0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7" name="TextBox 16">
          <a:extLst>
            <a:ext uri="{FF2B5EF4-FFF2-40B4-BE49-F238E27FC236}">
              <a16:creationId xmlns:a16="http://schemas.microsoft.com/office/drawing/2014/main" id="{D13C07FD-DADF-411E-855B-22D9F6E3388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8" name="TextBox 17">
          <a:extLst>
            <a:ext uri="{FF2B5EF4-FFF2-40B4-BE49-F238E27FC236}">
              <a16:creationId xmlns:a16="http://schemas.microsoft.com/office/drawing/2014/main" id="{7F5A43E3-685B-4CED-AA9B-1159E8AB13E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59" name="TextBox 18">
          <a:extLst>
            <a:ext uri="{FF2B5EF4-FFF2-40B4-BE49-F238E27FC236}">
              <a16:creationId xmlns:a16="http://schemas.microsoft.com/office/drawing/2014/main" id="{BA0AB03E-2B43-4731-96DA-D75ADDB3291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0" name="TextBox 2370">
          <a:extLst>
            <a:ext uri="{FF2B5EF4-FFF2-40B4-BE49-F238E27FC236}">
              <a16:creationId xmlns:a16="http://schemas.microsoft.com/office/drawing/2014/main" id="{2CE6A1E6-16F1-44C4-A1B9-14540184011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1" name="TextBox 2371">
          <a:extLst>
            <a:ext uri="{FF2B5EF4-FFF2-40B4-BE49-F238E27FC236}">
              <a16:creationId xmlns:a16="http://schemas.microsoft.com/office/drawing/2014/main" id="{D554E300-EF62-4E7C-85F9-F088AC3E1BB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2" name="TextBox 1">
          <a:extLst>
            <a:ext uri="{FF2B5EF4-FFF2-40B4-BE49-F238E27FC236}">
              <a16:creationId xmlns:a16="http://schemas.microsoft.com/office/drawing/2014/main" id="{EF8A1FB6-0F49-4033-9ABA-D70958549B0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3" name="TextBox 3">
          <a:extLst>
            <a:ext uri="{FF2B5EF4-FFF2-40B4-BE49-F238E27FC236}">
              <a16:creationId xmlns:a16="http://schemas.microsoft.com/office/drawing/2014/main" id="{E354C83D-C1E9-4BCC-A453-BF269002696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4" name="TextBox 2374">
          <a:extLst>
            <a:ext uri="{FF2B5EF4-FFF2-40B4-BE49-F238E27FC236}">
              <a16:creationId xmlns:a16="http://schemas.microsoft.com/office/drawing/2014/main" id="{F03826C1-6F9B-46DA-A841-0B3D089BF4F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5" name="TextBox 2375">
          <a:extLst>
            <a:ext uri="{FF2B5EF4-FFF2-40B4-BE49-F238E27FC236}">
              <a16:creationId xmlns:a16="http://schemas.microsoft.com/office/drawing/2014/main" id="{D20ED617-A34D-4D0E-9FE8-D2D70DC40BD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6" name="TextBox 2376">
          <a:extLst>
            <a:ext uri="{FF2B5EF4-FFF2-40B4-BE49-F238E27FC236}">
              <a16:creationId xmlns:a16="http://schemas.microsoft.com/office/drawing/2014/main" id="{29BB45A0-F36F-463E-A4EB-71EC2C68275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7" name="TextBox 2377">
          <a:extLst>
            <a:ext uri="{FF2B5EF4-FFF2-40B4-BE49-F238E27FC236}">
              <a16:creationId xmlns:a16="http://schemas.microsoft.com/office/drawing/2014/main" id="{21BAE782-C13D-4180-8DE8-06F75A71040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8" name="TextBox 2378">
          <a:extLst>
            <a:ext uri="{FF2B5EF4-FFF2-40B4-BE49-F238E27FC236}">
              <a16:creationId xmlns:a16="http://schemas.microsoft.com/office/drawing/2014/main" id="{3AF2BD84-3CBF-4F86-943B-BCA2FE01C3B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69" name="TextBox 2379">
          <a:extLst>
            <a:ext uri="{FF2B5EF4-FFF2-40B4-BE49-F238E27FC236}">
              <a16:creationId xmlns:a16="http://schemas.microsoft.com/office/drawing/2014/main" id="{0CAF5435-617C-44E1-B3AE-F37AFB0EDF0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0" name="TextBox 2380">
          <a:extLst>
            <a:ext uri="{FF2B5EF4-FFF2-40B4-BE49-F238E27FC236}">
              <a16:creationId xmlns:a16="http://schemas.microsoft.com/office/drawing/2014/main" id="{7AA6A2E1-3815-48B4-89DE-9A204557D43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1" name="TextBox 2381">
          <a:extLst>
            <a:ext uri="{FF2B5EF4-FFF2-40B4-BE49-F238E27FC236}">
              <a16:creationId xmlns:a16="http://schemas.microsoft.com/office/drawing/2014/main" id="{82E2CCCF-D06A-4248-B90E-449F938DD7C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2" name="TextBox 2382">
          <a:extLst>
            <a:ext uri="{FF2B5EF4-FFF2-40B4-BE49-F238E27FC236}">
              <a16:creationId xmlns:a16="http://schemas.microsoft.com/office/drawing/2014/main" id="{15614251-3346-452F-9C86-2B22486B318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3" name="TextBox 2383">
          <a:extLst>
            <a:ext uri="{FF2B5EF4-FFF2-40B4-BE49-F238E27FC236}">
              <a16:creationId xmlns:a16="http://schemas.microsoft.com/office/drawing/2014/main" id="{AFB3E39C-86B5-4AC0-AB97-3EF4130F17B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4" name="TextBox 13">
          <a:extLst>
            <a:ext uri="{FF2B5EF4-FFF2-40B4-BE49-F238E27FC236}">
              <a16:creationId xmlns:a16="http://schemas.microsoft.com/office/drawing/2014/main" id="{D860719C-FBBB-46DB-979D-0596FC47C96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5" name="TextBox 14">
          <a:extLst>
            <a:ext uri="{FF2B5EF4-FFF2-40B4-BE49-F238E27FC236}">
              <a16:creationId xmlns:a16="http://schemas.microsoft.com/office/drawing/2014/main" id="{54A6E2CD-E9CC-45AD-8D41-5D5F2CDF6E3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6" name="TextBox 2386">
          <a:extLst>
            <a:ext uri="{FF2B5EF4-FFF2-40B4-BE49-F238E27FC236}">
              <a16:creationId xmlns:a16="http://schemas.microsoft.com/office/drawing/2014/main" id="{0DA449CF-DFE5-478C-B298-60BC313C5E4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7" name="TextBox 2387">
          <a:extLst>
            <a:ext uri="{FF2B5EF4-FFF2-40B4-BE49-F238E27FC236}">
              <a16:creationId xmlns:a16="http://schemas.microsoft.com/office/drawing/2014/main" id="{E377C29B-D6B7-4938-A4E3-C1065095A0B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8" name="TextBox 2388">
          <a:extLst>
            <a:ext uri="{FF2B5EF4-FFF2-40B4-BE49-F238E27FC236}">
              <a16:creationId xmlns:a16="http://schemas.microsoft.com/office/drawing/2014/main" id="{263FFB1B-8BDD-461B-AD62-EA7A6ACDBC0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79" name="TextBox 2389">
          <a:extLst>
            <a:ext uri="{FF2B5EF4-FFF2-40B4-BE49-F238E27FC236}">
              <a16:creationId xmlns:a16="http://schemas.microsoft.com/office/drawing/2014/main" id="{E8452B70-9D69-4AE3-B0ED-C37D4170715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0" name="TextBox 15">
          <a:extLst>
            <a:ext uri="{FF2B5EF4-FFF2-40B4-BE49-F238E27FC236}">
              <a16:creationId xmlns:a16="http://schemas.microsoft.com/office/drawing/2014/main" id="{EB750AA9-1A1B-4CDF-99D5-153462FAF88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1" name="TextBox 16">
          <a:extLst>
            <a:ext uri="{FF2B5EF4-FFF2-40B4-BE49-F238E27FC236}">
              <a16:creationId xmlns:a16="http://schemas.microsoft.com/office/drawing/2014/main" id="{B8E51913-BFCA-4E6B-9E57-FD32B9CEB94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2" name="TextBox 17">
          <a:extLst>
            <a:ext uri="{FF2B5EF4-FFF2-40B4-BE49-F238E27FC236}">
              <a16:creationId xmlns:a16="http://schemas.microsoft.com/office/drawing/2014/main" id="{85687DDC-5131-44C2-BC52-92023CAE8FA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3" name="TextBox 18">
          <a:extLst>
            <a:ext uri="{FF2B5EF4-FFF2-40B4-BE49-F238E27FC236}">
              <a16:creationId xmlns:a16="http://schemas.microsoft.com/office/drawing/2014/main" id="{B85A9E50-DFD7-417D-9309-F62E47CE4DF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4" name="TextBox 2394">
          <a:extLst>
            <a:ext uri="{FF2B5EF4-FFF2-40B4-BE49-F238E27FC236}">
              <a16:creationId xmlns:a16="http://schemas.microsoft.com/office/drawing/2014/main" id="{CB2F1CDF-1735-49B5-BA7C-E40D5A961F8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5" name="TextBox 2395">
          <a:extLst>
            <a:ext uri="{FF2B5EF4-FFF2-40B4-BE49-F238E27FC236}">
              <a16:creationId xmlns:a16="http://schemas.microsoft.com/office/drawing/2014/main" id="{00DCDB99-EA05-452D-8062-EE4D4988647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6" name="TextBox 1">
          <a:extLst>
            <a:ext uri="{FF2B5EF4-FFF2-40B4-BE49-F238E27FC236}">
              <a16:creationId xmlns:a16="http://schemas.microsoft.com/office/drawing/2014/main" id="{56C987F0-0D66-4E1B-931E-B6EB41FE171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7" name="TextBox 3">
          <a:extLst>
            <a:ext uri="{FF2B5EF4-FFF2-40B4-BE49-F238E27FC236}">
              <a16:creationId xmlns:a16="http://schemas.microsoft.com/office/drawing/2014/main" id="{53857AFF-B762-4846-857F-B0A1945C576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8" name="TextBox 2398">
          <a:extLst>
            <a:ext uri="{FF2B5EF4-FFF2-40B4-BE49-F238E27FC236}">
              <a16:creationId xmlns:a16="http://schemas.microsoft.com/office/drawing/2014/main" id="{22C974ED-918F-48F3-B599-05A3471950B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89" name="TextBox 2399">
          <a:extLst>
            <a:ext uri="{FF2B5EF4-FFF2-40B4-BE49-F238E27FC236}">
              <a16:creationId xmlns:a16="http://schemas.microsoft.com/office/drawing/2014/main" id="{62CE03F3-9C85-4F1B-8403-F26A2B2D283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0" name="TextBox 2400">
          <a:extLst>
            <a:ext uri="{FF2B5EF4-FFF2-40B4-BE49-F238E27FC236}">
              <a16:creationId xmlns:a16="http://schemas.microsoft.com/office/drawing/2014/main" id="{A9D8C60F-DE7E-42AD-986A-33DFE136976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1" name="TextBox 2401">
          <a:extLst>
            <a:ext uri="{FF2B5EF4-FFF2-40B4-BE49-F238E27FC236}">
              <a16:creationId xmlns:a16="http://schemas.microsoft.com/office/drawing/2014/main" id="{D2A80B6A-063F-454B-8CCA-85C7C195F2A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2" name="TextBox 2402">
          <a:extLst>
            <a:ext uri="{FF2B5EF4-FFF2-40B4-BE49-F238E27FC236}">
              <a16:creationId xmlns:a16="http://schemas.microsoft.com/office/drawing/2014/main" id="{B4A77320-6215-45D4-B605-EC4422027CF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3" name="TextBox 2403">
          <a:extLst>
            <a:ext uri="{FF2B5EF4-FFF2-40B4-BE49-F238E27FC236}">
              <a16:creationId xmlns:a16="http://schemas.microsoft.com/office/drawing/2014/main" id="{16ADFD6E-DB43-49A2-86A3-0EC82B82AB9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4" name="TextBox 2404">
          <a:extLst>
            <a:ext uri="{FF2B5EF4-FFF2-40B4-BE49-F238E27FC236}">
              <a16:creationId xmlns:a16="http://schemas.microsoft.com/office/drawing/2014/main" id="{26CCB7D0-A924-4F91-B8CB-0588D9B1D08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5" name="TextBox 2405">
          <a:extLst>
            <a:ext uri="{FF2B5EF4-FFF2-40B4-BE49-F238E27FC236}">
              <a16:creationId xmlns:a16="http://schemas.microsoft.com/office/drawing/2014/main" id="{7E53DBD2-71AA-4686-A839-1BB47F63152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6" name="TextBox 2406">
          <a:extLst>
            <a:ext uri="{FF2B5EF4-FFF2-40B4-BE49-F238E27FC236}">
              <a16:creationId xmlns:a16="http://schemas.microsoft.com/office/drawing/2014/main" id="{2C3D1F9A-3D35-421F-9EBD-6734167A014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7" name="TextBox 2407">
          <a:extLst>
            <a:ext uri="{FF2B5EF4-FFF2-40B4-BE49-F238E27FC236}">
              <a16:creationId xmlns:a16="http://schemas.microsoft.com/office/drawing/2014/main" id="{5028000A-F139-4601-BF17-B7644650B69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8" name="TextBox 13">
          <a:extLst>
            <a:ext uri="{FF2B5EF4-FFF2-40B4-BE49-F238E27FC236}">
              <a16:creationId xmlns:a16="http://schemas.microsoft.com/office/drawing/2014/main" id="{D958CB7F-D021-4C91-A4DF-8BDD4658C34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799" name="TextBox 14">
          <a:extLst>
            <a:ext uri="{FF2B5EF4-FFF2-40B4-BE49-F238E27FC236}">
              <a16:creationId xmlns:a16="http://schemas.microsoft.com/office/drawing/2014/main" id="{B842FB25-EAA6-470A-B867-22B5C524A6D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0" name="TextBox 2410">
          <a:extLst>
            <a:ext uri="{FF2B5EF4-FFF2-40B4-BE49-F238E27FC236}">
              <a16:creationId xmlns:a16="http://schemas.microsoft.com/office/drawing/2014/main" id="{650093CF-3C2E-4308-B274-4712B6F6CFA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1" name="TextBox 2411">
          <a:extLst>
            <a:ext uri="{FF2B5EF4-FFF2-40B4-BE49-F238E27FC236}">
              <a16:creationId xmlns:a16="http://schemas.microsoft.com/office/drawing/2014/main" id="{4264E0D0-460E-443E-8C60-B682CA35F1A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2" name="TextBox 2412">
          <a:extLst>
            <a:ext uri="{FF2B5EF4-FFF2-40B4-BE49-F238E27FC236}">
              <a16:creationId xmlns:a16="http://schemas.microsoft.com/office/drawing/2014/main" id="{A8AABDD8-DA5D-48B4-A0C5-FB78E4C11F8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3" name="TextBox 2413">
          <a:extLst>
            <a:ext uri="{FF2B5EF4-FFF2-40B4-BE49-F238E27FC236}">
              <a16:creationId xmlns:a16="http://schemas.microsoft.com/office/drawing/2014/main" id="{8134153C-99E2-427E-A127-7A502BCC7A9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4" name="TextBox 15">
          <a:extLst>
            <a:ext uri="{FF2B5EF4-FFF2-40B4-BE49-F238E27FC236}">
              <a16:creationId xmlns:a16="http://schemas.microsoft.com/office/drawing/2014/main" id="{4E47E20A-B684-4C1F-9680-4B28739AB9F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5" name="TextBox 16">
          <a:extLst>
            <a:ext uri="{FF2B5EF4-FFF2-40B4-BE49-F238E27FC236}">
              <a16:creationId xmlns:a16="http://schemas.microsoft.com/office/drawing/2014/main" id="{C9C5AE40-E5EC-4C65-9C5C-46433C5F00D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6" name="TextBox 17">
          <a:extLst>
            <a:ext uri="{FF2B5EF4-FFF2-40B4-BE49-F238E27FC236}">
              <a16:creationId xmlns:a16="http://schemas.microsoft.com/office/drawing/2014/main" id="{00161519-58E2-409F-A5BC-95E6F3E6FC1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7" name="TextBox 18">
          <a:extLst>
            <a:ext uri="{FF2B5EF4-FFF2-40B4-BE49-F238E27FC236}">
              <a16:creationId xmlns:a16="http://schemas.microsoft.com/office/drawing/2014/main" id="{3FCA825A-2FB1-450F-9A07-C9DD2EB8D31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8" name="TextBox 2418">
          <a:extLst>
            <a:ext uri="{FF2B5EF4-FFF2-40B4-BE49-F238E27FC236}">
              <a16:creationId xmlns:a16="http://schemas.microsoft.com/office/drawing/2014/main" id="{8E554FBB-F96C-41A3-ABC0-EB43C64B92A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09" name="TextBox 2419">
          <a:extLst>
            <a:ext uri="{FF2B5EF4-FFF2-40B4-BE49-F238E27FC236}">
              <a16:creationId xmlns:a16="http://schemas.microsoft.com/office/drawing/2014/main" id="{A7E758DD-DAA5-4137-B184-3A10303E5BE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0" name="TextBox 1">
          <a:extLst>
            <a:ext uri="{FF2B5EF4-FFF2-40B4-BE49-F238E27FC236}">
              <a16:creationId xmlns:a16="http://schemas.microsoft.com/office/drawing/2014/main" id="{141726D8-A001-4FB6-88B7-1AC11CC43D0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1" name="TextBox 3">
          <a:extLst>
            <a:ext uri="{FF2B5EF4-FFF2-40B4-BE49-F238E27FC236}">
              <a16:creationId xmlns:a16="http://schemas.microsoft.com/office/drawing/2014/main" id="{D6149824-E558-437F-9C98-51FB60D6C24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2" name="TextBox 2422">
          <a:extLst>
            <a:ext uri="{FF2B5EF4-FFF2-40B4-BE49-F238E27FC236}">
              <a16:creationId xmlns:a16="http://schemas.microsoft.com/office/drawing/2014/main" id="{DDAFA780-C75A-4CFF-AF7C-146D86187FE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3" name="TextBox 2423">
          <a:extLst>
            <a:ext uri="{FF2B5EF4-FFF2-40B4-BE49-F238E27FC236}">
              <a16:creationId xmlns:a16="http://schemas.microsoft.com/office/drawing/2014/main" id="{5423CD9F-4913-4FAD-B66E-A0FA8756DC4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4" name="TextBox 2424">
          <a:extLst>
            <a:ext uri="{FF2B5EF4-FFF2-40B4-BE49-F238E27FC236}">
              <a16:creationId xmlns:a16="http://schemas.microsoft.com/office/drawing/2014/main" id="{B42EFA41-CEB9-43D7-820A-0A39B5C9B04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5" name="TextBox 2425">
          <a:extLst>
            <a:ext uri="{FF2B5EF4-FFF2-40B4-BE49-F238E27FC236}">
              <a16:creationId xmlns:a16="http://schemas.microsoft.com/office/drawing/2014/main" id="{5B626DD5-5F0E-46F4-B701-1BDAF8B3F74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6" name="TextBox 2426">
          <a:extLst>
            <a:ext uri="{FF2B5EF4-FFF2-40B4-BE49-F238E27FC236}">
              <a16:creationId xmlns:a16="http://schemas.microsoft.com/office/drawing/2014/main" id="{4CF6E4F3-98D7-4FCF-8049-433F2A2ED9F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7" name="TextBox 2427">
          <a:extLst>
            <a:ext uri="{FF2B5EF4-FFF2-40B4-BE49-F238E27FC236}">
              <a16:creationId xmlns:a16="http://schemas.microsoft.com/office/drawing/2014/main" id="{981601DF-82C2-4DF4-8E81-88405707C57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8" name="TextBox 2428">
          <a:extLst>
            <a:ext uri="{FF2B5EF4-FFF2-40B4-BE49-F238E27FC236}">
              <a16:creationId xmlns:a16="http://schemas.microsoft.com/office/drawing/2014/main" id="{0FB1E160-1F1B-43F4-B7EA-E9964C8DC57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19" name="TextBox 2429">
          <a:extLst>
            <a:ext uri="{FF2B5EF4-FFF2-40B4-BE49-F238E27FC236}">
              <a16:creationId xmlns:a16="http://schemas.microsoft.com/office/drawing/2014/main" id="{6DBF1E7C-80B6-44C2-87DD-F06EDDD089A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0" name="TextBox 2430">
          <a:extLst>
            <a:ext uri="{FF2B5EF4-FFF2-40B4-BE49-F238E27FC236}">
              <a16:creationId xmlns:a16="http://schemas.microsoft.com/office/drawing/2014/main" id="{D22A3A0E-EFDC-4CD8-9E3A-42BA52606B8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1" name="TextBox 2431">
          <a:extLst>
            <a:ext uri="{FF2B5EF4-FFF2-40B4-BE49-F238E27FC236}">
              <a16:creationId xmlns:a16="http://schemas.microsoft.com/office/drawing/2014/main" id="{CE004398-2C9E-41CA-9305-2CF81515A34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2" name="TextBox 13">
          <a:extLst>
            <a:ext uri="{FF2B5EF4-FFF2-40B4-BE49-F238E27FC236}">
              <a16:creationId xmlns:a16="http://schemas.microsoft.com/office/drawing/2014/main" id="{05BD9295-C813-491A-81BF-64B1ACED44A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3" name="TextBox 14">
          <a:extLst>
            <a:ext uri="{FF2B5EF4-FFF2-40B4-BE49-F238E27FC236}">
              <a16:creationId xmlns:a16="http://schemas.microsoft.com/office/drawing/2014/main" id="{1864CA1C-D910-467E-BCA5-485942F2BA2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4" name="TextBox 2434">
          <a:extLst>
            <a:ext uri="{FF2B5EF4-FFF2-40B4-BE49-F238E27FC236}">
              <a16:creationId xmlns:a16="http://schemas.microsoft.com/office/drawing/2014/main" id="{DE847E50-7CA0-438D-ACC3-B3DE69027C5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5" name="TextBox 2435">
          <a:extLst>
            <a:ext uri="{FF2B5EF4-FFF2-40B4-BE49-F238E27FC236}">
              <a16:creationId xmlns:a16="http://schemas.microsoft.com/office/drawing/2014/main" id="{E0F5693A-D62C-44AA-859D-3761C48AF3E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6" name="TextBox 2436">
          <a:extLst>
            <a:ext uri="{FF2B5EF4-FFF2-40B4-BE49-F238E27FC236}">
              <a16:creationId xmlns:a16="http://schemas.microsoft.com/office/drawing/2014/main" id="{2DE4F3FE-1F3E-4D95-97B4-D018A5B94DB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7" name="TextBox 2437">
          <a:extLst>
            <a:ext uri="{FF2B5EF4-FFF2-40B4-BE49-F238E27FC236}">
              <a16:creationId xmlns:a16="http://schemas.microsoft.com/office/drawing/2014/main" id="{B818D19B-C8B3-4BE8-AABF-65A2C678B5D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8" name="TextBox 15">
          <a:extLst>
            <a:ext uri="{FF2B5EF4-FFF2-40B4-BE49-F238E27FC236}">
              <a16:creationId xmlns:a16="http://schemas.microsoft.com/office/drawing/2014/main" id="{676CE108-C8AA-423E-92EF-9A094450887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29" name="TextBox 16">
          <a:extLst>
            <a:ext uri="{FF2B5EF4-FFF2-40B4-BE49-F238E27FC236}">
              <a16:creationId xmlns:a16="http://schemas.microsoft.com/office/drawing/2014/main" id="{664D3A89-8951-4013-B2C1-A5F728FAA41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0" name="TextBox 17">
          <a:extLst>
            <a:ext uri="{FF2B5EF4-FFF2-40B4-BE49-F238E27FC236}">
              <a16:creationId xmlns:a16="http://schemas.microsoft.com/office/drawing/2014/main" id="{83181DE2-FC83-4FDF-84E7-EB4FC919BD5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1" name="TextBox 18">
          <a:extLst>
            <a:ext uri="{FF2B5EF4-FFF2-40B4-BE49-F238E27FC236}">
              <a16:creationId xmlns:a16="http://schemas.microsoft.com/office/drawing/2014/main" id="{084F1A87-2587-47D7-97AB-F950779BD8B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2" name="TextBox 2442">
          <a:extLst>
            <a:ext uri="{FF2B5EF4-FFF2-40B4-BE49-F238E27FC236}">
              <a16:creationId xmlns:a16="http://schemas.microsoft.com/office/drawing/2014/main" id="{0161F099-BA33-4D1C-8D96-CA08ED564B5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3" name="TextBox 2443">
          <a:extLst>
            <a:ext uri="{FF2B5EF4-FFF2-40B4-BE49-F238E27FC236}">
              <a16:creationId xmlns:a16="http://schemas.microsoft.com/office/drawing/2014/main" id="{BE3C2901-1CE8-4E9C-921B-C2F21AAB59A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4" name="TextBox 1">
          <a:extLst>
            <a:ext uri="{FF2B5EF4-FFF2-40B4-BE49-F238E27FC236}">
              <a16:creationId xmlns:a16="http://schemas.microsoft.com/office/drawing/2014/main" id="{777CD030-B228-43BF-A7E9-E8B5918845D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5" name="TextBox 3">
          <a:extLst>
            <a:ext uri="{FF2B5EF4-FFF2-40B4-BE49-F238E27FC236}">
              <a16:creationId xmlns:a16="http://schemas.microsoft.com/office/drawing/2014/main" id="{EF5575F3-594E-4192-B1ED-1ACEC883D4A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6" name="TextBox 2446">
          <a:extLst>
            <a:ext uri="{FF2B5EF4-FFF2-40B4-BE49-F238E27FC236}">
              <a16:creationId xmlns:a16="http://schemas.microsoft.com/office/drawing/2014/main" id="{FE288547-3945-4BC3-AD95-840311450A2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7" name="TextBox 2447">
          <a:extLst>
            <a:ext uri="{FF2B5EF4-FFF2-40B4-BE49-F238E27FC236}">
              <a16:creationId xmlns:a16="http://schemas.microsoft.com/office/drawing/2014/main" id="{E77C7134-FE26-40A9-AB52-9D52FBFBEDB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8" name="TextBox 2448">
          <a:extLst>
            <a:ext uri="{FF2B5EF4-FFF2-40B4-BE49-F238E27FC236}">
              <a16:creationId xmlns:a16="http://schemas.microsoft.com/office/drawing/2014/main" id="{BCBA11E1-2445-49E8-B5DC-8BE8730FBE4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39" name="TextBox 2449">
          <a:extLst>
            <a:ext uri="{FF2B5EF4-FFF2-40B4-BE49-F238E27FC236}">
              <a16:creationId xmlns:a16="http://schemas.microsoft.com/office/drawing/2014/main" id="{1F7A525E-69F2-4DBC-9DE6-424243EC7DA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0" name="TextBox 2450">
          <a:extLst>
            <a:ext uri="{FF2B5EF4-FFF2-40B4-BE49-F238E27FC236}">
              <a16:creationId xmlns:a16="http://schemas.microsoft.com/office/drawing/2014/main" id="{BC26E369-A7A8-4ED6-85C7-D1D5A8F84C2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1" name="TextBox 2451">
          <a:extLst>
            <a:ext uri="{FF2B5EF4-FFF2-40B4-BE49-F238E27FC236}">
              <a16:creationId xmlns:a16="http://schemas.microsoft.com/office/drawing/2014/main" id="{DF574E76-21E7-45AB-A01E-9D0DC5E814D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2" name="TextBox 2452">
          <a:extLst>
            <a:ext uri="{FF2B5EF4-FFF2-40B4-BE49-F238E27FC236}">
              <a16:creationId xmlns:a16="http://schemas.microsoft.com/office/drawing/2014/main" id="{08E2FD15-8DE2-46E4-A012-9359AD280E3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3" name="TextBox 2453">
          <a:extLst>
            <a:ext uri="{FF2B5EF4-FFF2-40B4-BE49-F238E27FC236}">
              <a16:creationId xmlns:a16="http://schemas.microsoft.com/office/drawing/2014/main" id="{268C0137-3540-4F4A-BE19-6C4E9E043F6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4" name="TextBox 2454">
          <a:extLst>
            <a:ext uri="{FF2B5EF4-FFF2-40B4-BE49-F238E27FC236}">
              <a16:creationId xmlns:a16="http://schemas.microsoft.com/office/drawing/2014/main" id="{5A4B34A8-F03F-4A2A-8FCD-2C7BCC25C19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5" name="TextBox 2455">
          <a:extLst>
            <a:ext uri="{FF2B5EF4-FFF2-40B4-BE49-F238E27FC236}">
              <a16:creationId xmlns:a16="http://schemas.microsoft.com/office/drawing/2014/main" id="{981AC601-008C-4633-B4A7-6EFEBB90E85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6" name="TextBox 13">
          <a:extLst>
            <a:ext uri="{FF2B5EF4-FFF2-40B4-BE49-F238E27FC236}">
              <a16:creationId xmlns:a16="http://schemas.microsoft.com/office/drawing/2014/main" id="{E810B1DC-547F-42E7-B2F9-BBD56B06E86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7" name="TextBox 14">
          <a:extLst>
            <a:ext uri="{FF2B5EF4-FFF2-40B4-BE49-F238E27FC236}">
              <a16:creationId xmlns:a16="http://schemas.microsoft.com/office/drawing/2014/main" id="{EF8C70C7-069B-4134-B11D-2A11FCFE3B5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8" name="TextBox 2458">
          <a:extLst>
            <a:ext uri="{FF2B5EF4-FFF2-40B4-BE49-F238E27FC236}">
              <a16:creationId xmlns:a16="http://schemas.microsoft.com/office/drawing/2014/main" id="{343C0BF4-F27B-4608-82D5-60B32D8B978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49" name="TextBox 2459">
          <a:extLst>
            <a:ext uri="{FF2B5EF4-FFF2-40B4-BE49-F238E27FC236}">
              <a16:creationId xmlns:a16="http://schemas.microsoft.com/office/drawing/2014/main" id="{36B244F8-CC03-4BED-B6D3-79C3D0A5519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0" name="TextBox 2460">
          <a:extLst>
            <a:ext uri="{FF2B5EF4-FFF2-40B4-BE49-F238E27FC236}">
              <a16:creationId xmlns:a16="http://schemas.microsoft.com/office/drawing/2014/main" id="{2D959CF6-FCB3-4C64-A113-4F86E1286F5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1" name="TextBox 2461">
          <a:extLst>
            <a:ext uri="{FF2B5EF4-FFF2-40B4-BE49-F238E27FC236}">
              <a16:creationId xmlns:a16="http://schemas.microsoft.com/office/drawing/2014/main" id="{6A29AEA9-44CE-4E5C-87E9-58D9EBB215E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2" name="TextBox 15">
          <a:extLst>
            <a:ext uri="{FF2B5EF4-FFF2-40B4-BE49-F238E27FC236}">
              <a16:creationId xmlns:a16="http://schemas.microsoft.com/office/drawing/2014/main" id="{A6CF1BE2-3923-443C-8EFB-082A4FF62C7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3" name="TextBox 16">
          <a:extLst>
            <a:ext uri="{FF2B5EF4-FFF2-40B4-BE49-F238E27FC236}">
              <a16:creationId xmlns:a16="http://schemas.microsoft.com/office/drawing/2014/main" id="{738A6DB8-86E4-4C2E-98BF-DC02FA9FFE1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4" name="TextBox 17">
          <a:extLst>
            <a:ext uri="{FF2B5EF4-FFF2-40B4-BE49-F238E27FC236}">
              <a16:creationId xmlns:a16="http://schemas.microsoft.com/office/drawing/2014/main" id="{52B41BF6-F8B7-4553-AB20-986FD1E1F03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5" name="TextBox 18">
          <a:extLst>
            <a:ext uri="{FF2B5EF4-FFF2-40B4-BE49-F238E27FC236}">
              <a16:creationId xmlns:a16="http://schemas.microsoft.com/office/drawing/2014/main" id="{6C3E5750-08DD-4105-A890-CE6AB15854F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6" name="TextBox 2466">
          <a:extLst>
            <a:ext uri="{FF2B5EF4-FFF2-40B4-BE49-F238E27FC236}">
              <a16:creationId xmlns:a16="http://schemas.microsoft.com/office/drawing/2014/main" id="{7DAF3559-53E1-4215-B78C-A73A18D7400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7" name="TextBox 2467">
          <a:extLst>
            <a:ext uri="{FF2B5EF4-FFF2-40B4-BE49-F238E27FC236}">
              <a16:creationId xmlns:a16="http://schemas.microsoft.com/office/drawing/2014/main" id="{22039B31-FFA9-4BA1-9D55-63ED3E9AA8D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8" name="TextBox 1">
          <a:extLst>
            <a:ext uri="{FF2B5EF4-FFF2-40B4-BE49-F238E27FC236}">
              <a16:creationId xmlns:a16="http://schemas.microsoft.com/office/drawing/2014/main" id="{30BAD6AB-02D8-45FF-839F-8562CA22ED2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59" name="TextBox 3">
          <a:extLst>
            <a:ext uri="{FF2B5EF4-FFF2-40B4-BE49-F238E27FC236}">
              <a16:creationId xmlns:a16="http://schemas.microsoft.com/office/drawing/2014/main" id="{61BF426C-B2FD-4EEF-B2DF-D59A083077B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0" name="TextBox 2470">
          <a:extLst>
            <a:ext uri="{FF2B5EF4-FFF2-40B4-BE49-F238E27FC236}">
              <a16:creationId xmlns:a16="http://schemas.microsoft.com/office/drawing/2014/main" id="{E34F64B7-199B-437A-92AE-90C359445A7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1" name="TextBox 2471">
          <a:extLst>
            <a:ext uri="{FF2B5EF4-FFF2-40B4-BE49-F238E27FC236}">
              <a16:creationId xmlns:a16="http://schemas.microsoft.com/office/drawing/2014/main" id="{E8D510D4-7198-46EF-958A-7102D432BE7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2" name="TextBox 2472">
          <a:extLst>
            <a:ext uri="{FF2B5EF4-FFF2-40B4-BE49-F238E27FC236}">
              <a16:creationId xmlns:a16="http://schemas.microsoft.com/office/drawing/2014/main" id="{8D0D2068-CAB1-4B8D-B41C-804B1202176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3" name="TextBox 2473">
          <a:extLst>
            <a:ext uri="{FF2B5EF4-FFF2-40B4-BE49-F238E27FC236}">
              <a16:creationId xmlns:a16="http://schemas.microsoft.com/office/drawing/2014/main" id="{8E9E3E10-1810-4D31-B2D7-F74E1501569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4" name="TextBox 2474">
          <a:extLst>
            <a:ext uri="{FF2B5EF4-FFF2-40B4-BE49-F238E27FC236}">
              <a16:creationId xmlns:a16="http://schemas.microsoft.com/office/drawing/2014/main" id="{D107A6A6-B9B7-4A42-910B-41D7FB321564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5" name="TextBox 2475">
          <a:extLst>
            <a:ext uri="{FF2B5EF4-FFF2-40B4-BE49-F238E27FC236}">
              <a16:creationId xmlns:a16="http://schemas.microsoft.com/office/drawing/2014/main" id="{088757EF-492C-41EB-9086-88AD7782950E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6" name="TextBox 2476">
          <a:extLst>
            <a:ext uri="{FF2B5EF4-FFF2-40B4-BE49-F238E27FC236}">
              <a16:creationId xmlns:a16="http://schemas.microsoft.com/office/drawing/2014/main" id="{42449182-3720-4B5A-A577-CCA4A9D327E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7" name="TextBox 2477">
          <a:extLst>
            <a:ext uri="{FF2B5EF4-FFF2-40B4-BE49-F238E27FC236}">
              <a16:creationId xmlns:a16="http://schemas.microsoft.com/office/drawing/2014/main" id="{0F01813A-FB36-43B4-8A3A-65EA4EF49EA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8" name="TextBox 2478">
          <a:extLst>
            <a:ext uri="{FF2B5EF4-FFF2-40B4-BE49-F238E27FC236}">
              <a16:creationId xmlns:a16="http://schemas.microsoft.com/office/drawing/2014/main" id="{8C667D7C-E3C4-46F8-95A4-208CF1F686F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69" name="TextBox 2479">
          <a:extLst>
            <a:ext uri="{FF2B5EF4-FFF2-40B4-BE49-F238E27FC236}">
              <a16:creationId xmlns:a16="http://schemas.microsoft.com/office/drawing/2014/main" id="{03716C45-E570-4482-B486-399F976F1C92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0" name="TextBox 13">
          <a:extLst>
            <a:ext uri="{FF2B5EF4-FFF2-40B4-BE49-F238E27FC236}">
              <a16:creationId xmlns:a16="http://schemas.microsoft.com/office/drawing/2014/main" id="{EB364506-7696-4D5A-9051-C3DDFE7962E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1" name="TextBox 14">
          <a:extLst>
            <a:ext uri="{FF2B5EF4-FFF2-40B4-BE49-F238E27FC236}">
              <a16:creationId xmlns:a16="http://schemas.microsoft.com/office/drawing/2014/main" id="{09CCC898-BBC2-47CE-969F-02AF2D36041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2" name="TextBox 2482">
          <a:extLst>
            <a:ext uri="{FF2B5EF4-FFF2-40B4-BE49-F238E27FC236}">
              <a16:creationId xmlns:a16="http://schemas.microsoft.com/office/drawing/2014/main" id="{B7AF4F90-663B-4E21-9E67-EF500BEDEE2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3" name="TextBox 2483">
          <a:extLst>
            <a:ext uri="{FF2B5EF4-FFF2-40B4-BE49-F238E27FC236}">
              <a16:creationId xmlns:a16="http://schemas.microsoft.com/office/drawing/2014/main" id="{DDDCBF19-AC6B-4DD0-8DC7-44512212538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4" name="TextBox 2484">
          <a:extLst>
            <a:ext uri="{FF2B5EF4-FFF2-40B4-BE49-F238E27FC236}">
              <a16:creationId xmlns:a16="http://schemas.microsoft.com/office/drawing/2014/main" id="{8B9D5817-29A0-4B2C-AFAB-9A36AED6095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5" name="TextBox 2485">
          <a:extLst>
            <a:ext uri="{FF2B5EF4-FFF2-40B4-BE49-F238E27FC236}">
              <a16:creationId xmlns:a16="http://schemas.microsoft.com/office/drawing/2014/main" id="{6B95CDDF-6B25-4066-B750-A56A31FBD61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6" name="TextBox 15">
          <a:extLst>
            <a:ext uri="{FF2B5EF4-FFF2-40B4-BE49-F238E27FC236}">
              <a16:creationId xmlns:a16="http://schemas.microsoft.com/office/drawing/2014/main" id="{C6BD714B-F126-4CB3-A675-ACBD67C4922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7" name="TextBox 16">
          <a:extLst>
            <a:ext uri="{FF2B5EF4-FFF2-40B4-BE49-F238E27FC236}">
              <a16:creationId xmlns:a16="http://schemas.microsoft.com/office/drawing/2014/main" id="{80532551-5F5B-452B-BE6F-A995773CC27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8" name="TextBox 17">
          <a:extLst>
            <a:ext uri="{FF2B5EF4-FFF2-40B4-BE49-F238E27FC236}">
              <a16:creationId xmlns:a16="http://schemas.microsoft.com/office/drawing/2014/main" id="{D2237D10-D607-4658-A9B6-4BA8B199CB9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79" name="TextBox 18">
          <a:extLst>
            <a:ext uri="{FF2B5EF4-FFF2-40B4-BE49-F238E27FC236}">
              <a16:creationId xmlns:a16="http://schemas.microsoft.com/office/drawing/2014/main" id="{C16A20D8-2D11-459F-89F3-4DACEE433ED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0" name="TextBox 2490">
          <a:extLst>
            <a:ext uri="{FF2B5EF4-FFF2-40B4-BE49-F238E27FC236}">
              <a16:creationId xmlns:a16="http://schemas.microsoft.com/office/drawing/2014/main" id="{A897F3C3-C046-47CB-853F-8D08974F38DC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1" name="TextBox 2491">
          <a:extLst>
            <a:ext uri="{FF2B5EF4-FFF2-40B4-BE49-F238E27FC236}">
              <a16:creationId xmlns:a16="http://schemas.microsoft.com/office/drawing/2014/main" id="{CCA0F7D5-EC33-4BD5-A74A-6CEFA357C0B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2" name="TextBox 1">
          <a:extLst>
            <a:ext uri="{FF2B5EF4-FFF2-40B4-BE49-F238E27FC236}">
              <a16:creationId xmlns:a16="http://schemas.microsoft.com/office/drawing/2014/main" id="{EEE2A82E-9033-4DDD-9661-67E99A37CAD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3" name="TextBox 3">
          <a:extLst>
            <a:ext uri="{FF2B5EF4-FFF2-40B4-BE49-F238E27FC236}">
              <a16:creationId xmlns:a16="http://schemas.microsoft.com/office/drawing/2014/main" id="{9982BE18-B5F3-437D-A6F7-6F066F84364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4" name="TextBox 2494">
          <a:extLst>
            <a:ext uri="{FF2B5EF4-FFF2-40B4-BE49-F238E27FC236}">
              <a16:creationId xmlns:a16="http://schemas.microsoft.com/office/drawing/2014/main" id="{181BACE7-A9AF-40F8-BA0F-8355B7003CA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5" name="TextBox 2495">
          <a:extLst>
            <a:ext uri="{FF2B5EF4-FFF2-40B4-BE49-F238E27FC236}">
              <a16:creationId xmlns:a16="http://schemas.microsoft.com/office/drawing/2014/main" id="{6023BA72-F987-46E8-9F10-6F8A53FDC341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6" name="TextBox 2496">
          <a:extLst>
            <a:ext uri="{FF2B5EF4-FFF2-40B4-BE49-F238E27FC236}">
              <a16:creationId xmlns:a16="http://schemas.microsoft.com/office/drawing/2014/main" id="{191A2FA8-4171-435D-B5C2-9268DF06A57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7" name="TextBox 2497">
          <a:extLst>
            <a:ext uri="{FF2B5EF4-FFF2-40B4-BE49-F238E27FC236}">
              <a16:creationId xmlns:a16="http://schemas.microsoft.com/office/drawing/2014/main" id="{D4359F92-B1FE-4F96-85DB-81EC5B7FAAC3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8" name="TextBox 2498">
          <a:extLst>
            <a:ext uri="{FF2B5EF4-FFF2-40B4-BE49-F238E27FC236}">
              <a16:creationId xmlns:a16="http://schemas.microsoft.com/office/drawing/2014/main" id="{5818557F-AEE5-4B6E-B4C4-CC9C5FEE5A5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89" name="TextBox 2499">
          <a:extLst>
            <a:ext uri="{FF2B5EF4-FFF2-40B4-BE49-F238E27FC236}">
              <a16:creationId xmlns:a16="http://schemas.microsoft.com/office/drawing/2014/main" id="{464D1AEC-D7EC-455B-A4DB-DE64F7DC869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0" name="TextBox 2500">
          <a:extLst>
            <a:ext uri="{FF2B5EF4-FFF2-40B4-BE49-F238E27FC236}">
              <a16:creationId xmlns:a16="http://schemas.microsoft.com/office/drawing/2014/main" id="{9277B989-8DED-4264-B440-C567CBEA870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1" name="TextBox 2501">
          <a:extLst>
            <a:ext uri="{FF2B5EF4-FFF2-40B4-BE49-F238E27FC236}">
              <a16:creationId xmlns:a16="http://schemas.microsoft.com/office/drawing/2014/main" id="{5898F6EA-B41C-4E40-9BF2-785B6618DBA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2" name="TextBox 2502">
          <a:extLst>
            <a:ext uri="{FF2B5EF4-FFF2-40B4-BE49-F238E27FC236}">
              <a16:creationId xmlns:a16="http://schemas.microsoft.com/office/drawing/2014/main" id="{B695473F-5604-415A-8018-064A02B14787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3" name="TextBox 2503">
          <a:extLst>
            <a:ext uri="{FF2B5EF4-FFF2-40B4-BE49-F238E27FC236}">
              <a16:creationId xmlns:a16="http://schemas.microsoft.com/office/drawing/2014/main" id="{7B981D2A-856A-4E97-B931-200469AF966B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4" name="TextBox 13">
          <a:extLst>
            <a:ext uri="{FF2B5EF4-FFF2-40B4-BE49-F238E27FC236}">
              <a16:creationId xmlns:a16="http://schemas.microsoft.com/office/drawing/2014/main" id="{B9E93DC0-5873-4B95-BFF0-0B46AD6F22C9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5" name="TextBox 14">
          <a:extLst>
            <a:ext uri="{FF2B5EF4-FFF2-40B4-BE49-F238E27FC236}">
              <a16:creationId xmlns:a16="http://schemas.microsoft.com/office/drawing/2014/main" id="{8DF35672-8C43-490B-8FFD-4D7F3CF01E7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6" name="TextBox 2506">
          <a:extLst>
            <a:ext uri="{FF2B5EF4-FFF2-40B4-BE49-F238E27FC236}">
              <a16:creationId xmlns:a16="http://schemas.microsoft.com/office/drawing/2014/main" id="{E749252F-699E-4104-ADF8-BF6CDB05389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7" name="TextBox 2507">
          <a:extLst>
            <a:ext uri="{FF2B5EF4-FFF2-40B4-BE49-F238E27FC236}">
              <a16:creationId xmlns:a16="http://schemas.microsoft.com/office/drawing/2014/main" id="{03B0514A-9695-4CA3-B423-DE365D9D698C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8" name="TextBox 2508">
          <a:extLst>
            <a:ext uri="{FF2B5EF4-FFF2-40B4-BE49-F238E27FC236}">
              <a16:creationId xmlns:a16="http://schemas.microsoft.com/office/drawing/2014/main" id="{67F95233-892E-448F-AFD7-3B1414DE9E43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899" name="TextBox 2509">
          <a:extLst>
            <a:ext uri="{FF2B5EF4-FFF2-40B4-BE49-F238E27FC236}">
              <a16:creationId xmlns:a16="http://schemas.microsoft.com/office/drawing/2014/main" id="{CCF97AFD-2647-4D4E-983A-F28365F49AC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0" name="TextBox 15">
          <a:extLst>
            <a:ext uri="{FF2B5EF4-FFF2-40B4-BE49-F238E27FC236}">
              <a16:creationId xmlns:a16="http://schemas.microsoft.com/office/drawing/2014/main" id="{64238C30-898F-4639-B780-FA772E002FB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1" name="TextBox 16">
          <a:extLst>
            <a:ext uri="{FF2B5EF4-FFF2-40B4-BE49-F238E27FC236}">
              <a16:creationId xmlns:a16="http://schemas.microsoft.com/office/drawing/2014/main" id="{A2E8D22C-5646-4125-B934-16FD79FA425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2" name="TextBox 17">
          <a:extLst>
            <a:ext uri="{FF2B5EF4-FFF2-40B4-BE49-F238E27FC236}">
              <a16:creationId xmlns:a16="http://schemas.microsoft.com/office/drawing/2014/main" id="{29002157-A185-47F2-AA83-D22930809DE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3" name="TextBox 18">
          <a:extLst>
            <a:ext uri="{FF2B5EF4-FFF2-40B4-BE49-F238E27FC236}">
              <a16:creationId xmlns:a16="http://schemas.microsoft.com/office/drawing/2014/main" id="{EA9DB4E5-3CEC-4D4D-8206-B2738CA1EBD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4" name="TextBox 2514">
          <a:extLst>
            <a:ext uri="{FF2B5EF4-FFF2-40B4-BE49-F238E27FC236}">
              <a16:creationId xmlns:a16="http://schemas.microsoft.com/office/drawing/2014/main" id="{CC34298A-3ACE-42FA-902D-A1145D4814B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5" name="TextBox 2515">
          <a:extLst>
            <a:ext uri="{FF2B5EF4-FFF2-40B4-BE49-F238E27FC236}">
              <a16:creationId xmlns:a16="http://schemas.microsoft.com/office/drawing/2014/main" id="{02EF2118-49BA-482D-B5E4-410F0DF4529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6" name="TextBox 1">
          <a:extLst>
            <a:ext uri="{FF2B5EF4-FFF2-40B4-BE49-F238E27FC236}">
              <a16:creationId xmlns:a16="http://schemas.microsoft.com/office/drawing/2014/main" id="{74B30462-E40B-4E8D-84BA-661DE3985DF2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7" name="TextBox 3">
          <a:extLst>
            <a:ext uri="{FF2B5EF4-FFF2-40B4-BE49-F238E27FC236}">
              <a16:creationId xmlns:a16="http://schemas.microsoft.com/office/drawing/2014/main" id="{063ADBC1-E3BD-403A-B929-D38F2F23F95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8" name="TextBox 2518">
          <a:extLst>
            <a:ext uri="{FF2B5EF4-FFF2-40B4-BE49-F238E27FC236}">
              <a16:creationId xmlns:a16="http://schemas.microsoft.com/office/drawing/2014/main" id="{F1910BBC-C240-42FC-A7DA-913FC95E190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09" name="TextBox 2519">
          <a:extLst>
            <a:ext uri="{FF2B5EF4-FFF2-40B4-BE49-F238E27FC236}">
              <a16:creationId xmlns:a16="http://schemas.microsoft.com/office/drawing/2014/main" id="{CF11DC2B-1FB8-4C9D-927F-459E02BB615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0" name="TextBox 2520">
          <a:extLst>
            <a:ext uri="{FF2B5EF4-FFF2-40B4-BE49-F238E27FC236}">
              <a16:creationId xmlns:a16="http://schemas.microsoft.com/office/drawing/2014/main" id="{F3E0724F-A882-42C7-AF72-0743B1CD3EA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1" name="TextBox 2521">
          <a:extLst>
            <a:ext uri="{FF2B5EF4-FFF2-40B4-BE49-F238E27FC236}">
              <a16:creationId xmlns:a16="http://schemas.microsoft.com/office/drawing/2014/main" id="{D1AE1B66-E40A-4802-927D-C46EA39B894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2" name="TextBox 2522">
          <a:extLst>
            <a:ext uri="{FF2B5EF4-FFF2-40B4-BE49-F238E27FC236}">
              <a16:creationId xmlns:a16="http://schemas.microsoft.com/office/drawing/2014/main" id="{310856B2-28EE-44F1-B71E-6D71F5177CA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3" name="TextBox 2523">
          <a:extLst>
            <a:ext uri="{FF2B5EF4-FFF2-40B4-BE49-F238E27FC236}">
              <a16:creationId xmlns:a16="http://schemas.microsoft.com/office/drawing/2014/main" id="{FB9C6C3E-7C6F-4A5B-98CF-DCC60ECDD743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4" name="TextBox 2524">
          <a:extLst>
            <a:ext uri="{FF2B5EF4-FFF2-40B4-BE49-F238E27FC236}">
              <a16:creationId xmlns:a16="http://schemas.microsoft.com/office/drawing/2014/main" id="{8B6EE190-8C2D-4D24-BB90-7923D8E11233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5" name="TextBox 2525">
          <a:extLst>
            <a:ext uri="{FF2B5EF4-FFF2-40B4-BE49-F238E27FC236}">
              <a16:creationId xmlns:a16="http://schemas.microsoft.com/office/drawing/2014/main" id="{0A2B8AB3-9116-4B46-85BD-38664C8ADB4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6" name="TextBox 2526">
          <a:extLst>
            <a:ext uri="{FF2B5EF4-FFF2-40B4-BE49-F238E27FC236}">
              <a16:creationId xmlns:a16="http://schemas.microsoft.com/office/drawing/2014/main" id="{A644CAB0-91FF-49CA-BBFD-754C6C893186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7" name="TextBox 2527">
          <a:extLst>
            <a:ext uri="{FF2B5EF4-FFF2-40B4-BE49-F238E27FC236}">
              <a16:creationId xmlns:a16="http://schemas.microsoft.com/office/drawing/2014/main" id="{CEF17C71-CFCD-413E-B8BC-5F835D34CD9C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8" name="TextBox 13">
          <a:extLst>
            <a:ext uri="{FF2B5EF4-FFF2-40B4-BE49-F238E27FC236}">
              <a16:creationId xmlns:a16="http://schemas.microsoft.com/office/drawing/2014/main" id="{08126451-0AAD-4A2E-8AF5-FB324BD4ACF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19" name="TextBox 14">
          <a:extLst>
            <a:ext uri="{FF2B5EF4-FFF2-40B4-BE49-F238E27FC236}">
              <a16:creationId xmlns:a16="http://schemas.microsoft.com/office/drawing/2014/main" id="{F843CE89-EE6B-40CE-A4FF-1026FE232FE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0" name="TextBox 2530">
          <a:extLst>
            <a:ext uri="{FF2B5EF4-FFF2-40B4-BE49-F238E27FC236}">
              <a16:creationId xmlns:a16="http://schemas.microsoft.com/office/drawing/2014/main" id="{2C949395-43A1-4C2D-A01C-0F2C98C38ADA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1" name="TextBox 2531">
          <a:extLst>
            <a:ext uri="{FF2B5EF4-FFF2-40B4-BE49-F238E27FC236}">
              <a16:creationId xmlns:a16="http://schemas.microsoft.com/office/drawing/2014/main" id="{D9A9D727-28B1-495D-850E-96351CD1895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2" name="TextBox 2532">
          <a:extLst>
            <a:ext uri="{FF2B5EF4-FFF2-40B4-BE49-F238E27FC236}">
              <a16:creationId xmlns:a16="http://schemas.microsoft.com/office/drawing/2014/main" id="{7691869F-435A-434A-B997-9F6AFDA2A7E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3" name="TextBox 2533">
          <a:extLst>
            <a:ext uri="{FF2B5EF4-FFF2-40B4-BE49-F238E27FC236}">
              <a16:creationId xmlns:a16="http://schemas.microsoft.com/office/drawing/2014/main" id="{9C561BDE-6767-43B0-8884-66CABC06E06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4" name="TextBox 15">
          <a:extLst>
            <a:ext uri="{FF2B5EF4-FFF2-40B4-BE49-F238E27FC236}">
              <a16:creationId xmlns:a16="http://schemas.microsoft.com/office/drawing/2014/main" id="{1D6A78C3-4FEF-4727-8AD9-96F31E929C5E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5" name="TextBox 16">
          <a:extLst>
            <a:ext uri="{FF2B5EF4-FFF2-40B4-BE49-F238E27FC236}">
              <a16:creationId xmlns:a16="http://schemas.microsoft.com/office/drawing/2014/main" id="{5554D4A5-5D06-4ACA-9375-4070D49EFDD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6" name="TextBox 17">
          <a:extLst>
            <a:ext uri="{FF2B5EF4-FFF2-40B4-BE49-F238E27FC236}">
              <a16:creationId xmlns:a16="http://schemas.microsoft.com/office/drawing/2014/main" id="{1BBC0327-06AE-4E3C-8EA1-F5EAB8E5D10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7" name="TextBox 18">
          <a:extLst>
            <a:ext uri="{FF2B5EF4-FFF2-40B4-BE49-F238E27FC236}">
              <a16:creationId xmlns:a16="http://schemas.microsoft.com/office/drawing/2014/main" id="{D38C4A9F-EA5C-4A5E-ABCC-322E6FDDA9C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8" name="TextBox 2538">
          <a:extLst>
            <a:ext uri="{FF2B5EF4-FFF2-40B4-BE49-F238E27FC236}">
              <a16:creationId xmlns:a16="http://schemas.microsoft.com/office/drawing/2014/main" id="{C9F6D373-DF56-43DE-A9CA-B22249BB59A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29" name="TextBox 2539">
          <a:extLst>
            <a:ext uri="{FF2B5EF4-FFF2-40B4-BE49-F238E27FC236}">
              <a16:creationId xmlns:a16="http://schemas.microsoft.com/office/drawing/2014/main" id="{FD43408E-D041-4FC1-9457-8355EF016F57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0" name="TextBox 1">
          <a:extLst>
            <a:ext uri="{FF2B5EF4-FFF2-40B4-BE49-F238E27FC236}">
              <a16:creationId xmlns:a16="http://schemas.microsoft.com/office/drawing/2014/main" id="{6BFA91FF-F12E-42F4-A160-5C525C7172EC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1" name="TextBox 3">
          <a:extLst>
            <a:ext uri="{FF2B5EF4-FFF2-40B4-BE49-F238E27FC236}">
              <a16:creationId xmlns:a16="http://schemas.microsoft.com/office/drawing/2014/main" id="{814565D8-1696-424F-B576-E50DC744B362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2" name="TextBox 2542">
          <a:extLst>
            <a:ext uri="{FF2B5EF4-FFF2-40B4-BE49-F238E27FC236}">
              <a16:creationId xmlns:a16="http://schemas.microsoft.com/office/drawing/2014/main" id="{08FA21FB-32BD-44B9-A313-289985FD957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3" name="TextBox 2543">
          <a:extLst>
            <a:ext uri="{FF2B5EF4-FFF2-40B4-BE49-F238E27FC236}">
              <a16:creationId xmlns:a16="http://schemas.microsoft.com/office/drawing/2014/main" id="{9F51669E-1E80-4ED1-943D-39766A33218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4" name="TextBox 2544">
          <a:extLst>
            <a:ext uri="{FF2B5EF4-FFF2-40B4-BE49-F238E27FC236}">
              <a16:creationId xmlns:a16="http://schemas.microsoft.com/office/drawing/2014/main" id="{D3CE200F-367D-4FB8-A664-8ED90A8C9426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5" name="TextBox 2545">
          <a:extLst>
            <a:ext uri="{FF2B5EF4-FFF2-40B4-BE49-F238E27FC236}">
              <a16:creationId xmlns:a16="http://schemas.microsoft.com/office/drawing/2014/main" id="{B6DCCEC3-96EC-45F6-8C00-B2BDEE34EDB6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6" name="TextBox 2546">
          <a:extLst>
            <a:ext uri="{FF2B5EF4-FFF2-40B4-BE49-F238E27FC236}">
              <a16:creationId xmlns:a16="http://schemas.microsoft.com/office/drawing/2014/main" id="{89502B9B-C667-4785-BBCF-9FBEE2DCFDE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7" name="TextBox 2547">
          <a:extLst>
            <a:ext uri="{FF2B5EF4-FFF2-40B4-BE49-F238E27FC236}">
              <a16:creationId xmlns:a16="http://schemas.microsoft.com/office/drawing/2014/main" id="{8D782200-E5E1-4B5F-9958-EA5D2946993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8" name="TextBox 2548">
          <a:extLst>
            <a:ext uri="{FF2B5EF4-FFF2-40B4-BE49-F238E27FC236}">
              <a16:creationId xmlns:a16="http://schemas.microsoft.com/office/drawing/2014/main" id="{7E8BA8A1-F4C0-4056-89BA-29A12D2C77C2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39" name="TextBox 2549">
          <a:extLst>
            <a:ext uri="{FF2B5EF4-FFF2-40B4-BE49-F238E27FC236}">
              <a16:creationId xmlns:a16="http://schemas.microsoft.com/office/drawing/2014/main" id="{2A3E11D1-2E59-443B-96A1-85A7BB3AEFDA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0" name="TextBox 2550">
          <a:extLst>
            <a:ext uri="{FF2B5EF4-FFF2-40B4-BE49-F238E27FC236}">
              <a16:creationId xmlns:a16="http://schemas.microsoft.com/office/drawing/2014/main" id="{7F870625-C05F-4358-85E4-EA68B8533C9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1" name="TextBox 2551">
          <a:extLst>
            <a:ext uri="{FF2B5EF4-FFF2-40B4-BE49-F238E27FC236}">
              <a16:creationId xmlns:a16="http://schemas.microsoft.com/office/drawing/2014/main" id="{DE403CC6-1339-4D6F-8A73-E964FD6FF1A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2" name="TextBox 13">
          <a:extLst>
            <a:ext uri="{FF2B5EF4-FFF2-40B4-BE49-F238E27FC236}">
              <a16:creationId xmlns:a16="http://schemas.microsoft.com/office/drawing/2014/main" id="{22E5C0A4-B644-424F-95E9-FE46B51E307A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3" name="TextBox 14">
          <a:extLst>
            <a:ext uri="{FF2B5EF4-FFF2-40B4-BE49-F238E27FC236}">
              <a16:creationId xmlns:a16="http://schemas.microsoft.com/office/drawing/2014/main" id="{BF2340CE-6576-41CA-85F0-FDAEF04789C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4" name="TextBox 2554">
          <a:extLst>
            <a:ext uri="{FF2B5EF4-FFF2-40B4-BE49-F238E27FC236}">
              <a16:creationId xmlns:a16="http://schemas.microsoft.com/office/drawing/2014/main" id="{42753CD9-E983-4591-AA6A-AE3CE6BA653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5" name="TextBox 2555">
          <a:extLst>
            <a:ext uri="{FF2B5EF4-FFF2-40B4-BE49-F238E27FC236}">
              <a16:creationId xmlns:a16="http://schemas.microsoft.com/office/drawing/2014/main" id="{34D608E1-8800-4A38-9CD9-C77B84D6174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6" name="TextBox 2556">
          <a:extLst>
            <a:ext uri="{FF2B5EF4-FFF2-40B4-BE49-F238E27FC236}">
              <a16:creationId xmlns:a16="http://schemas.microsoft.com/office/drawing/2014/main" id="{DE53EBAA-C008-4380-A79C-F9DCEFC40803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7" name="TextBox 2557">
          <a:extLst>
            <a:ext uri="{FF2B5EF4-FFF2-40B4-BE49-F238E27FC236}">
              <a16:creationId xmlns:a16="http://schemas.microsoft.com/office/drawing/2014/main" id="{78A66E35-6EF1-4321-809B-539B5C8A8DA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8" name="TextBox 15">
          <a:extLst>
            <a:ext uri="{FF2B5EF4-FFF2-40B4-BE49-F238E27FC236}">
              <a16:creationId xmlns:a16="http://schemas.microsoft.com/office/drawing/2014/main" id="{5944D6A6-8FE4-42C4-A3BB-934EE1F9230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49" name="TextBox 16">
          <a:extLst>
            <a:ext uri="{FF2B5EF4-FFF2-40B4-BE49-F238E27FC236}">
              <a16:creationId xmlns:a16="http://schemas.microsoft.com/office/drawing/2014/main" id="{245A5B50-5234-461D-A84F-C2CCC30FEA5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0" name="TextBox 17">
          <a:extLst>
            <a:ext uri="{FF2B5EF4-FFF2-40B4-BE49-F238E27FC236}">
              <a16:creationId xmlns:a16="http://schemas.microsoft.com/office/drawing/2014/main" id="{6FEA8D98-7515-4EE2-AE40-E248E6DD36BE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1" name="TextBox 18">
          <a:extLst>
            <a:ext uri="{FF2B5EF4-FFF2-40B4-BE49-F238E27FC236}">
              <a16:creationId xmlns:a16="http://schemas.microsoft.com/office/drawing/2014/main" id="{26D5120F-C5E6-4A3D-82CF-EE13AC134E9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2" name="TextBox 2562">
          <a:extLst>
            <a:ext uri="{FF2B5EF4-FFF2-40B4-BE49-F238E27FC236}">
              <a16:creationId xmlns:a16="http://schemas.microsoft.com/office/drawing/2014/main" id="{08286C42-232C-434D-B5BE-4F5D63B8827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3" name="TextBox 2563">
          <a:extLst>
            <a:ext uri="{FF2B5EF4-FFF2-40B4-BE49-F238E27FC236}">
              <a16:creationId xmlns:a16="http://schemas.microsoft.com/office/drawing/2014/main" id="{F5993ACC-1001-448C-8AE8-00D35FB9784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4" name="TextBox 1">
          <a:extLst>
            <a:ext uri="{FF2B5EF4-FFF2-40B4-BE49-F238E27FC236}">
              <a16:creationId xmlns:a16="http://schemas.microsoft.com/office/drawing/2014/main" id="{FE071FF1-416C-4E82-B1F1-09360B8D0A37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5" name="TextBox 3">
          <a:extLst>
            <a:ext uri="{FF2B5EF4-FFF2-40B4-BE49-F238E27FC236}">
              <a16:creationId xmlns:a16="http://schemas.microsoft.com/office/drawing/2014/main" id="{E3C0236B-1EF3-4CAE-9A55-F489B26A1B2A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6" name="TextBox 2566">
          <a:extLst>
            <a:ext uri="{FF2B5EF4-FFF2-40B4-BE49-F238E27FC236}">
              <a16:creationId xmlns:a16="http://schemas.microsoft.com/office/drawing/2014/main" id="{3ED6BFB6-0084-4326-B898-690D1BF8EE0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7" name="TextBox 2567">
          <a:extLst>
            <a:ext uri="{FF2B5EF4-FFF2-40B4-BE49-F238E27FC236}">
              <a16:creationId xmlns:a16="http://schemas.microsoft.com/office/drawing/2014/main" id="{F9032334-31A2-467C-9C8D-A56D832B9C2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8" name="TextBox 2568">
          <a:extLst>
            <a:ext uri="{FF2B5EF4-FFF2-40B4-BE49-F238E27FC236}">
              <a16:creationId xmlns:a16="http://schemas.microsoft.com/office/drawing/2014/main" id="{E53A0D8B-B9F1-4967-BC81-98FF5577010A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59" name="TextBox 2569">
          <a:extLst>
            <a:ext uri="{FF2B5EF4-FFF2-40B4-BE49-F238E27FC236}">
              <a16:creationId xmlns:a16="http://schemas.microsoft.com/office/drawing/2014/main" id="{5C97D2DB-F4D7-4B1E-9ED9-67448AD1A1E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0" name="TextBox 2570">
          <a:extLst>
            <a:ext uri="{FF2B5EF4-FFF2-40B4-BE49-F238E27FC236}">
              <a16:creationId xmlns:a16="http://schemas.microsoft.com/office/drawing/2014/main" id="{49347F33-0010-4AC2-93F0-5EC8F5A926D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1" name="TextBox 2571">
          <a:extLst>
            <a:ext uri="{FF2B5EF4-FFF2-40B4-BE49-F238E27FC236}">
              <a16:creationId xmlns:a16="http://schemas.microsoft.com/office/drawing/2014/main" id="{8EF03DB9-B6F2-4C08-AC1F-25C2A263C98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2" name="TextBox 2572">
          <a:extLst>
            <a:ext uri="{FF2B5EF4-FFF2-40B4-BE49-F238E27FC236}">
              <a16:creationId xmlns:a16="http://schemas.microsoft.com/office/drawing/2014/main" id="{26E5CAED-CCC5-41A9-9247-2C494BD49746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3" name="TextBox 2573">
          <a:extLst>
            <a:ext uri="{FF2B5EF4-FFF2-40B4-BE49-F238E27FC236}">
              <a16:creationId xmlns:a16="http://schemas.microsoft.com/office/drawing/2014/main" id="{5CE61DC9-B7D9-4C74-9A1A-BB3E97846D07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4" name="TextBox 2574">
          <a:extLst>
            <a:ext uri="{FF2B5EF4-FFF2-40B4-BE49-F238E27FC236}">
              <a16:creationId xmlns:a16="http://schemas.microsoft.com/office/drawing/2014/main" id="{2179A83C-06BB-4F2A-8DA1-833BC82B07A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5" name="TextBox 2575">
          <a:extLst>
            <a:ext uri="{FF2B5EF4-FFF2-40B4-BE49-F238E27FC236}">
              <a16:creationId xmlns:a16="http://schemas.microsoft.com/office/drawing/2014/main" id="{34C82C95-87A8-49B6-B80E-D567C221C68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6" name="TextBox 13">
          <a:extLst>
            <a:ext uri="{FF2B5EF4-FFF2-40B4-BE49-F238E27FC236}">
              <a16:creationId xmlns:a16="http://schemas.microsoft.com/office/drawing/2014/main" id="{5021341F-4F86-4B55-9769-C3DE994067E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7" name="TextBox 14">
          <a:extLst>
            <a:ext uri="{FF2B5EF4-FFF2-40B4-BE49-F238E27FC236}">
              <a16:creationId xmlns:a16="http://schemas.microsoft.com/office/drawing/2014/main" id="{B4E48B61-87DB-4C65-80F0-E399021F6C5B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8" name="TextBox 2578">
          <a:extLst>
            <a:ext uri="{FF2B5EF4-FFF2-40B4-BE49-F238E27FC236}">
              <a16:creationId xmlns:a16="http://schemas.microsoft.com/office/drawing/2014/main" id="{D7FB87A6-E890-447C-B8C7-912EB4FDE113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69" name="TextBox 2579">
          <a:extLst>
            <a:ext uri="{FF2B5EF4-FFF2-40B4-BE49-F238E27FC236}">
              <a16:creationId xmlns:a16="http://schemas.microsoft.com/office/drawing/2014/main" id="{D71E5A3C-0C5C-4884-AEAB-B9E436401AD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0" name="TextBox 2580">
          <a:extLst>
            <a:ext uri="{FF2B5EF4-FFF2-40B4-BE49-F238E27FC236}">
              <a16:creationId xmlns:a16="http://schemas.microsoft.com/office/drawing/2014/main" id="{C03ACE06-D599-4D80-A3E6-1E4C177D07A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1" name="TextBox 2581">
          <a:extLst>
            <a:ext uri="{FF2B5EF4-FFF2-40B4-BE49-F238E27FC236}">
              <a16:creationId xmlns:a16="http://schemas.microsoft.com/office/drawing/2014/main" id="{063BD9A6-F33C-4381-83D0-10009D3DA0E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2" name="TextBox 15">
          <a:extLst>
            <a:ext uri="{FF2B5EF4-FFF2-40B4-BE49-F238E27FC236}">
              <a16:creationId xmlns:a16="http://schemas.microsoft.com/office/drawing/2014/main" id="{0E741386-B0A8-4B0C-8EB3-A432EA59FBC3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3" name="TextBox 16">
          <a:extLst>
            <a:ext uri="{FF2B5EF4-FFF2-40B4-BE49-F238E27FC236}">
              <a16:creationId xmlns:a16="http://schemas.microsoft.com/office/drawing/2014/main" id="{A1BF8605-10B8-48A7-B98F-5F828A403E1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4" name="TextBox 17">
          <a:extLst>
            <a:ext uri="{FF2B5EF4-FFF2-40B4-BE49-F238E27FC236}">
              <a16:creationId xmlns:a16="http://schemas.microsoft.com/office/drawing/2014/main" id="{1D6BAC55-1895-4086-8B37-D5D2940A0724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5" name="TextBox 18">
          <a:extLst>
            <a:ext uri="{FF2B5EF4-FFF2-40B4-BE49-F238E27FC236}">
              <a16:creationId xmlns:a16="http://schemas.microsoft.com/office/drawing/2014/main" id="{D3CFACA6-DB79-445E-8160-C9998698F3B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6" name="TextBox 2586">
          <a:extLst>
            <a:ext uri="{FF2B5EF4-FFF2-40B4-BE49-F238E27FC236}">
              <a16:creationId xmlns:a16="http://schemas.microsoft.com/office/drawing/2014/main" id="{B8E87D63-3922-4722-885A-82F1E52D829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7" name="TextBox 2587">
          <a:extLst>
            <a:ext uri="{FF2B5EF4-FFF2-40B4-BE49-F238E27FC236}">
              <a16:creationId xmlns:a16="http://schemas.microsoft.com/office/drawing/2014/main" id="{99FAF33A-7656-47CD-80E6-C6447B86B59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8" name="TextBox 1">
          <a:extLst>
            <a:ext uri="{FF2B5EF4-FFF2-40B4-BE49-F238E27FC236}">
              <a16:creationId xmlns:a16="http://schemas.microsoft.com/office/drawing/2014/main" id="{480DE9D6-73A0-4BE4-8DF9-56548768FF4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79" name="TextBox 3">
          <a:extLst>
            <a:ext uri="{FF2B5EF4-FFF2-40B4-BE49-F238E27FC236}">
              <a16:creationId xmlns:a16="http://schemas.microsoft.com/office/drawing/2014/main" id="{EF3D0252-1B5E-4BF2-B4E6-FEE54A07EBE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0" name="TextBox 2590">
          <a:extLst>
            <a:ext uri="{FF2B5EF4-FFF2-40B4-BE49-F238E27FC236}">
              <a16:creationId xmlns:a16="http://schemas.microsoft.com/office/drawing/2014/main" id="{B1AE38B5-4430-46D1-83CF-FB0028337DD0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1" name="TextBox 2591">
          <a:extLst>
            <a:ext uri="{FF2B5EF4-FFF2-40B4-BE49-F238E27FC236}">
              <a16:creationId xmlns:a16="http://schemas.microsoft.com/office/drawing/2014/main" id="{B329C597-52DA-40CE-A880-0ADED9A81C1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2" name="TextBox 2592">
          <a:extLst>
            <a:ext uri="{FF2B5EF4-FFF2-40B4-BE49-F238E27FC236}">
              <a16:creationId xmlns:a16="http://schemas.microsoft.com/office/drawing/2014/main" id="{1274E9C0-4F48-4331-8153-8C9ADC93D2B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3" name="TextBox 2593">
          <a:extLst>
            <a:ext uri="{FF2B5EF4-FFF2-40B4-BE49-F238E27FC236}">
              <a16:creationId xmlns:a16="http://schemas.microsoft.com/office/drawing/2014/main" id="{1D06DD94-B8D2-403F-BDC5-1A1A83F44414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4" name="TextBox 2594">
          <a:extLst>
            <a:ext uri="{FF2B5EF4-FFF2-40B4-BE49-F238E27FC236}">
              <a16:creationId xmlns:a16="http://schemas.microsoft.com/office/drawing/2014/main" id="{A6AA13EC-1462-459F-B1C6-9E7BFCAE203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5" name="TextBox 2595">
          <a:extLst>
            <a:ext uri="{FF2B5EF4-FFF2-40B4-BE49-F238E27FC236}">
              <a16:creationId xmlns:a16="http://schemas.microsoft.com/office/drawing/2014/main" id="{913FDEE6-D513-4B3D-AB05-7B7AE38D34B1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6" name="TextBox 2596">
          <a:extLst>
            <a:ext uri="{FF2B5EF4-FFF2-40B4-BE49-F238E27FC236}">
              <a16:creationId xmlns:a16="http://schemas.microsoft.com/office/drawing/2014/main" id="{9B7DB38C-4FC2-4865-A5EC-60071D33FE8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7" name="TextBox 2597">
          <a:extLst>
            <a:ext uri="{FF2B5EF4-FFF2-40B4-BE49-F238E27FC236}">
              <a16:creationId xmlns:a16="http://schemas.microsoft.com/office/drawing/2014/main" id="{B2BFF53C-C951-4D6C-BF5D-A9F5A5085B5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8" name="TextBox 2598">
          <a:extLst>
            <a:ext uri="{FF2B5EF4-FFF2-40B4-BE49-F238E27FC236}">
              <a16:creationId xmlns:a16="http://schemas.microsoft.com/office/drawing/2014/main" id="{11012C6E-DECB-46BD-A913-32AB929E8BB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89" name="TextBox 2599">
          <a:extLst>
            <a:ext uri="{FF2B5EF4-FFF2-40B4-BE49-F238E27FC236}">
              <a16:creationId xmlns:a16="http://schemas.microsoft.com/office/drawing/2014/main" id="{BC6237B8-05CA-4AA8-A545-68318DEF0D9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0" name="TextBox 13">
          <a:extLst>
            <a:ext uri="{FF2B5EF4-FFF2-40B4-BE49-F238E27FC236}">
              <a16:creationId xmlns:a16="http://schemas.microsoft.com/office/drawing/2014/main" id="{DF0BBDA6-54AA-4041-9031-10E186A77F1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1" name="TextBox 14">
          <a:extLst>
            <a:ext uri="{FF2B5EF4-FFF2-40B4-BE49-F238E27FC236}">
              <a16:creationId xmlns:a16="http://schemas.microsoft.com/office/drawing/2014/main" id="{C03BB2C7-B98B-42D1-A803-F7C0BA501FD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2" name="TextBox 2602">
          <a:extLst>
            <a:ext uri="{FF2B5EF4-FFF2-40B4-BE49-F238E27FC236}">
              <a16:creationId xmlns:a16="http://schemas.microsoft.com/office/drawing/2014/main" id="{AA8CBEA2-63A8-4567-92A9-13B1E7FABB7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3" name="TextBox 2603">
          <a:extLst>
            <a:ext uri="{FF2B5EF4-FFF2-40B4-BE49-F238E27FC236}">
              <a16:creationId xmlns:a16="http://schemas.microsoft.com/office/drawing/2014/main" id="{EF594400-4260-4871-8FFE-58ABF83B53B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4" name="TextBox 2604">
          <a:extLst>
            <a:ext uri="{FF2B5EF4-FFF2-40B4-BE49-F238E27FC236}">
              <a16:creationId xmlns:a16="http://schemas.microsoft.com/office/drawing/2014/main" id="{C7BAF85B-CEC4-4506-827B-E006A979327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5" name="TextBox 2605">
          <a:extLst>
            <a:ext uri="{FF2B5EF4-FFF2-40B4-BE49-F238E27FC236}">
              <a16:creationId xmlns:a16="http://schemas.microsoft.com/office/drawing/2014/main" id="{5FE3FA6D-5D21-4CA5-AACA-8D7A49F1B1B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6" name="TextBox 15">
          <a:extLst>
            <a:ext uri="{FF2B5EF4-FFF2-40B4-BE49-F238E27FC236}">
              <a16:creationId xmlns:a16="http://schemas.microsoft.com/office/drawing/2014/main" id="{BD9E7857-E05E-4C57-A3B6-688894B3A55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7" name="TextBox 16">
          <a:extLst>
            <a:ext uri="{FF2B5EF4-FFF2-40B4-BE49-F238E27FC236}">
              <a16:creationId xmlns:a16="http://schemas.microsoft.com/office/drawing/2014/main" id="{9FB7B67F-8696-4AC6-9FA6-EFDEC8226F11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8" name="TextBox 17">
          <a:extLst>
            <a:ext uri="{FF2B5EF4-FFF2-40B4-BE49-F238E27FC236}">
              <a16:creationId xmlns:a16="http://schemas.microsoft.com/office/drawing/2014/main" id="{BD0465AA-9077-4D81-8C29-AFB9A188CC3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7999" name="TextBox 18">
          <a:extLst>
            <a:ext uri="{FF2B5EF4-FFF2-40B4-BE49-F238E27FC236}">
              <a16:creationId xmlns:a16="http://schemas.microsoft.com/office/drawing/2014/main" id="{3544BB3B-56B0-4A79-AB65-347E4FCF754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0" name="TextBox 2610">
          <a:extLst>
            <a:ext uri="{FF2B5EF4-FFF2-40B4-BE49-F238E27FC236}">
              <a16:creationId xmlns:a16="http://schemas.microsoft.com/office/drawing/2014/main" id="{1A87190A-6BF3-49C5-97B0-53BDFC620A4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1" name="TextBox 2611">
          <a:extLst>
            <a:ext uri="{FF2B5EF4-FFF2-40B4-BE49-F238E27FC236}">
              <a16:creationId xmlns:a16="http://schemas.microsoft.com/office/drawing/2014/main" id="{FB93CDC2-A5C9-4941-9817-D90F3DD0D02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2" name="TextBox 1">
          <a:extLst>
            <a:ext uri="{FF2B5EF4-FFF2-40B4-BE49-F238E27FC236}">
              <a16:creationId xmlns:a16="http://schemas.microsoft.com/office/drawing/2014/main" id="{6C1200D1-1482-4F8C-80EE-7E47B057A2B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3" name="TextBox 3">
          <a:extLst>
            <a:ext uri="{FF2B5EF4-FFF2-40B4-BE49-F238E27FC236}">
              <a16:creationId xmlns:a16="http://schemas.microsoft.com/office/drawing/2014/main" id="{C633DE56-9FAF-4B84-8F2F-27BD820D937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4" name="TextBox 2614">
          <a:extLst>
            <a:ext uri="{FF2B5EF4-FFF2-40B4-BE49-F238E27FC236}">
              <a16:creationId xmlns:a16="http://schemas.microsoft.com/office/drawing/2014/main" id="{B9AE765A-F7EB-4D49-A3C0-6717BC15436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5" name="TextBox 2615">
          <a:extLst>
            <a:ext uri="{FF2B5EF4-FFF2-40B4-BE49-F238E27FC236}">
              <a16:creationId xmlns:a16="http://schemas.microsoft.com/office/drawing/2014/main" id="{CDA28B31-CE35-4B7B-A25C-716223B1AEC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6" name="TextBox 2616">
          <a:extLst>
            <a:ext uri="{FF2B5EF4-FFF2-40B4-BE49-F238E27FC236}">
              <a16:creationId xmlns:a16="http://schemas.microsoft.com/office/drawing/2014/main" id="{825764FD-C396-49C6-84F9-A10FD9969B0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7" name="TextBox 2617">
          <a:extLst>
            <a:ext uri="{FF2B5EF4-FFF2-40B4-BE49-F238E27FC236}">
              <a16:creationId xmlns:a16="http://schemas.microsoft.com/office/drawing/2014/main" id="{0A29246C-1382-4647-9B7A-7FAB63EABBB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8" name="TextBox 2618">
          <a:extLst>
            <a:ext uri="{FF2B5EF4-FFF2-40B4-BE49-F238E27FC236}">
              <a16:creationId xmlns:a16="http://schemas.microsoft.com/office/drawing/2014/main" id="{26F0BDEB-C76F-4B56-B0F9-2EA0F5947A1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09" name="TextBox 2619">
          <a:extLst>
            <a:ext uri="{FF2B5EF4-FFF2-40B4-BE49-F238E27FC236}">
              <a16:creationId xmlns:a16="http://schemas.microsoft.com/office/drawing/2014/main" id="{6305318F-9BB5-4C2D-AAC7-B96C27282678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0" name="TextBox 2620">
          <a:extLst>
            <a:ext uri="{FF2B5EF4-FFF2-40B4-BE49-F238E27FC236}">
              <a16:creationId xmlns:a16="http://schemas.microsoft.com/office/drawing/2014/main" id="{74472056-9C8B-4D1B-9378-6B57E0D83CB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1" name="TextBox 2621">
          <a:extLst>
            <a:ext uri="{FF2B5EF4-FFF2-40B4-BE49-F238E27FC236}">
              <a16:creationId xmlns:a16="http://schemas.microsoft.com/office/drawing/2014/main" id="{E09E8DE6-88E3-4513-A774-4E6F7A90A8A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2" name="TextBox 2622">
          <a:extLst>
            <a:ext uri="{FF2B5EF4-FFF2-40B4-BE49-F238E27FC236}">
              <a16:creationId xmlns:a16="http://schemas.microsoft.com/office/drawing/2014/main" id="{539A396E-02CD-477D-AB08-FD68AB8F5281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3" name="TextBox 2623">
          <a:extLst>
            <a:ext uri="{FF2B5EF4-FFF2-40B4-BE49-F238E27FC236}">
              <a16:creationId xmlns:a16="http://schemas.microsoft.com/office/drawing/2014/main" id="{F168BE68-C1A1-4C78-8B87-F7536D951C4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4" name="TextBox 13">
          <a:extLst>
            <a:ext uri="{FF2B5EF4-FFF2-40B4-BE49-F238E27FC236}">
              <a16:creationId xmlns:a16="http://schemas.microsoft.com/office/drawing/2014/main" id="{9F666BEE-6CFB-4250-8002-92F72A25228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5" name="TextBox 14">
          <a:extLst>
            <a:ext uri="{FF2B5EF4-FFF2-40B4-BE49-F238E27FC236}">
              <a16:creationId xmlns:a16="http://schemas.microsoft.com/office/drawing/2014/main" id="{1883A7D4-66B6-44C2-A386-DE6C22B4C83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6" name="TextBox 2626">
          <a:extLst>
            <a:ext uri="{FF2B5EF4-FFF2-40B4-BE49-F238E27FC236}">
              <a16:creationId xmlns:a16="http://schemas.microsoft.com/office/drawing/2014/main" id="{7489C7C0-CE60-4517-8926-9C1AC0B9707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7" name="TextBox 2627">
          <a:extLst>
            <a:ext uri="{FF2B5EF4-FFF2-40B4-BE49-F238E27FC236}">
              <a16:creationId xmlns:a16="http://schemas.microsoft.com/office/drawing/2014/main" id="{AF1EF322-2D9E-4D32-A359-5DE03ECD66C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8" name="TextBox 2628">
          <a:extLst>
            <a:ext uri="{FF2B5EF4-FFF2-40B4-BE49-F238E27FC236}">
              <a16:creationId xmlns:a16="http://schemas.microsoft.com/office/drawing/2014/main" id="{E4429746-2390-4A81-93F2-C0D48F235E43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19" name="TextBox 2629">
          <a:extLst>
            <a:ext uri="{FF2B5EF4-FFF2-40B4-BE49-F238E27FC236}">
              <a16:creationId xmlns:a16="http://schemas.microsoft.com/office/drawing/2014/main" id="{B4F59BA0-EA4A-484F-9A6D-2389E35D41B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0" name="TextBox 15">
          <a:extLst>
            <a:ext uri="{FF2B5EF4-FFF2-40B4-BE49-F238E27FC236}">
              <a16:creationId xmlns:a16="http://schemas.microsoft.com/office/drawing/2014/main" id="{D2856259-D8FF-4B07-A074-44D630CBC715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1" name="TextBox 16">
          <a:extLst>
            <a:ext uri="{FF2B5EF4-FFF2-40B4-BE49-F238E27FC236}">
              <a16:creationId xmlns:a16="http://schemas.microsoft.com/office/drawing/2014/main" id="{6BC8EEFA-BEB9-4977-B0F2-FB50965D13E0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2" name="TextBox 17">
          <a:extLst>
            <a:ext uri="{FF2B5EF4-FFF2-40B4-BE49-F238E27FC236}">
              <a16:creationId xmlns:a16="http://schemas.microsoft.com/office/drawing/2014/main" id="{A643E404-709C-4339-90E7-BBE864544085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3" name="TextBox 18">
          <a:extLst>
            <a:ext uri="{FF2B5EF4-FFF2-40B4-BE49-F238E27FC236}">
              <a16:creationId xmlns:a16="http://schemas.microsoft.com/office/drawing/2014/main" id="{94F1F98C-DE92-4F6D-9A38-744A7866F31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4" name="TextBox 2634">
          <a:extLst>
            <a:ext uri="{FF2B5EF4-FFF2-40B4-BE49-F238E27FC236}">
              <a16:creationId xmlns:a16="http://schemas.microsoft.com/office/drawing/2014/main" id="{0639C133-4DC9-458E-93FB-858D352B3A1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5" name="TextBox 2635">
          <a:extLst>
            <a:ext uri="{FF2B5EF4-FFF2-40B4-BE49-F238E27FC236}">
              <a16:creationId xmlns:a16="http://schemas.microsoft.com/office/drawing/2014/main" id="{8641BBAF-ECF5-4278-B12E-2FFD7C65D8A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6" name="TextBox 1">
          <a:extLst>
            <a:ext uri="{FF2B5EF4-FFF2-40B4-BE49-F238E27FC236}">
              <a16:creationId xmlns:a16="http://schemas.microsoft.com/office/drawing/2014/main" id="{25AF8B99-F2DD-498A-8FD2-D9AE27F63F6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7" name="TextBox 3">
          <a:extLst>
            <a:ext uri="{FF2B5EF4-FFF2-40B4-BE49-F238E27FC236}">
              <a16:creationId xmlns:a16="http://schemas.microsoft.com/office/drawing/2014/main" id="{CC6544EA-6E39-494B-BB3A-00EE44639210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8" name="TextBox 2638">
          <a:extLst>
            <a:ext uri="{FF2B5EF4-FFF2-40B4-BE49-F238E27FC236}">
              <a16:creationId xmlns:a16="http://schemas.microsoft.com/office/drawing/2014/main" id="{0F75EB42-1E4C-4204-9672-95FEA7B596F0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29" name="TextBox 2639">
          <a:extLst>
            <a:ext uri="{FF2B5EF4-FFF2-40B4-BE49-F238E27FC236}">
              <a16:creationId xmlns:a16="http://schemas.microsoft.com/office/drawing/2014/main" id="{BFEE2BD5-08EB-436D-BFD5-955C2F7AD68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0" name="TextBox 2640">
          <a:extLst>
            <a:ext uri="{FF2B5EF4-FFF2-40B4-BE49-F238E27FC236}">
              <a16:creationId xmlns:a16="http://schemas.microsoft.com/office/drawing/2014/main" id="{09F8549F-6D30-4ACA-A273-40CA448544E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1" name="TextBox 2641">
          <a:extLst>
            <a:ext uri="{FF2B5EF4-FFF2-40B4-BE49-F238E27FC236}">
              <a16:creationId xmlns:a16="http://schemas.microsoft.com/office/drawing/2014/main" id="{EBF18E6F-99CE-49B0-A23F-68DA33A21B2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2" name="TextBox 2642">
          <a:extLst>
            <a:ext uri="{FF2B5EF4-FFF2-40B4-BE49-F238E27FC236}">
              <a16:creationId xmlns:a16="http://schemas.microsoft.com/office/drawing/2014/main" id="{A3C39504-2D3C-40B6-A4A9-ECABF7B441F5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3" name="TextBox 2643">
          <a:extLst>
            <a:ext uri="{FF2B5EF4-FFF2-40B4-BE49-F238E27FC236}">
              <a16:creationId xmlns:a16="http://schemas.microsoft.com/office/drawing/2014/main" id="{E4949A06-3020-43FB-B36D-B97ECB35BE1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4" name="TextBox 2644">
          <a:extLst>
            <a:ext uri="{FF2B5EF4-FFF2-40B4-BE49-F238E27FC236}">
              <a16:creationId xmlns:a16="http://schemas.microsoft.com/office/drawing/2014/main" id="{12DD5DA4-0312-4E08-831E-A2B5419002A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5" name="TextBox 2645">
          <a:extLst>
            <a:ext uri="{FF2B5EF4-FFF2-40B4-BE49-F238E27FC236}">
              <a16:creationId xmlns:a16="http://schemas.microsoft.com/office/drawing/2014/main" id="{2049166E-B5BE-49FC-A54D-918756DAE6C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6" name="TextBox 2646">
          <a:extLst>
            <a:ext uri="{FF2B5EF4-FFF2-40B4-BE49-F238E27FC236}">
              <a16:creationId xmlns:a16="http://schemas.microsoft.com/office/drawing/2014/main" id="{1B061E8A-22B6-4FD2-AE0B-F34032B8EB5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7" name="TextBox 2647">
          <a:extLst>
            <a:ext uri="{FF2B5EF4-FFF2-40B4-BE49-F238E27FC236}">
              <a16:creationId xmlns:a16="http://schemas.microsoft.com/office/drawing/2014/main" id="{80F53686-80B3-484C-85EB-D3D6C0F29F0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8" name="TextBox 13">
          <a:extLst>
            <a:ext uri="{FF2B5EF4-FFF2-40B4-BE49-F238E27FC236}">
              <a16:creationId xmlns:a16="http://schemas.microsoft.com/office/drawing/2014/main" id="{30938102-ED93-4968-B2D5-C6FE82AF99C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39" name="TextBox 14">
          <a:extLst>
            <a:ext uri="{FF2B5EF4-FFF2-40B4-BE49-F238E27FC236}">
              <a16:creationId xmlns:a16="http://schemas.microsoft.com/office/drawing/2014/main" id="{4CB1765D-366D-4612-BBC2-B01C26CAE92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0" name="TextBox 2650">
          <a:extLst>
            <a:ext uri="{FF2B5EF4-FFF2-40B4-BE49-F238E27FC236}">
              <a16:creationId xmlns:a16="http://schemas.microsoft.com/office/drawing/2014/main" id="{7D715B9C-155D-4FB2-89BF-A119D752BFD3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1" name="TextBox 2651">
          <a:extLst>
            <a:ext uri="{FF2B5EF4-FFF2-40B4-BE49-F238E27FC236}">
              <a16:creationId xmlns:a16="http://schemas.microsoft.com/office/drawing/2014/main" id="{61DFB8DE-1066-4420-89D8-1A3D2FB5A2D6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2" name="TextBox 2652">
          <a:extLst>
            <a:ext uri="{FF2B5EF4-FFF2-40B4-BE49-F238E27FC236}">
              <a16:creationId xmlns:a16="http://schemas.microsoft.com/office/drawing/2014/main" id="{7BCC5E10-E1D5-451A-AAFB-3A61B629A23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3" name="TextBox 2653">
          <a:extLst>
            <a:ext uri="{FF2B5EF4-FFF2-40B4-BE49-F238E27FC236}">
              <a16:creationId xmlns:a16="http://schemas.microsoft.com/office/drawing/2014/main" id="{23F71BD3-36E1-4425-A8A6-447D7EDBD44A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4" name="TextBox 15">
          <a:extLst>
            <a:ext uri="{FF2B5EF4-FFF2-40B4-BE49-F238E27FC236}">
              <a16:creationId xmlns:a16="http://schemas.microsoft.com/office/drawing/2014/main" id="{E97AD8B9-3BFD-45EB-8324-5B34EBE6B3F9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5" name="TextBox 16">
          <a:extLst>
            <a:ext uri="{FF2B5EF4-FFF2-40B4-BE49-F238E27FC236}">
              <a16:creationId xmlns:a16="http://schemas.microsoft.com/office/drawing/2014/main" id="{79590A6C-52B3-4071-A6E5-72BE570B93D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6" name="TextBox 17">
          <a:extLst>
            <a:ext uri="{FF2B5EF4-FFF2-40B4-BE49-F238E27FC236}">
              <a16:creationId xmlns:a16="http://schemas.microsoft.com/office/drawing/2014/main" id="{919A2336-C25E-4185-876D-0DEBDAF9389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7" name="TextBox 18">
          <a:extLst>
            <a:ext uri="{FF2B5EF4-FFF2-40B4-BE49-F238E27FC236}">
              <a16:creationId xmlns:a16="http://schemas.microsoft.com/office/drawing/2014/main" id="{AFF83AC7-5B87-41A2-9F38-2A4B4280A08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8" name="TextBox 2658">
          <a:extLst>
            <a:ext uri="{FF2B5EF4-FFF2-40B4-BE49-F238E27FC236}">
              <a16:creationId xmlns:a16="http://schemas.microsoft.com/office/drawing/2014/main" id="{A0F62009-2D73-404F-AD87-4E045EC7528F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49" name="TextBox 2659">
          <a:extLst>
            <a:ext uri="{FF2B5EF4-FFF2-40B4-BE49-F238E27FC236}">
              <a16:creationId xmlns:a16="http://schemas.microsoft.com/office/drawing/2014/main" id="{CAA0D50F-4EA3-49AD-9008-8948F750D6F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0" name="TextBox 1">
          <a:extLst>
            <a:ext uri="{FF2B5EF4-FFF2-40B4-BE49-F238E27FC236}">
              <a16:creationId xmlns:a16="http://schemas.microsoft.com/office/drawing/2014/main" id="{DB41E847-0704-4F27-B74D-2A1D63770866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1" name="TextBox 3">
          <a:extLst>
            <a:ext uri="{FF2B5EF4-FFF2-40B4-BE49-F238E27FC236}">
              <a16:creationId xmlns:a16="http://schemas.microsoft.com/office/drawing/2014/main" id="{74ADEA41-E593-40BC-B7EB-FF3C365F2FA5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2" name="TextBox 2662">
          <a:extLst>
            <a:ext uri="{FF2B5EF4-FFF2-40B4-BE49-F238E27FC236}">
              <a16:creationId xmlns:a16="http://schemas.microsoft.com/office/drawing/2014/main" id="{A6E82762-DF7A-43E8-8541-6C6DA6D47E2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3" name="TextBox 2663">
          <a:extLst>
            <a:ext uri="{FF2B5EF4-FFF2-40B4-BE49-F238E27FC236}">
              <a16:creationId xmlns:a16="http://schemas.microsoft.com/office/drawing/2014/main" id="{1CC5646C-6A6A-46F5-A194-948EBE8CA85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4" name="TextBox 2664">
          <a:extLst>
            <a:ext uri="{FF2B5EF4-FFF2-40B4-BE49-F238E27FC236}">
              <a16:creationId xmlns:a16="http://schemas.microsoft.com/office/drawing/2014/main" id="{ABA625C1-213A-4C6E-8837-86925E0EFC9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5" name="TextBox 2665">
          <a:extLst>
            <a:ext uri="{FF2B5EF4-FFF2-40B4-BE49-F238E27FC236}">
              <a16:creationId xmlns:a16="http://schemas.microsoft.com/office/drawing/2014/main" id="{22EF050D-1344-4F61-A6A9-F100B2B2334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6" name="TextBox 2666">
          <a:extLst>
            <a:ext uri="{FF2B5EF4-FFF2-40B4-BE49-F238E27FC236}">
              <a16:creationId xmlns:a16="http://schemas.microsoft.com/office/drawing/2014/main" id="{6EB186D3-30AA-4ED7-9C5C-9B3BE0157C8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7" name="TextBox 2667">
          <a:extLst>
            <a:ext uri="{FF2B5EF4-FFF2-40B4-BE49-F238E27FC236}">
              <a16:creationId xmlns:a16="http://schemas.microsoft.com/office/drawing/2014/main" id="{31846F1F-FCDA-4AE0-A012-0CA8526B88A5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8" name="TextBox 2668">
          <a:extLst>
            <a:ext uri="{FF2B5EF4-FFF2-40B4-BE49-F238E27FC236}">
              <a16:creationId xmlns:a16="http://schemas.microsoft.com/office/drawing/2014/main" id="{AF37E594-34F8-4C92-8FD1-ECF57B0C6DD5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59" name="TextBox 2669">
          <a:extLst>
            <a:ext uri="{FF2B5EF4-FFF2-40B4-BE49-F238E27FC236}">
              <a16:creationId xmlns:a16="http://schemas.microsoft.com/office/drawing/2014/main" id="{0B181A1A-66E9-4010-819F-AF34FCD69E43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0" name="TextBox 2670">
          <a:extLst>
            <a:ext uri="{FF2B5EF4-FFF2-40B4-BE49-F238E27FC236}">
              <a16:creationId xmlns:a16="http://schemas.microsoft.com/office/drawing/2014/main" id="{4F1805F5-5D3E-4614-BA0B-F8A3CBA9B9BF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1" name="TextBox 2671">
          <a:extLst>
            <a:ext uri="{FF2B5EF4-FFF2-40B4-BE49-F238E27FC236}">
              <a16:creationId xmlns:a16="http://schemas.microsoft.com/office/drawing/2014/main" id="{8CF7C4FA-FAFB-4253-86B3-2FF08D654BF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2" name="TextBox 13">
          <a:extLst>
            <a:ext uri="{FF2B5EF4-FFF2-40B4-BE49-F238E27FC236}">
              <a16:creationId xmlns:a16="http://schemas.microsoft.com/office/drawing/2014/main" id="{E5E52F82-669B-4E94-AC62-B73D01BF96EA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3" name="TextBox 14">
          <a:extLst>
            <a:ext uri="{FF2B5EF4-FFF2-40B4-BE49-F238E27FC236}">
              <a16:creationId xmlns:a16="http://schemas.microsoft.com/office/drawing/2014/main" id="{7F4D8BAA-3AC9-4D20-BA37-591694CDF09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4" name="TextBox 2674">
          <a:extLst>
            <a:ext uri="{FF2B5EF4-FFF2-40B4-BE49-F238E27FC236}">
              <a16:creationId xmlns:a16="http://schemas.microsoft.com/office/drawing/2014/main" id="{282CF0DD-E4F2-4C3F-9D0D-CA18644BC80F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5" name="TextBox 2675">
          <a:extLst>
            <a:ext uri="{FF2B5EF4-FFF2-40B4-BE49-F238E27FC236}">
              <a16:creationId xmlns:a16="http://schemas.microsoft.com/office/drawing/2014/main" id="{06D6F5A2-F25D-4632-BA53-07E3256C8ED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6" name="TextBox 2676">
          <a:extLst>
            <a:ext uri="{FF2B5EF4-FFF2-40B4-BE49-F238E27FC236}">
              <a16:creationId xmlns:a16="http://schemas.microsoft.com/office/drawing/2014/main" id="{C2237501-F49F-41BA-98C6-3940FBC45839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7" name="TextBox 2677">
          <a:extLst>
            <a:ext uri="{FF2B5EF4-FFF2-40B4-BE49-F238E27FC236}">
              <a16:creationId xmlns:a16="http://schemas.microsoft.com/office/drawing/2014/main" id="{F640629C-EC55-4A18-AB4B-D026A88B09B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8" name="TextBox 15">
          <a:extLst>
            <a:ext uri="{FF2B5EF4-FFF2-40B4-BE49-F238E27FC236}">
              <a16:creationId xmlns:a16="http://schemas.microsoft.com/office/drawing/2014/main" id="{C398AA0D-9A06-4CF8-A6E7-946D6B8E2309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69" name="TextBox 16">
          <a:extLst>
            <a:ext uri="{FF2B5EF4-FFF2-40B4-BE49-F238E27FC236}">
              <a16:creationId xmlns:a16="http://schemas.microsoft.com/office/drawing/2014/main" id="{CA6B0AC1-9978-4862-BF30-3286CC9568C3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0" name="TextBox 17">
          <a:extLst>
            <a:ext uri="{FF2B5EF4-FFF2-40B4-BE49-F238E27FC236}">
              <a16:creationId xmlns:a16="http://schemas.microsoft.com/office/drawing/2014/main" id="{0E52B629-BCB5-4D87-9928-E06619E485F9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1" name="TextBox 18">
          <a:extLst>
            <a:ext uri="{FF2B5EF4-FFF2-40B4-BE49-F238E27FC236}">
              <a16:creationId xmlns:a16="http://schemas.microsoft.com/office/drawing/2014/main" id="{05219029-0F01-42D7-A005-F557563ECB6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2" name="TextBox 2682">
          <a:extLst>
            <a:ext uri="{FF2B5EF4-FFF2-40B4-BE49-F238E27FC236}">
              <a16:creationId xmlns:a16="http://schemas.microsoft.com/office/drawing/2014/main" id="{2689056D-4058-43F7-AE77-A8180989167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3" name="TextBox 2683">
          <a:extLst>
            <a:ext uri="{FF2B5EF4-FFF2-40B4-BE49-F238E27FC236}">
              <a16:creationId xmlns:a16="http://schemas.microsoft.com/office/drawing/2014/main" id="{1AC3F844-CA88-473D-AF67-B823E02F2AD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4" name="TextBox 1">
          <a:extLst>
            <a:ext uri="{FF2B5EF4-FFF2-40B4-BE49-F238E27FC236}">
              <a16:creationId xmlns:a16="http://schemas.microsoft.com/office/drawing/2014/main" id="{B3D8B300-0E03-4084-9AF3-26AB9F4E33A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5" name="TextBox 3">
          <a:extLst>
            <a:ext uri="{FF2B5EF4-FFF2-40B4-BE49-F238E27FC236}">
              <a16:creationId xmlns:a16="http://schemas.microsoft.com/office/drawing/2014/main" id="{5E2FADAC-A40E-42C3-9F5D-FACCA67B179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6" name="TextBox 2686">
          <a:extLst>
            <a:ext uri="{FF2B5EF4-FFF2-40B4-BE49-F238E27FC236}">
              <a16:creationId xmlns:a16="http://schemas.microsoft.com/office/drawing/2014/main" id="{A36F7790-56E6-417B-B599-243EBCD6168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7" name="TextBox 2687">
          <a:extLst>
            <a:ext uri="{FF2B5EF4-FFF2-40B4-BE49-F238E27FC236}">
              <a16:creationId xmlns:a16="http://schemas.microsoft.com/office/drawing/2014/main" id="{C14C6E48-6C66-46AA-80DC-A4E2E6308C56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8" name="TextBox 2688">
          <a:extLst>
            <a:ext uri="{FF2B5EF4-FFF2-40B4-BE49-F238E27FC236}">
              <a16:creationId xmlns:a16="http://schemas.microsoft.com/office/drawing/2014/main" id="{13E1AA68-A124-43D4-AC7E-98EA3C72005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79" name="TextBox 2689">
          <a:extLst>
            <a:ext uri="{FF2B5EF4-FFF2-40B4-BE49-F238E27FC236}">
              <a16:creationId xmlns:a16="http://schemas.microsoft.com/office/drawing/2014/main" id="{B4B4B451-A9E8-4CCC-B8B4-C004FDD7132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0" name="TextBox 2690">
          <a:extLst>
            <a:ext uri="{FF2B5EF4-FFF2-40B4-BE49-F238E27FC236}">
              <a16:creationId xmlns:a16="http://schemas.microsoft.com/office/drawing/2014/main" id="{3FC734A8-4966-4F05-BD2F-1AC0368FB472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1" name="TextBox 2691">
          <a:extLst>
            <a:ext uri="{FF2B5EF4-FFF2-40B4-BE49-F238E27FC236}">
              <a16:creationId xmlns:a16="http://schemas.microsoft.com/office/drawing/2014/main" id="{6D64A8CD-B522-4861-890B-EAE70FF33E0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2" name="TextBox 2692">
          <a:extLst>
            <a:ext uri="{FF2B5EF4-FFF2-40B4-BE49-F238E27FC236}">
              <a16:creationId xmlns:a16="http://schemas.microsoft.com/office/drawing/2014/main" id="{C957DE1F-77F5-482E-B939-3B3A77919AD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3" name="TextBox 2693">
          <a:extLst>
            <a:ext uri="{FF2B5EF4-FFF2-40B4-BE49-F238E27FC236}">
              <a16:creationId xmlns:a16="http://schemas.microsoft.com/office/drawing/2014/main" id="{5BE9C3E0-DF12-4771-8211-574F563A1DC3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4" name="TextBox 2694">
          <a:extLst>
            <a:ext uri="{FF2B5EF4-FFF2-40B4-BE49-F238E27FC236}">
              <a16:creationId xmlns:a16="http://schemas.microsoft.com/office/drawing/2014/main" id="{22A52398-44B7-4BC7-BA5B-ED2A4DE001C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5" name="TextBox 2695">
          <a:extLst>
            <a:ext uri="{FF2B5EF4-FFF2-40B4-BE49-F238E27FC236}">
              <a16:creationId xmlns:a16="http://schemas.microsoft.com/office/drawing/2014/main" id="{CE96079C-9680-4653-B230-051E8E9EDD53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6" name="TextBox 13">
          <a:extLst>
            <a:ext uri="{FF2B5EF4-FFF2-40B4-BE49-F238E27FC236}">
              <a16:creationId xmlns:a16="http://schemas.microsoft.com/office/drawing/2014/main" id="{CA2E3525-8020-4E18-A03F-561C7AB109DA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7" name="TextBox 14">
          <a:extLst>
            <a:ext uri="{FF2B5EF4-FFF2-40B4-BE49-F238E27FC236}">
              <a16:creationId xmlns:a16="http://schemas.microsoft.com/office/drawing/2014/main" id="{7B5D4397-8B59-44FD-B733-59E88675B51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8" name="TextBox 2698">
          <a:extLst>
            <a:ext uri="{FF2B5EF4-FFF2-40B4-BE49-F238E27FC236}">
              <a16:creationId xmlns:a16="http://schemas.microsoft.com/office/drawing/2014/main" id="{2A1A86D4-4EA7-4D30-B534-678F5CE0EA22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89" name="TextBox 2699">
          <a:extLst>
            <a:ext uri="{FF2B5EF4-FFF2-40B4-BE49-F238E27FC236}">
              <a16:creationId xmlns:a16="http://schemas.microsoft.com/office/drawing/2014/main" id="{FFC0E81B-9ADB-47D4-A118-45CBD1E7468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0" name="TextBox 2700">
          <a:extLst>
            <a:ext uri="{FF2B5EF4-FFF2-40B4-BE49-F238E27FC236}">
              <a16:creationId xmlns:a16="http://schemas.microsoft.com/office/drawing/2014/main" id="{367A874D-D969-4D0D-8200-0CEC565B7D7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1" name="TextBox 2701">
          <a:extLst>
            <a:ext uri="{FF2B5EF4-FFF2-40B4-BE49-F238E27FC236}">
              <a16:creationId xmlns:a16="http://schemas.microsoft.com/office/drawing/2014/main" id="{22899C77-B4F8-4A25-AD39-0E927A8F5C4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2" name="TextBox 15">
          <a:extLst>
            <a:ext uri="{FF2B5EF4-FFF2-40B4-BE49-F238E27FC236}">
              <a16:creationId xmlns:a16="http://schemas.microsoft.com/office/drawing/2014/main" id="{AD1B7B2B-86FA-4AF8-BFEC-4909CA8ACC9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3" name="TextBox 16">
          <a:extLst>
            <a:ext uri="{FF2B5EF4-FFF2-40B4-BE49-F238E27FC236}">
              <a16:creationId xmlns:a16="http://schemas.microsoft.com/office/drawing/2014/main" id="{1CEB6A56-9DB5-47C8-88F4-450C086A0CC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4" name="TextBox 17">
          <a:extLst>
            <a:ext uri="{FF2B5EF4-FFF2-40B4-BE49-F238E27FC236}">
              <a16:creationId xmlns:a16="http://schemas.microsoft.com/office/drawing/2014/main" id="{FD68AF53-BEC4-47CA-9FF7-C6E6DF7A5C02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5" name="TextBox 18">
          <a:extLst>
            <a:ext uri="{FF2B5EF4-FFF2-40B4-BE49-F238E27FC236}">
              <a16:creationId xmlns:a16="http://schemas.microsoft.com/office/drawing/2014/main" id="{EBF48734-3746-4989-B74A-B5776A82CD8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6" name="TextBox 2706">
          <a:extLst>
            <a:ext uri="{FF2B5EF4-FFF2-40B4-BE49-F238E27FC236}">
              <a16:creationId xmlns:a16="http://schemas.microsoft.com/office/drawing/2014/main" id="{7A86A579-E3E7-4D2E-A80A-F9C5C4051999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7" name="TextBox 2707">
          <a:extLst>
            <a:ext uri="{FF2B5EF4-FFF2-40B4-BE49-F238E27FC236}">
              <a16:creationId xmlns:a16="http://schemas.microsoft.com/office/drawing/2014/main" id="{E61E8697-6605-4FC7-A648-36544EB7AEB5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8" name="TextBox 1">
          <a:extLst>
            <a:ext uri="{FF2B5EF4-FFF2-40B4-BE49-F238E27FC236}">
              <a16:creationId xmlns:a16="http://schemas.microsoft.com/office/drawing/2014/main" id="{CC70A073-80DA-457C-B6CC-2951B1382201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099" name="TextBox 3">
          <a:extLst>
            <a:ext uri="{FF2B5EF4-FFF2-40B4-BE49-F238E27FC236}">
              <a16:creationId xmlns:a16="http://schemas.microsoft.com/office/drawing/2014/main" id="{F2094AA7-2BE7-41F8-9E86-91122388269A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0" name="TextBox 2710">
          <a:extLst>
            <a:ext uri="{FF2B5EF4-FFF2-40B4-BE49-F238E27FC236}">
              <a16:creationId xmlns:a16="http://schemas.microsoft.com/office/drawing/2014/main" id="{DCCD1DF7-DA31-46A9-AB57-83B11C9E6C92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1" name="TextBox 2711">
          <a:extLst>
            <a:ext uri="{FF2B5EF4-FFF2-40B4-BE49-F238E27FC236}">
              <a16:creationId xmlns:a16="http://schemas.microsoft.com/office/drawing/2014/main" id="{8085901A-4883-4465-9294-5C2E255347C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2" name="TextBox 2712">
          <a:extLst>
            <a:ext uri="{FF2B5EF4-FFF2-40B4-BE49-F238E27FC236}">
              <a16:creationId xmlns:a16="http://schemas.microsoft.com/office/drawing/2014/main" id="{3F90EDF4-63D2-42FB-8EED-D5EE6E27537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3" name="TextBox 2713">
          <a:extLst>
            <a:ext uri="{FF2B5EF4-FFF2-40B4-BE49-F238E27FC236}">
              <a16:creationId xmlns:a16="http://schemas.microsoft.com/office/drawing/2014/main" id="{53FFBA0C-5AC8-4C15-BF6B-04D41EECF76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4" name="TextBox 2714">
          <a:extLst>
            <a:ext uri="{FF2B5EF4-FFF2-40B4-BE49-F238E27FC236}">
              <a16:creationId xmlns:a16="http://schemas.microsoft.com/office/drawing/2014/main" id="{BD455CD6-10C0-4A9C-A451-7B0978101199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5" name="TextBox 2715">
          <a:extLst>
            <a:ext uri="{FF2B5EF4-FFF2-40B4-BE49-F238E27FC236}">
              <a16:creationId xmlns:a16="http://schemas.microsoft.com/office/drawing/2014/main" id="{21240E05-AD28-45DC-8CFB-48E952A7D25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6" name="TextBox 2716">
          <a:extLst>
            <a:ext uri="{FF2B5EF4-FFF2-40B4-BE49-F238E27FC236}">
              <a16:creationId xmlns:a16="http://schemas.microsoft.com/office/drawing/2014/main" id="{6520A18C-B9F1-4996-B749-EB267D6706E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7" name="TextBox 2717">
          <a:extLst>
            <a:ext uri="{FF2B5EF4-FFF2-40B4-BE49-F238E27FC236}">
              <a16:creationId xmlns:a16="http://schemas.microsoft.com/office/drawing/2014/main" id="{A6D24924-6335-46C4-8DF3-E939552E59B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8" name="TextBox 2718">
          <a:extLst>
            <a:ext uri="{FF2B5EF4-FFF2-40B4-BE49-F238E27FC236}">
              <a16:creationId xmlns:a16="http://schemas.microsoft.com/office/drawing/2014/main" id="{B746E367-3A0B-4760-AC62-C04913BF2F1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09" name="TextBox 2719">
          <a:extLst>
            <a:ext uri="{FF2B5EF4-FFF2-40B4-BE49-F238E27FC236}">
              <a16:creationId xmlns:a16="http://schemas.microsoft.com/office/drawing/2014/main" id="{CA423315-B0FB-4ECF-9B6D-3D0F7AABA914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0" name="TextBox 13">
          <a:extLst>
            <a:ext uri="{FF2B5EF4-FFF2-40B4-BE49-F238E27FC236}">
              <a16:creationId xmlns:a16="http://schemas.microsoft.com/office/drawing/2014/main" id="{486FCD6E-4CFD-4BFA-957E-B350C1F519C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1" name="TextBox 14">
          <a:extLst>
            <a:ext uri="{FF2B5EF4-FFF2-40B4-BE49-F238E27FC236}">
              <a16:creationId xmlns:a16="http://schemas.microsoft.com/office/drawing/2014/main" id="{5332DADD-E4C6-4201-868A-30C9C0F1A31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2" name="TextBox 2722">
          <a:extLst>
            <a:ext uri="{FF2B5EF4-FFF2-40B4-BE49-F238E27FC236}">
              <a16:creationId xmlns:a16="http://schemas.microsoft.com/office/drawing/2014/main" id="{A9039B0C-E815-46A5-BC94-CCF651C0248F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3" name="TextBox 2723">
          <a:extLst>
            <a:ext uri="{FF2B5EF4-FFF2-40B4-BE49-F238E27FC236}">
              <a16:creationId xmlns:a16="http://schemas.microsoft.com/office/drawing/2014/main" id="{817AA81F-D6AA-444B-953C-385C3D847DE6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4" name="TextBox 2724">
          <a:extLst>
            <a:ext uri="{FF2B5EF4-FFF2-40B4-BE49-F238E27FC236}">
              <a16:creationId xmlns:a16="http://schemas.microsoft.com/office/drawing/2014/main" id="{6E2977A4-E087-46A4-A979-1B790B122A3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5" name="TextBox 2725">
          <a:extLst>
            <a:ext uri="{FF2B5EF4-FFF2-40B4-BE49-F238E27FC236}">
              <a16:creationId xmlns:a16="http://schemas.microsoft.com/office/drawing/2014/main" id="{84D7AB19-16E3-4598-8803-AC6F4DDC74D8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6" name="TextBox 15">
          <a:extLst>
            <a:ext uri="{FF2B5EF4-FFF2-40B4-BE49-F238E27FC236}">
              <a16:creationId xmlns:a16="http://schemas.microsoft.com/office/drawing/2014/main" id="{BD558198-20B6-4C29-A926-7C489FC7454C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7" name="TextBox 16">
          <a:extLst>
            <a:ext uri="{FF2B5EF4-FFF2-40B4-BE49-F238E27FC236}">
              <a16:creationId xmlns:a16="http://schemas.microsoft.com/office/drawing/2014/main" id="{C278589D-3705-47DA-AA0D-DBBD5C3D5514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8" name="TextBox 17">
          <a:extLst>
            <a:ext uri="{FF2B5EF4-FFF2-40B4-BE49-F238E27FC236}">
              <a16:creationId xmlns:a16="http://schemas.microsoft.com/office/drawing/2014/main" id="{715BD79B-67C2-4CE0-8466-D999FF6F876F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19" name="TextBox 18">
          <a:extLst>
            <a:ext uri="{FF2B5EF4-FFF2-40B4-BE49-F238E27FC236}">
              <a16:creationId xmlns:a16="http://schemas.microsoft.com/office/drawing/2014/main" id="{85374598-983A-43C8-986C-0DE8243CB42F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0" name="TextBox 2730">
          <a:extLst>
            <a:ext uri="{FF2B5EF4-FFF2-40B4-BE49-F238E27FC236}">
              <a16:creationId xmlns:a16="http://schemas.microsoft.com/office/drawing/2014/main" id="{223B4968-B9F6-4080-833C-71B094B3C9C2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1" name="TextBox 2731">
          <a:extLst>
            <a:ext uri="{FF2B5EF4-FFF2-40B4-BE49-F238E27FC236}">
              <a16:creationId xmlns:a16="http://schemas.microsoft.com/office/drawing/2014/main" id="{C600E231-D76B-4D18-9D3A-03D97244E644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2" name="TextBox 1">
          <a:extLst>
            <a:ext uri="{FF2B5EF4-FFF2-40B4-BE49-F238E27FC236}">
              <a16:creationId xmlns:a16="http://schemas.microsoft.com/office/drawing/2014/main" id="{F110B6F5-54ED-46A6-A81E-43149CF4022A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3" name="TextBox 3">
          <a:extLst>
            <a:ext uri="{FF2B5EF4-FFF2-40B4-BE49-F238E27FC236}">
              <a16:creationId xmlns:a16="http://schemas.microsoft.com/office/drawing/2014/main" id="{510F5D5D-7D7E-4EA3-BAD8-DB4F86C796F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4" name="TextBox 2734">
          <a:extLst>
            <a:ext uri="{FF2B5EF4-FFF2-40B4-BE49-F238E27FC236}">
              <a16:creationId xmlns:a16="http://schemas.microsoft.com/office/drawing/2014/main" id="{46ACF268-F1F5-4364-9365-E2F8A6C9EF22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5" name="TextBox 2735">
          <a:extLst>
            <a:ext uri="{FF2B5EF4-FFF2-40B4-BE49-F238E27FC236}">
              <a16:creationId xmlns:a16="http://schemas.microsoft.com/office/drawing/2014/main" id="{717E25BF-9003-4211-9927-7022ED73D04E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6" name="TextBox 2736">
          <a:extLst>
            <a:ext uri="{FF2B5EF4-FFF2-40B4-BE49-F238E27FC236}">
              <a16:creationId xmlns:a16="http://schemas.microsoft.com/office/drawing/2014/main" id="{F7B1D9F2-58C7-4566-A7E7-F5B242D45B7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7" name="TextBox 2737">
          <a:extLst>
            <a:ext uri="{FF2B5EF4-FFF2-40B4-BE49-F238E27FC236}">
              <a16:creationId xmlns:a16="http://schemas.microsoft.com/office/drawing/2014/main" id="{15D52310-6C65-4FEC-8AA9-8582D8759F23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8" name="TextBox 2738">
          <a:extLst>
            <a:ext uri="{FF2B5EF4-FFF2-40B4-BE49-F238E27FC236}">
              <a16:creationId xmlns:a16="http://schemas.microsoft.com/office/drawing/2014/main" id="{67CFE9F9-1F10-4FC9-B5AA-B34A09A9A7D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29" name="TextBox 2739">
          <a:extLst>
            <a:ext uri="{FF2B5EF4-FFF2-40B4-BE49-F238E27FC236}">
              <a16:creationId xmlns:a16="http://schemas.microsoft.com/office/drawing/2014/main" id="{7A5660AC-CE9D-4349-A27F-50261E3C6B0D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0" name="TextBox 2740">
          <a:extLst>
            <a:ext uri="{FF2B5EF4-FFF2-40B4-BE49-F238E27FC236}">
              <a16:creationId xmlns:a16="http://schemas.microsoft.com/office/drawing/2014/main" id="{27658C8A-5025-441C-912D-175E8B7245EA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1" name="TextBox 2741">
          <a:extLst>
            <a:ext uri="{FF2B5EF4-FFF2-40B4-BE49-F238E27FC236}">
              <a16:creationId xmlns:a16="http://schemas.microsoft.com/office/drawing/2014/main" id="{C364B417-D98F-4E7B-969D-0E2609B257E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2" name="TextBox 2742">
          <a:extLst>
            <a:ext uri="{FF2B5EF4-FFF2-40B4-BE49-F238E27FC236}">
              <a16:creationId xmlns:a16="http://schemas.microsoft.com/office/drawing/2014/main" id="{20EAE720-834A-4C5B-8898-5F251A339DB0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3" name="TextBox 2743">
          <a:extLst>
            <a:ext uri="{FF2B5EF4-FFF2-40B4-BE49-F238E27FC236}">
              <a16:creationId xmlns:a16="http://schemas.microsoft.com/office/drawing/2014/main" id="{960C6ECD-6616-4330-959F-DB8A3B84B67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4" name="TextBox 13">
          <a:extLst>
            <a:ext uri="{FF2B5EF4-FFF2-40B4-BE49-F238E27FC236}">
              <a16:creationId xmlns:a16="http://schemas.microsoft.com/office/drawing/2014/main" id="{67B0816B-37B0-44DE-B851-3425D046244B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5" name="TextBox 14">
          <a:extLst>
            <a:ext uri="{FF2B5EF4-FFF2-40B4-BE49-F238E27FC236}">
              <a16:creationId xmlns:a16="http://schemas.microsoft.com/office/drawing/2014/main" id="{3EF06EAF-C078-4FC9-845A-556A621A4ED7}"/>
            </a:ext>
          </a:extLst>
        </xdr:cNvPr>
        <xdr:cNvSpPr txBox="1"/>
      </xdr:nvSpPr>
      <xdr:spPr>
        <a:xfrm>
          <a:off x="1909762" y="30013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6" name="TextBox 2746">
          <a:extLst>
            <a:ext uri="{FF2B5EF4-FFF2-40B4-BE49-F238E27FC236}">
              <a16:creationId xmlns:a16="http://schemas.microsoft.com/office/drawing/2014/main" id="{C2CA948F-CB1E-4C9F-A879-B47A640F7ADA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7" name="TextBox 2747">
          <a:extLst>
            <a:ext uri="{FF2B5EF4-FFF2-40B4-BE49-F238E27FC236}">
              <a16:creationId xmlns:a16="http://schemas.microsoft.com/office/drawing/2014/main" id="{9ACD84AF-7349-41B6-87EB-84CA6F676127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8" name="TextBox 2748">
          <a:extLst>
            <a:ext uri="{FF2B5EF4-FFF2-40B4-BE49-F238E27FC236}">
              <a16:creationId xmlns:a16="http://schemas.microsoft.com/office/drawing/2014/main" id="{3CF3D277-9B61-4E4D-AC9F-5F57C278C0A1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39" name="TextBox 2749">
          <a:extLst>
            <a:ext uri="{FF2B5EF4-FFF2-40B4-BE49-F238E27FC236}">
              <a16:creationId xmlns:a16="http://schemas.microsoft.com/office/drawing/2014/main" id="{1C414881-EC93-4A9F-8BA4-143F70BAD5E1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0" name="TextBox 15">
          <a:extLst>
            <a:ext uri="{FF2B5EF4-FFF2-40B4-BE49-F238E27FC236}">
              <a16:creationId xmlns:a16="http://schemas.microsoft.com/office/drawing/2014/main" id="{192DC241-9B28-468C-BA8C-C1654B494D8D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1" name="TextBox 16">
          <a:extLst>
            <a:ext uri="{FF2B5EF4-FFF2-40B4-BE49-F238E27FC236}">
              <a16:creationId xmlns:a16="http://schemas.microsoft.com/office/drawing/2014/main" id="{2A4C24DA-DA26-4EEC-8084-928D0340FE1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2" name="TextBox 17">
          <a:extLst>
            <a:ext uri="{FF2B5EF4-FFF2-40B4-BE49-F238E27FC236}">
              <a16:creationId xmlns:a16="http://schemas.microsoft.com/office/drawing/2014/main" id="{9095485E-D17A-4EC7-943D-C4959BB99A7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3" name="TextBox 18">
          <a:extLst>
            <a:ext uri="{FF2B5EF4-FFF2-40B4-BE49-F238E27FC236}">
              <a16:creationId xmlns:a16="http://schemas.microsoft.com/office/drawing/2014/main" id="{B42BBCD0-359B-4F81-B75B-414194B9875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4" name="TextBox 2754">
          <a:extLst>
            <a:ext uri="{FF2B5EF4-FFF2-40B4-BE49-F238E27FC236}">
              <a16:creationId xmlns:a16="http://schemas.microsoft.com/office/drawing/2014/main" id="{A6CA08CD-DC75-4D79-B541-EBC45338149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5" name="TextBox 2755">
          <a:extLst>
            <a:ext uri="{FF2B5EF4-FFF2-40B4-BE49-F238E27FC236}">
              <a16:creationId xmlns:a16="http://schemas.microsoft.com/office/drawing/2014/main" id="{B53835F5-E869-4849-8FCE-4E4F8DFE66D5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6" name="TextBox 1">
          <a:extLst>
            <a:ext uri="{FF2B5EF4-FFF2-40B4-BE49-F238E27FC236}">
              <a16:creationId xmlns:a16="http://schemas.microsoft.com/office/drawing/2014/main" id="{5D661A0F-302F-4D4F-9746-47F35EDF031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7" name="TextBox 3">
          <a:extLst>
            <a:ext uri="{FF2B5EF4-FFF2-40B4-BE49-F238E27FC236}">
              <a16:creationId xmlns:a16="http://schemas.microsoft.com/office/drawing/2014/main" id="{28E5FA10-4757-46F1-905E-6DC8F693F09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8" name="TextBox 2758">
          <a:extLst>
            <a:ext uri="{FF2B5EF4-FFF2-40B4-BE49-F238E27FC236}">
              <a16:creationId xmlns:a16="http://schemas.microsoft.com/office/drawing/2014/main" id="{FE12C28F-02C4-46F3-B439-9A24DFFC77C2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49" name="TextBox 2759">
          <a:extLst>
            <a:ext uri="{FF2B5EF4-FFF2-40B4-BE49-F238E27FC236}">
              <a16:creationId xmlns:a16="http://schemas.microsoft.com/office/drawing/2014/main" id="{2E43D1EB-5664-40E9-B09F-4C275F7E3A2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0" name="TextBox 2760">
          <a:extLst>
            <a:ext uri="{FF2B5EF4-FFF2-40B4-BE49-F238E27FC236}">
              <a16:creationId xmlns:a16="http://schemas.microsoft.com/office/drawing/2014/main" id="{EC56006C-3DBD-40B8-BDB5-FEE1EA87582E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1" name="TextBox 2761">
          <a:extLst>
            <a:ext uri="{FF2B5EF4-FFF2-40B4-BE49-F238E27FC236}">
              <a16:creationId xmlns:a16="http://schemas.microsoft.com/office/drawing/2014/main" id="{8BB98944-63A7-4BDD-823F-0ACC42FA59C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2" name="TextBox 2762">
          <a:extLst>
            <a:ext uri="{FF2B5EF4-FFF2-40B4-BE49-F238E27FC236}">
              <a16:creationId xmlns:a16="http://schemas.microsoft.com/office/drawing/2014/main" id="{DC88045C-C22C-4DA3-93F4-109B5BFEB8B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3" name="TextBox 2763">
          <a:extLst>
            <a:ext uri="{FF2B5EF4-FFF2-40B4-BE49-F238E27FC236}">
              <a16:creationId xmlns:a16="http://schemas.microsoft.com/office/drawing/2014/main" id="{627177E8-7FE1-4260-83A1-F9FAC0D8E39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4" name="TextBox 2764">
          <a:extLst>
            <a:ext uri="{FF2B5EF4-FFF2-40B4-BE49-F238E27FC236}">
              <a16:creationId xmlns:a16="http://schemas.microsoft.com/office/drawing/2014/main" id="{D3756DE3-A429-400A-B168-6598CFF15EFF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5" name="TextBox 2765">
          <a:extLst>
            <a:ext uri="{FF2B5EF4-FFF2-40B4-BE49-F238E27FC236}">
              <a16:creationId xmlns:a16="http://schemas.microsoft.com/office/drawing/2014/main" id="{C9BEE30D-AAC4-4BEB-B01E-FB3CCC553440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6" name="TextBox 2766">
          <a:extLst>
            <a:ext uri="{FF2B5EF4-FFF2-40B4-BE49-F238E27FC236}">
              <a16:creationId xmlns:a16="http://schemas.microsoft.com/office/drawing/2014/main" id="{D43FA017-A970-4DF2-8ED4-3C0CB93DFF8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7" name="TextBox 2767">
          <a:extLst>
            <a:ext uri="{FF2B5EF4-FFF2-40B4-BE49-F238E27FC236}">
              <a16:creationId xmlns:a16="http://schemas.microsoft.com/office/drawing/2014/main" id="{1D6B53FF-5CE1-420C-AC52-965475CE9AF0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8" name="TextBox 13">
          <a:extLst>
            <a:ext uri="{FF2B5EF4-FFF2-40B4-BE49-F238E27FC236}">
              <a16:creationId xmlns:a16="http://schemas.microsoft.com/office/drawing/2014/main" id="{9B5AC134-7828-40F1-9D96-F3A5EC28C512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59" name="TextBox 14">
          <a:extLst>
            <a:ext uri="{FF2B5EF4-FFF2-40B4-BE49-F238E27FC236}">
              <a16:creationId xmlns:a16="http://schemas.microsoft.com/office/drawing/2014/main" id="{5EAE2C3E-4E68-42AF-9E25-C2749D266C1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0" name="TextBox 2770">
          <a:extLst>
            <a:ext uri="{FF2B5EF4-FFF2-40B4-BE49-F238E27FC236}">
              <a16:creationId xmlns:a16="http://schemas.microsoft.com/office/drawing/2014/main" id="{7401BD1C-7D4A-478E-AFC7-047735D94703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1" name="TextBox 2771">
          <a:extLst>
            <a:ext uri="{FF2B5EF4-FFF2-40B4-BE49-F238E27FC236}">
              <a16:creationId xmlns:a16="http://schemas.microsoft.com/office/drawing/2014/main" id="{493D6E13-0B43-420B-8129-7E45E7CCE8F3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2" name="TextBox 2772">
          <a:extLst>
            <a:ext uri="{FF2B5EF4-FFF2-40B4-BE49-F238E27FC236}">
              <a16:creationId xmlns:a16="http://schemas.microsoft.com/office/drawing/2014/main" id="{F6880D61-1928-4E2E-B6E7-EE7805535122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3" name="TextBox 2773">
          <a:extLst>
            <a:ext uri="{FF2B5EF4-FFF2-40B4-BE49-F238E27FC236}">
              <a16:creationId xmlns:a16="http://schemas.microsoft.com/office/drawing/2014/main" id="{7277B364-1CD8-4EF7-B3E5-F6152DA7ACFC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4" name="TextBox 15">
          <a:extLst>
            <a:ext uri="{FF2B5EF4-FFF2-40B4-BE49-F238E27FC236}">
              <a16:creationId xmlns:a16="http://schemas.microsoft.com/office/drawing/2014/main" id="{0FC9496E-7C95-4080-9E49-CF6684D85B4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5" name="TextBox 16">
          <a:extLst>
            <a:ext uri="{FF2B5EF4-FFF2-40B4-BE49-F238E27FC236}">
              <a16:creationId xmlns:a16="http://schemas.microsoft.com/office/drawing/2014/main" id="{A1714322-D448-4768-B103-7B6820B4186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6" name="TextBox 17">
          <a:extLst>
            <a:ext uri="{FF2B5EF4-FFF2-40B4-BE49-F238E27FC236}">
              <a16:creationId xmlns:a16="http://schemas.microsoft.com/office/drawing/2014/main" id="{64AEDCF5-601D-430B-B66F-68AE93A9C4D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7" name="TextBox 18">
          <a:extLst>
            <a:ext uri="{FF2B5EF4-FFF2-40B4-BE49-F238E27FC236}">
              <a16:creationId xmlns:a16="http://schemas.microsoft.com/office/drawing/2014/main" id="{D4EF744C-40EB-43E7-9EF6-2EC0E372E4A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8" name="TextBox 2778">
          <a:extLst>
            <a:ext uri="{FF2B5EF4-FFF2-40B4-BE49-F238E27FC236}">
              <a16:creationId xmlns:a16="http://schemas.microsoft.com/office/drawing/2014/main" id="{F47444D6-D4DB-4DF3-96DF-055491D47A4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69" name="TextBox 2779">
          <a:extLst>
            <a:ext uri="{FF2B5EF4-FFF2-40B4-BE49-F238E27FC236}">
              <a16:creationId xmlns:a16="http://schemas.microsoft.com/office/drawing/2014/main" id="{D6EDD2A6-E24F-4100-98F1-8D668047B8C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0" name="TextBox 1">
          <a:extLst>
            <a:ext uri="{FF2B5EF4-FFF2-40B4-BE49-F238E27FC236}">
              <a16:creationId xmlns:a16="http://schemas.microsoft.com/office/drawing/2014/main" id="{84834642-DD90-4D77-9D7C-6FD8B9FF58D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1" name="TextBox 3">
          <a:extLst>
            <a:ext uri="{FF2B5EF4-FFF2-40B4-BE49-F238E27FC236}">
              <a16:creationId xmlns:a16="http://schemas.microsoft.com/office/drawing/2014/main" id="{B899A2A1-9C05-481A-B138-1864BA9E7F4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2" name="TextBox 2782">
          <a:extLst>
            <a:ext uri="{FF2B5EF4-FFF2-40B4-BE49-F238E27FC236}">
              <a16:creationId xmlns:a16="http://schemas.microsoft.com/office/drawing/2014/main" id="{CF5E8091-F274-4871-AE56-1E7B82DD418C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3" name="TextBox 2783">
          <a:extLst>
            <a:ext uri="{FF2B5EF4-FFF2-40B4-BE49-F238E27FC236}">
              <a16:creationId xmlns:a16="http://schemas.microsoft.com/office/drawing/2014/main" id="{5AB8F70C-9D9A-45B0-9E12-F7740FD774C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4" name="TextBox 2784">
          <a:extLst>
            <a:ext uri="{FF2B5EF4-FFF2-40B4-BE49-F238E27FC236}">
              <a16:creationId xmlns:a16="http://schemas.microsoft.com/office/drawing/2014/main" id="{D38DD39D-E1C5-4963-B901-3ABE925ED56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5" name="TextBox 2785">
          <a:extLst>
            <a:ext uri="{FF2B5EF4-FFF2-40B4-BE49-F238E27FC236}">
              <a16:creationId xmlns:a16="http://schemas.microsoft.com/office/drawing/2014/main" id="{A358DC8B-9A6D-484C-AD89-1FA669B3F17D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6" name="TextBox 2786">
          <a:extLst>
            <a:ext uri="{FF2B5EF4-FFF2-40B4-BE49-F238E27FC236}">
              <a16:creationId xmlns:a16="http://schemas.microsoft.com/office/drawing/2014/main" id="{B87147C3-3AE0-4313-B4B9-4E98AA8D2212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7" name="TextBox 2787">
          <a:extLst>
            <a:ext uri="{FF2B5EF4-FFF2-40B4-BE49-F238E27FC236}">
              <a16:creationId xmlns:a16="http://schemas.microsoft.com/office/drawing/2014/main" id="{B81834F4-B1D6-4B14-A457-43DB07977944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8" name="TextBox 2788">
          <a:extLst>
            <a:ext uri="{FF2B5EF4-FFF2-40B4-BE49-F238E27FC236}">
              <a16:creationId xmlns:a16="http://schemas.microsoft.com/office/drawing/2014/main" id="{4D80D26B-C423-4407-8116-96E737B9A01D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79" name="TextBox 2789">
          <a:extLst>
            <a:ext uri="{FF2B5EF4-FFF2-40B4-BE49-F238E27FC236}">
              <a16:creationId xmlns:a16="http://schemas.microsoft.com/office/drawing/2014/main" id="{A28C38E6-5A4A-49F2-86FE-46125B7C665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0" name="TextBox 2790">
          <a:extLst>
            <a:ext uri="{FF2B5EF4-FFF2-40B4-BE49-F238E27FC236}">
              <a16:creationId xmlns:a16="http://schemas.microsoft.com/office/drawing/2014/main" id="{08BB2572-0B5D-42AA-8879-9F2FD4D4C5DD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1" name="TextBox 2791">
          <a:extLst>
            <a:ext uri="{FF2B5EF4-FFF2-40B4-BE49-F238E27FC236}">
              <a16:creationId xmlns:a16="http://schemas.microsoft.com/office/drawing/2014/main" id="{E36533E1-0B01-4373-B413-F9AE32705BE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2" name="TextBox 13">
          <a:extLst>
            <a:ext uri="{FF2B5EF4-FFF2-40B4-BE49-F238E27FC236}">
              <a16:creationId xmlns:a16="http://schemas.microsoft.com/office/drawing/2014/main" id="{A1D0CC83-FD21-4B9D-BD39-CA09EAB7A52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3" name="TextBox 14">
          <a:extLst>
            <a:ext uri="{FF2B5EF4-FFF2-40B4-BE49-F238E27FC236}">
              <a16:creationId xmlns:a16="http://schemas.microsoft.com/office/drawing/2014/main" id="{0321F1E3-34A0-4E1C-B618-BCEE0F6735E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4" name="TextBox 2794">
          <a:extLst>
            <a:ext uri="{FF2B5EF4-FFF2-40B4-BE49-F238E27FC236}">
              <a16:creationId xmlns:a16="http://schemas.microsoft.com/office/drawing/2014/main" id="{1A464F66-4A8D-459C-9188-34543328EFB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5" name="TextBox 2795">
          <a:extLst>
            <a:ext uri="{FF2B5EF4-FFF2-40B4-BE49-F238E27FC236}">
              <a16:creationId xmlns:a16="http://schemas.microsoft.com/office/drawing/2014/main" id="{C33C8B5B-AA9F-4162-8DA6-C49B92C9A84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6" name="TextBox 2796">
          <a:extLst>
            <a:ext uri="{FF2B5EF4-FFF2-40B4-BE49-F238E27FC236}">
              <a16:creationId xmlns:a16="http://schemas.microsoft.com/office/drawing/2014/main" id="{B208A150-B3CD-4E4E-9D4B-ADD32E82B6B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7" name="TextBox 2797">
          <a:extLst>
            <a:ext uri="{FF2B5EF4-FFF2-40B4-BE49-F238E27FC236}">
              <a16:creationId xmlns:a16="http://schemas.microsoft.com/office/drawing/2014/main" id="{D5C7E62C-4B9A-4637-8A91-B69AB85F3A1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8" name="TextBox 15">
          <a:extLst>
            <a:ext uri="{FF2B5EF4-FFF2-40B4-BE49-F238E27FC236}">
              <a16:creationId xmlns:a16="http://schemas.microsoft.com/office/drawing/2014/main" id="{EED6BFBE-B5EC-47AC-83F2-9534934F2FC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89" name="TextBox 16">
          <a:extLst>
            <a:ext uri="{FF2B5EF4-FFF2-40B4-BE49-F238E27FC236}">
              <a16:creationId xmlns:a16="http://schemas.microsoft.com/office/drawing/2014/main" id="{D1BE83F5-DA9C-4995-8035-6E9DB8014E0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0" name="TextBox 17">
          <a:extLst>
            <a:ext uri="{FF2B5EF4-FFF2-40B4-BE49-F238E27FC236}">
              <a16:creationId xmlns:a16="http://schemas.microsoft.com/office/drawing/2014/main" id="{1DBE8EAF-2B21-4F9A-9AF3-B10BF960CC4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1" name="TextBox 18">
          <a:extLst>
            <a:ext uri="{FF2B5EF4-FFF2-40B4-BE49-F238E27FC236}">
              <a16:creationId xmlns:a16="http://schemas.microsoft.com/office/drawing/2014/main" id="{FAEC1887-0876-46B0-8507-401B21A218D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2" name="TextBox 2802">
          <a:extLst>
            <a:ext uri="{FF2B5EF4-FFF2-40B4-BE49-F238E27FC236}">
              <a16:creationId xmlns:a16="http://schemas.microsoft.com/office/drawing/2014/main" id="{83D1D57F-0179-47D8-B9A0-53120C4E327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3" name="TextBox 2803">
          <a:extLst>
            <a:ext uri="{FF2B5EF4-FFF2-40B4-BE49-F238E27FC236}">
              <a16:creationId xmlns:a16="http://schemas.microsoft.com/office/drawing/2014/main" id="{B0990917-49F6-4562-AA2A-348067B8D38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4" name="TextBox 1">
          <a:extLst>
            <a:ext uri="{FF2B5EF4-FFF2-40B4-BE49-F238E27FC236}">
              <a16:creationId xmlns:a16="http://schemas.microsoft.com/office/drawing/2014/main" id="{5C8110D3-1956-4362-88CF-5CAAD8FDF18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5" name="TextBox 3">
          <a:extLst>
            <a:ext uri="{FF2B5EF4-FFF2-40B4-BE49-F238E27FC236}">
              <a16:creationId xmlns:a16="http://schemas.microsoft.com/office/drawing/2014/main" id="{0C047F2A-A5E3-4EB6-81ED-FBB76225A6A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6" name="TextBox 2806">
          <a:extLst>
            <a:ext uri="{FF2B5EF4-FFF2-40B4-BE49-F238E27FC236}">
              <a16:creationId xmlns:a16="http://schemas.microsoft.com/office/drawing/2014/main" id="{A9679727-9FC9-4D55-AF00-97708C253C0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7" name="TextBox 2807">
          <a:extLst>
            <a:ext uri="{FF2B5EF4-FFF2-40B4-BE49-F238E27FC236}">
              <a16:creationId xmlns:a16="http://schemas.microsoft.com/office/drawing/2014/main" id="{383B66CF-2433-4C66-AFFA-8F7378F1C23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8" name="TextBox 2808">
          <a:extLst>
            <a:ext uri="{FF2B5EF4-FFF2-40B4-BE49-F238E27FC236}">
              <a16:creationId xmlns:a16="http://schemas.microsoft.com/office/drawing/2014/main" id="{F3DF6CD8-78EC-4458-A2FB-5B8EC78A973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199" name="TextBox 2809">
          <a:extLst>
            <a:ext uri="{FF2B5EF4-FFF2-40B4-BE49-F238E27FC236}">
              <a16:creationId xmlns:a16="http://schemas.microsoft.com/office/drawing/2014/main" id="{5AE5517C-66B9-4C42-9E8B-582A2822855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0" name="TextBox 2810">
          <a:extLst>
            <a:ext uri="{FF2B5EF4-FFF2-40B4-BE49-F238E27FC236}">
              <a16:creationId xmlns:a16="http://schemas.microsoft.com/office/drawing/2014/main" id="{BD426BFE-4A3D-4AAF-B3FD-D8EF345AD6C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1" name="TextBox 2811">
          <a:extLst>
            <a:ext uri="{FF2B5EF4-FFF2-40B4-BE49-F238E27FC236}">
              <a16:creationId xmlns:a16="http://schemas.microsoft.com/office/drawing/2014/main" id="{29993E53-4530-47AB-88B2-62256649106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2" name="TextBox 2812">
          <a:extLst>
            <a:ext uri="{FF2B5EF4-FFF2-40B4-BE49-F238E27FC236}">
              <a16:creationId xmlns:a16="http://schemas.microsoft.com/office/drawing/2014/main" id="{0EA2CCC8-ADDB-4F8E-AD98-096F88A8481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3" name="TextBox 2813">
          <a:extLst>
            <a:ext uri="{FF2B5EF4-FFF2-40B4-BE49-F238E27FC236}">
              <a16:creationId xmlns:a16="http://schemas.microsoft.com/office/drawing/2014/main" id="{87E32833-0541-43E4-A6CD-767E224A881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4" name="TextBox 2814">
          <a:extLst>
            <a:ext uri="{FF2B5EF4-FFF2-40B4-BE49-F238E27FC236}">
              <a16:creationId xmlns:a16="http://schemas.microsoft.com/office/drawing/2014/main" id="{14026B75-5C63-4C8B-8744-78797896D55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5" name="TextBox 2815">
          <a:extLst>
            <a:ext uri="{FF2B5EF4-FFF2-40B4-BE49-F238E27FC236}">
              <a16:creationId xmlns:a16="http://schemas.microsoft.com/office/drawing/2014/main" id="{3CD7E265-5B3D-4C09-A5E3-BF7FC8E2F86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6" name="TextBox 13">
          <a:extLst>
            <a:ext uri="{FF2B5EF4-FFF2-40B4-BE49-F238E27FC236}">
              <a16:creationId xmlns:a16="http://schemas.microsoft.com/office/drawing/2014/main" id="{67733AE6-526B-491A-9C41-3F082FABA04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7" name="TextBox 14">
          <a:extLst>
            <a:ext uri="{FF2B5EF4-FFF2-40B4-BE49-F238E27FC236}">
              <a16:creationId xmlns:a16="http://schemas.microsoft.com/office/drawing/2014/main" id="{C6C883EA-9BEC-4617-B3B9-1F75A5BB025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8" name="TextBox 2818">
          <a:extLst>
            <a:ext uri="{FF2B5EF4-FFF2-40B4-BE49-F238E27FC236}">
              <a16:creationId xmlns:a16="http://schemas.microsoft.com/office/drawing/2014/main" id="{1652CFBF-A62E-4F19-ABD2-2878FD2B4E1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09" name="TextBox 2819">
          <a:extLst>
            <a:ext uri="{FF2B5EF4-FFF2-40B4-BE49-F238E27FC236}">
              <a16:creationId xmlns:a16="http://schemas.microsoft.com/office/drawing/2014/main" id="{0317E7DF-FE94-46AD-BB45-667A12EBE02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0" name="TextBox 2820">
          <a:extLst>
            <a:ext uri="{FF2B5EF4-FFF2-40B4-BE49-F238E27FC236}">
              <a16:creationId xmlns:a16="http://schemas.microsoft.com/office/drawing/2014/main" id="{CD895128-00A0-406A-BE08-C49C58AE890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1" name="TextBox 2821">
          <a:extLst>
            <a:ext uri="{FF2B5EF4-FFF2-40B4-BE49-F238E27FC236}">
              <a16:creationId xmlns:a16="http://schemas.microsoft.com/office/drawing/2014/main" id="{02E386A2-C5F5-449D-8E81-E15353DF5FF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2" name="TextBox 2">
          <a:extLst>
            <a:ext uri="{FF2B5EF4-FFF2-40B4-BE49-F238E27FC236}">
              <a16:creationId xmlns:a16="http://schemas.microsoft.com/office/drawing/2014/main" id="{B3306609-473D-4E3C-82BE-BB37570069A1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3" name="TextBox 4">
          <a:extLst>
            <a:ext uri="{FF2B5EF4-FFF2-40B4-BE49-F238E27FC236}">
              <a16:creationId xmlns:a16="http://schemas.microsoft.com/office/drawing/2014/main" id="{993CD265-5A9E-444B-9FB7-1993CB2919CB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4" name="TextBox 2824">
          <a:extLst>
            <a:ext uri="{FF2B5EF4-FFF2-40B4-BE49-F238E27FC236}">
              <a16:creationId xmlns:a16="http://schemas.microsoft.com/office/drawing/2014/main" id="{003D6E0A-1256-43B6-846A-9CDB7A0041C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5" name="TextBox 2825">
          <a:extLst>
            <a:ext uri="{FF2B5EF4-FFF2-40B4-BE49-F238E27FC236}">
              <a16:creationId xmlns:a16="http://schemas.microsoft.com/office/drawing/2014/main" id="{9DB1635E-0848-4B2E-AF9C-706CC391423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6" name="TextBox 2826">
          <a:extLst>
            <a:ext uri="{FF2B5EF4-FFF2-40B4-BE49-F238E27FC236}">
              <a16:creationId xmlns:a16="http://schemas.microsoft.com/office/drawing/2014/main" id="{93321CF1-4A48-423B-96F0-2BF35BD10D0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7" name="TextBox 2827">
          <a:extLst>
            <a:ext uri="{FF2B5EF4-FFF2-40B4-BE49-F238E27FC236}">
              <a16:creationId xmlns:a16="http://schemas.microsoft.com/office/drawing/2014/main" id="{BF65E464-ED2E-44C0-89B5-9B39DF608AA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8" name="TextBox 2828">
          <a:extLst>
            <a:ext uri="{FF2B5EF4-FFF2-40B4-BE49-F238E27FC236}">
              <a16:creationId xmlns:a16="http://schemas.microsoft.com/office/drawing/2014/main" id="{D48046CF-312E-4CC6-8DAA-CE3BB769EFE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19" name="TextBox 2829">
          <a:extLst>
            <a:ext uri="{FF2B5EF4-FFF2-40B4-BE49-F238E27FC236}">
              <a16:creationId xmlns:a16="http://schemas.microsoft.com/office/drawing/2014/main" id="{CEE8B0BC-1744-4D73-A09A-57B0CFC1C0B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0" name="TextBox 15">
          <a:extLst>
            <a:ext uri="{FF2B5EF4-FFF2-40B4-BE49-F238E27FC236}">
              <a16:creationId xmlns:a16="http://schemas.microsoft.com/office/drawing/2014/main" id="{DC68D4A6-8475-473F-BEC9-C36ACFE51C7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1" name="TextBox 16">
          <a:extLst>
            <a:ext uri="{FF2B5EF4-FFF2-40B4-BE49-F238E27FC236}">
              <a16:creationId xmlns:a16="http://schemas.microsoft.com/office/drawing/2014/main" id="{B033A919-0564-4528-A6E8-C8BA1173055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2" name="TextBox 17">
          <a:extLst>
            <a:ext uri="{FF2B5EF4-FFF2-40B4-BE49-F238E27FC236}">
              <a16:creationId xmlns:a16="http://schemas.microsoft.com/office/drawing/2014/main" id="{003FCB7F-D826-4FD5-B310-15CDBDFA962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3" name="TextBox 18">
          <a:extLst>
            <a:ext uri="{FF2B5EF4-FFF2-40B4-BE49-F238E27FC236}">
              <a16:creationId xmlns:a16="http://schemas.microsoft.com/office/drawing/2014/main" id="{E48570A8-1DE1-4346-B08A-189EC958ACF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4" name="TextBox 2834">
          <a:extLst>
            <a:ext uri="{FF2B5EF4-FFF2-40B4-BE49-F238E27FC236}">
              <a16:creationId xmlns:a16="http://schemas.microsoft.com/office/drawing/2014/main" id="{96F67AB7-E298-4AAB-A5C2-AB21389F4A7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5" name="TextBox 2835">
          <a:extLst>
            <a:ext uri="{FF2B5EF4-FFF2-40B4-BE49-F238E27FC236}">
              <a16:creationId xmlns:a16="http://schemas.microsoft.com/office/drawing/2014/main" id="{8EFA6B92-2B02-409B-BC89-E28785C4715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6" name="TextBox 1">
          <a:extLst>
            <a:ext uri="{FF2B5EF4-FFF2-40B4-BE49-F238E27FC236}">
              <a16:creationId xmlns:a16="http://schemas.microsoft.com/office/drawing/2014/main" id="{4FFD04A3-D49C-41D1-86F1-E0DB410AB35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7" name="TextBox 3">
          <a:extLst>
            <a:ext uri="{FF2B5EF4-FFF2-40B4-BE49-F238E27FC236}">
              <a16:creationId xmlns:a16="http://schemas.microsoft.com/office/drawing/2014/main" id="{439515E7-CDC9-4396-A733-6AF32B2B486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8" name="TextBox 2838">
          <a:extLst>
            <a:ext uri="{FF2B5EF4-FFF2-40B4-BE49-F238E27FC236}">
              <a16:creationId xmlns:a16="http://schemas.microsoft.com/office/drawing/2014/main" id="{3F7847B9-38FC-41C6-BDF6-E4636C8EF61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29" name="TextBox 2839">
          <a:extLst>
            <a:ext uri="{FF2B5EF4-FFF2-40B4-BE49-F238E27FC236}">
              <a16:creationId xmlns:a16="http://schemas.microsoft.com/office/drawing/2014/main" id="{0592B9E7-4957-43C4-97A4-F43FD69469E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0" name="TextBox 2840">
          <a:extLst>
            <a:ext uri="{FF2B5EF4-FFF2-40B4-BE49-F238E27FC236}">
              <a16:creationId xmlns:a16="http://schemas.microsoft.com/office/drawing/2014/main" id="{5E17BAA0-8082-466A-9850-0CBE9256DC5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1" name="TextBox 2841">
          <a:extLst>
            <a:ext uri="{FF2B5EF4-FFF2-40B4-BE49-F238E27FC236}">
              <a16:creationId xmlns:a16="http://schemas.microsoft.com/office/drawing/2014/main" id="{3DB5A31E-8650-475F-B97D-C9BDC3C9FC2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2" name="TextBox 2842">
          <a:extLst>
            <a:ext uri="{FF2B5EF4-FFF2-40B4-BE49-F238E27FC236}">
              <a16:creationId xmlns:a16="http://schemas.microsoft.com/office/drawing/2014/main" id="{9BE4C9B5-ACCA-4418-B1D2-5D8B7573168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3" name="TextBox 2843">
          <a:extLst>
            <a:ext uri="{FF2B5EF4-FFF2-40B4-BE49-F238E27FC236}">
              <a16:creationId xmlns:a16="http://schemas.microsoft.com/office/drawing/2014/main" id="{7151D634-9EC8-41DE-942B-95CC6A62E5A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4" name="TextBox 2844">
          <a:extLst>
            <a:ext uri="{FF2B5EF4-FFF2-40B4-BE49-F238E27FC236}">
              <a16:creationId xmlns:a16="http://schemas.microsoft.com/office/drawing/2014/main" id="{B2722942-743D-4BF8-9A68-2DBDA6CF1F4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5" name="TextBox 2845">
          <a:extLst>
            <a:ext uri="{FF2B5EF4-FFF2-40B4-BE49-F238E27FC236}">
              <a16:creationId xmlns:a16="http://schemas.microsoft.com/office/drawing/2014/main" id="{9EAA2672-3AA7-4DFF-8DFF-E3F0924AF29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6" name="TextBox 2846">
          <a:extLst>
            <a:ext uri="{FF2B5EF4-FFF2-40B4-BE49-F238E27FC236}">
              <a16:creationId xmlns:a16="http://schemas.microsoft.com/office/drawing/2014/main" id="{5B54C4D1-E660-462A-8EC2-7DED01AFFBC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7" name="TextBox 2847">
          <a:extLst>
            <a:ext uri="{FF2B5EF4-FFF2-40B4-BE49-F238E27FC236}">
              <a16:creationId xmlns:a16="http://schemas.microsoft.com/office/drawing/2014/main" id="{858C5DAB-8A05-4DBC-B3AC-FDDF1C4B2C4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8" name="TextBox 13">
          <a:extLst>
            <a:ext uri="{FF2B5EF4-FFF2-40B4-BE49-F238E27FC236}">
              <a16:creationId xmlns:a16="http://schemas.microsoft.com/office/drawing/2014/main" id="{A7FC6205-9D32-4EC9-A636-3E84B13046B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39" name="TextBox 14">
          <a:extLst>
            <a:ext uri="{FF2B5EF4-FFF2-40B4-BE49-F238E27FC236}">
              <a16:creationId xmlns:a16="http://schemas.microsoft.com/office/drawing/2014/main" id="{89202E75-45FE-4F6B-AC86-605CBA6FEB8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0" name="TextBox 2850">
          <a:extLst>
            <a:ext uri="{FF2B5EF4-FFF2-40B4-BE49-F238E27FC236}">
              <a16:creationId xmlns:a16="http://schemas.microsoft.com/office/drawing/2014/main" id="{489B1938-ECDC-4B5C-9AAD-A353296A65C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1" name="TextBox 2851">
          <a:extLst>
            <a:ext uri="{FF2B5EF4-FFF2-40B4-BE49-F238E27FC236}">
              <a16:creationId xmlns:a16="http://schemas.microsoft.com/office/drawing/2014/main" id="{CAC7D3D1-5938-4D04-9198-9A9FEA5DA79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2" name="TextBox 2852">
          <a:extLst>
            <a:ext uri="{FF2B5EF4-FFF2-40B4-BE49-F238E27FC236}">
              <a16:creationId xmlns:a16="http://schemas.microsoft.com/office/drawing/2014/main" id="{309B9FAC-772E-418A-A8A4-6A0ABD1A339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3" name="TextBox 2853">
          <a:extLst>
            <a:ext uri="{FF2B5EF4-FFF2-40B4-BE49-F238E27FC236}">
              <a16:creationId xmlns:a16="http://schemas.microsoft.com/office/drawing/2014/main" id="{F8CBA4A1-C05A-400E-92C3-ADC109B3C7B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4" name="TextBox 15">
          <a:extLst>
            <a:ext uri="{FF2B5EF4-FFF2-40B4-BE49-F238E27FC236}">
              <a16:creationId xmlns:a16="http://schemas.microsoft.com/office/drawing/2014/main" id="{04B4C465-E011-45CB-938D-B0672C81DF1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5" name="TextBox 16">
          <a:extLst>
            <a:ext uri="{FF2B5EF4-FFF2-40B4-BE49-F238E27FC236}">
              <a16:creationId xmlns:a16="http://schemas.microsoft.com/office/drawing/2014/main" id="{CF0A0DA4-229D-4321-9F57-6169CF4E05C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6" name="TextBox 17">
          <a:extLst>
            <a:ext uri="{FF2B5EF4-FFF2-40B4-BE49-F238E27FC236}">
              <a16:creationId xmlns:a16="http://schemas.microsoft.com/office/drawing/2014/main" id="{C7B82854-6A89-4D5F-9EF5-7F70C707875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7" name="TextBox 18">
          <a:extLst>
            <a:ext uri="{FF2B5EF4-FFF2-40B4-BE49-F238E27FC236}">
              <a16:creationId xmlns:a16="http://schemas.microsoft.com/office/drawing/2014/main" id="{79022F31-2623-43EB-AE7F-BBFA94B5E57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8" name="TextBox 2858">
          <a:extLst>
            <a:ext uri="{FF2B5EF4-FFF2-40B4-BE49-F238E27FC236}">
              <a16:creationId xmlns:a16="http://schemas.microsoft.com/office/drawing/2014/main" id="{E3D9134E-CB98-4388-A028-78228ED3594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49" name="TextBox 2859">
          <a:extLst>
            <a:ext uri="{FF2B5EF4-FFF2-40B4-BE49-F238E27FC236}">
              <a16:creationId xmlns:a16="http://schemas.microsoft.com/office/drawing/2014/main" id="{FE2F8EE1-364D-4F8A-8E04-DA01D7F9050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0" name="TextBox 1">
          <a:extLst>
            <a:ext uri="{FF2B5EF4-FFF2-40B4-BE49-F238E27FC236}">
              <a16:creationId xmlns:a16="http://schemas.microsoft.com/office/drawing/2014/main" id="{A7B0D1D8-CC79-4CB7-B6B7-77737514594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1" name="TextBox 3">
          <a:extLst>
            <a:ext uri="{FF2B5EF4-FFF2-40B4-BE49-F238E27FC236}">
              <a16:creationId xmlns:a16="http://schemas.microsoft.com/office/drawing/2014/main" id="{910D0DC6-6AB3-44F8-8246-20237AE5DD0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2" name="TextBox 2862">
          <a:extLst>
            <a:ext uri="{FF2B5EF4-FFF2-40B4-BE49-F238E27FC236}">
              <a16:creationId xmlns:a16="http://schemas.microsoft.com/office/drawing/2014/main" id="{53CB5394-1927-49B2-8FE9-264D7119BFA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3" name="TextBox 2863">
          <a:extLst>
            <a:ext uri="{FF2B5EF4-FFF2-40B4-BE49-F238E27FC236}">
              <a16:creationId xmlns:a16="http://schemas.microsoft.com/office/drawing/2014/main" id="{B090F4F8-E794-4D09-BD57-3F8B7F0E6D9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4" name="TextBox 2864">
          <a:extLst>
            <a:ext uri="{FF2B5EF4-FFF2-40B4-BE49-F238E27FC236}">
              <a16:creationId xmlns:a16="http://schemas.microsoft.com/office/drawing/2014/main" id="{EF4CE73A-448F-46F6-B797-614ADE2E3D4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5" name="TextBox 2865">
          <a:extLst>
            <a:ext uri="{FF2B5EF4-FFF2-40B4-BE49-F238E27FC236}">
              <a16:creationId xmlns:a16="http://schemas.microsoft.com/office/drawing/2014/main" id="{BE16BF43-8CD8-4838-94B9-6304FD6F921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6" name="TextBox 2866">
          <a:extLst>
            <a:ext uri="{FF2B5EF4-FFF2-40B4-BE49-F238E27FC236}">
              <a16:creationId xmlns:a16="http://schemas.microsoft.com/office/drawing/2014/main" id="{8A46ABDE-0B77-4066-AE79-0494BD464DF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7" name="TextBox 2867">
          <a:extLst>
            <a:ext uri="{FF2B5EF4-FFF2-40B4-BE49-F238E27FC236}">
              <a16:creationId xmlns:a16="http://schemas.microsoft.com/office/drawing/2014/main" id="{AD6890FD-D0D2-4B68-A61C-9205BFC5D5E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8" name="TextBox 2868">
          <a:extLst>
            <a:ext uri="{FF2B5EF4-FFF2-40B4-BE49-F238E27FC236}">
              <a16:creationId xmlns:a16="http://schemas.microsoft.com/office/drawing/2014/main" id="{1CDC7E86-71B7-45B7-91E3-A7D9217C121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59" name="TextBox 2869">
          <a:extLst>
            <a:ext uri="{FF2B5EF4-FFF2-40B4-BE49-F238E27FC236}">
              <a16:creationId xmlns:a16="http://schemas.microsoft.com/office/drawing/2014/main" id="{D33704D9-6F85-4F92-9CDF-A833CB7EFD6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0" name="TextBox 2870">
          <a:extLst>
            <a:ext uri="{FF2B5EF4-FFF2-40B4-BE49-F238E27FC236}">
              <a16:creationId xmlns:a16="http://schemas.microsoft.com/office/drawing/2014/main" id="{2759C747-3129-4173-9164-D575532605D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1" name="TextBox 2871">
          <a:extLst>
            <a:ext uri="{FF2B5EF4-FFF2-40B4-BE49-F238E27FC236}">
              <a16:creationId xmlns:a16="http://schemas.microsoft.com/office/drawing/2014/main" id="{F8833216-FE83-49FB-82E6-479BF6E1B50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2" name="TextBox 13">
          <a:extLst>
            <a:ext uri="{FF2B5EF4-FFF2-40B4-BE49-F238E27FC236}">
              <a16:creationId xmlns:a16="http://schemas.microsoft.com/office/drawing/2014/main" id="{3CA99BC8-BB9C-4462-91F6-A9A0897C730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3" name="TextBox 14">
          <a:extLst>
            <a:ext uri="{FF2B5EF4-FFF2-40B4-BE49-F238E27FC236}">
              <a16:creationId xmlns:a16="http://schemas.microsoft.com/office/drawing/2014/main" id="{FA585211-A722-4052-B984-19F4A0BD7BF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4" name="TextBox 2874">
          <a:extLst>
            <a:ext uri="{FF2B5EF4-FFF2-40B4-BE49-F238E27FC236}">
              <a16:creationId xmlns:a16="http://schemas.microsoft.com/office/drawing/2014/main" id="{998329E9-8F3A-4B59-B1AB-E8A50648B3E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5" name="TextBox 2875">
          <a:extLst>
            <a:ext uri="{FF2B5EF4-FFF2-40B4-BE49-F238E27FC236}">
              <a16:creationId xmlns:a16="http://schemas.microsoft.com/office/drawing/2014/main" id="{9F033CD6-128D-4416-9C4E-44B100B07D9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6" name="TextBox 2876">
          <a:extLst>
            <a:ext uri="{FF2B5EF4-FFF2-40B4-BE49-F238E27FC236}">
              <a16:creationId xmlns:a16="http://schemas.microsoft.com/office/drawing/2014/main" id="{7B308B4E-A965-47B7-ABF0-90F07AEB987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7" name="TextBox 2877">
          <a:extLst>
            <a:ext uri="{FF2B5EF4-FFF2-40B4-BE49-F238E27FC236}">
              <a16:creationId xmlns:a16="http://schemas.microsoft.com/office/drawing/2014/main" id="{AB3858C8-1A42-4DBA-9E84-D469814E159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8" name="TextBox 15">
          <a:extLst>
            <a:ext uri="{FF2B5EF4-FFF2-40B4-BE49-F238E27FC236}">
              <a16:creationId xmlns:a16="http://schemas.microsoft.com/office/drawing/2014/main" id="{BA2F006A-070E-4D1B-86F6-6C4F2ADF8DA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69" name="TextBox 16">
          <a:extLst>
            <a:ext uri="{FF2B5EF4-FFF2-40B4-BE49-F238E27FC236}">
              <a16:creationId xmlns:a16="http://schemas.microsoft.com/office/drawing/2014/main" id="{B584D213-27CF-45FD-B7B3-3AC239822D0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0" name="TextBox 17">
          <a:extLst>
            <a:ext uri="{FF2B5EF4-FFF2-40B4-BE49-F238E27FC236}">
              <a16:creationId xmlns:a16="http://schemas.microsoft.com/office/drawing/2014/main" id="{8C874044-369E-497A-8E63-90700D7A08F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1" name="TextBox 18">
          <a:extLst>
            <a:ext uri="{FF2B5EF4-FFF2-40B4-BE49-F238E27FC236}">
              <a16:creationId xmlns:a16="http://schemas.microsoft.com/office/drawing/2014/main" id="{B388C0EF-B68F-473D-AE60-6E7A86D4C61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2" name="TextBox 2882">
          <a:extLst>
            <a:ext uri="{FF2B5EF4-FFF2-40B4-BE49-F238E27FC236}">
              <a16:creationId xmlns:a16="http://schemas.microsoft.com/office/drawing/2014/main" id="{9E1244B1-6C3D-4152-BD22-E59ED3A4431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3" name="TextBox 2883">
          <a:extLst>
            <a:ext uri="{FF2B5EF4-FFF2-40B4-BE49-F238E27FC236}">
              <a16:creationId xmlns:a16="http://schemas.microsoft.com/office/drawing/2014/main" id="{EA2331F6-89E0-4428-8311-B43C9D29BC1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4" name="TextBox 1">
          <a:extLst>
            <a:ext uri="{FF2B5EF4-FFF2-40B4-BE49-F238E27FC236}">
              <a16:creationId xmlns:a16="http://schemas.microsoft.com/office/drawing/2014/main" id="{4E5BA106-2620-4014-B0E5-607E92B35DC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5" name="TextBox 3">
          <a:extLst>
            <a:ext uri="{FF2B5EF4-FFF2-40B4-BE49-F238E27FC236}">
              <a16:creationId xmlns:a16="http://schemas.microsoft.com/office/drawing/2014/main" id="{9D77B05E-2DF4-4903-AF04-1D3247A1861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6" name="TextBox 2886">
          <a:extLst>
            <a:ext uri="{FF2B5EF4-FFF2-40B4-BE49-F238E27FC236}">
              <a16:creationId xmlns:a16="http://schemas.microsoft.com/office/drawing/2014/main" id="{F19A6392-4E70-416F-AE55-D3B36111393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7" name="TextBox 2887">
          <a:extLst>
            <a:ext uri="{FF2B5EF4-FFF2-40B4-BE49-F238E27FC236}">
              <a16:creationId xmlns:a16="http://schemas.microsoft.com/office/drawing/2014/main" id="{697D5D0C-B61B-4400-A004-3F13F65DBF3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8" name="TextBox 2888">
          <a:extLst>
            <a:ext uri="{FF2B5EF4-FFF2-40B4-BE49-F238E27FC236}">
              <a16:creationId xmlns:a16="http://schemas.microsoft.com/office/drawing/2014/main" id="{F6F8BA6E-3470-4B44-8EA0-585EED48518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79" name="TextBox 2889">
          <a:extLst>
            <a:ext uri="{FF2B5EF4-FFF2-40B4-BE49-F238E27FC236}">
              <a16:creationId xmlns:a16="http://schemas.microsoft.com/office/drawing/2014/main" id="{7C77D08F-22C5-4928-AC31-104BDC32F8C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0" name="TextBox 2890">
          <a:extLst>
            <a:ext uri="{FF2B5EF4-FFF2-40B4-BE49-F238E27FC236}">
              <a16:creationId xmlns:a16="http://schemas.microsoft.com/office/drawing/2014/main" id="{DE26511A-3874-4BB5-AA47-DF114A9EAB5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1" name="TextBox 2891">
          <a:extLst>
            <a:ext uri="{FF2B5EF4-FFF2-40B4-BE49-F238E27FC236}">
              <a16:creationId xmlns:a16="http://schemas.microsoft.com/office/drawing/2014/main" id="{544BB532-2649-4EF1-BD8F-C3B14906E7D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2" name="TextBox 2892">
          <a:extLst>
            <a:ext uri="{FF2B5EF4-FFF2-40B4-BE49-F238E27FC236}">
              <a16:creationId xmlns:a16="http://schemas.microsoft.com/office/drawing/2014/main" id="{EA4050F7-16D9-4CC2-957A-2DC05B7BABC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3" name="TextBox 2893">
          <a:extLst>
            <a:ext uri="{FF2B5EF4-FFF2-40B4-BE49-F238E27FC236}">
              <a16:creationId xmlns:a16="http://schemas.microsoft.com/office/drawing/2014/main" id="{4FE24955-F626-4321-8A25-70039C91394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4" name="TextBox 2894">
          <a:extLst>
            <a:ext uri="{FF2B5EF4-FFF2-40B4-BE49-F238E27FC236}">
              <a16:creationId xmlns:a16="http://schemas.microsoft.com/office/drawing/2014/main" id="{5C343BFB-C6F6-4D0B-BC8E-702A76E8E9E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5" name="TextBox 2895">
          <a:extLst>
            <a:ext uri="{FF2B5EF4-FFF2-40B4-BE49-F238E27FC236}">
              <a16:creationId xmlns:a16="http://schemas.microsoft.com/office/drawing/2014/main" id="{F4ADFB1B-BDCF-44DD-8C58-E5F810BEC2B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6" name="TextBox 13">
          <a:extLst>
            <a:ext uri="{FF2B5EF4-FFF2-40B4-BE49-F238E27FC236}">
              <a16:creationId xmlns:a16="http://schemas.microsoft.com/office/drawing/2014/main" id="{F658BADD-6CBB-4C9D-89C1-B32A1468241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7" name="TextBox 14">
          <a:extLst>
            <a:ext uri="{FF2B5EF4-FFF2-40B4-BE49-F238E27FC236}">
              <a16:creationId xmlns:a16="http://schemas.microsoft.com/office/drawing/2014/main" id="{7BB595EB-31D2-41E7-ADD5-F6A5AE5D31E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8" name="TextBox 2898">
          <a:extLst>
            <a:ext uri="{FF2B5EF4-FFF2-40B4-BE49-F238E27FC236}">
              <a16:creationId xmlns:a16="http://schemas.microsoft.com/office/drawing/2014/main" id="{E6A8523F-8148-4EC9-85EC-72AB30594DC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89" name="TextBox 2899">
          <a:extLst>
            <a:ext uri="{FF2B5EF4-FFF2-40B4-BE49-F238E27FC236}">
              <a16:creationId xmlns:a16="http://schemas.microsoft.com/office/drawing/2014/main" id="{5CFA2AF1-8837-4FE0-9C2A-4A5AB0E11C6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0" name="TextBox 2900">
          <a:extLst>
            <a:ext uri="{FF2B5EF4-FFF2-40B4-BE49-F238E27FC236}">
              <a16:creationId xmlns:a16="http://schemas.microsoft.com/office/drawing/2014/main" id="{344CE787-449D-4D5A-839A-B1789BDA12C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1" name="TextBox 2901">
          <a:extLst>
            <a:ext uri="{FF2B5EF4-FFF2-40B4-BE49-F238E27FC236}">
              <a16:creationId xmlns:a16="http://schemas.microsoft.com/office/drawing/2014/main" id="{83924552-4DCA-4F61-8B6E-62EBADB6115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2" name="TextBox 15">
          <a:extLst>
            <a:ext uri="{FF2B5EF4-FFF2-40B4-BE49-F238E27FC236}">
              <a16:creationId xmlns:a16="http://schemas.microsoft.com/office/drawing/2014/main" id="{C60D72E4-D637-456C-A0CA-5F94EA63630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3" name="TextBox 16">
          <a:extLst>
            <a:ext uri="{FF2B5EF4-FFF2-40B4-BE49-F238E27FC236}">
              <a16:creationId xmlns:a16="http://schemas.microsoft.com/office/drawing/2014/main" id="{5BB642CB-ADBD-44EC-AF16-46126A19B27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4" name="TextBox 17">
          <a:extLst>
            <a:ext uri="{FF2B5EF4-FFF2-40B4-BE49-F238E27FC236}">
              <a16:creationId xmlns:a16="http://schemas.microsoft.com/office/drawing/2014/main" id="{3FC38142-5C91-4828-A938-4AF70EE3A52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5" name="TextBox 18">
          <a:extLst>
            <a:ext uri="{FF2B5EF4-FFF2-40B4-BE49-F238E27FC236}">
              <a16:creationId xmlns:a16="http://schemas.microsoft.com/office/drawing/2014/main" id="{9DAF1724-8BC6-48B3-9C06-6490030AE85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6" name="TextBox 2906">
          <a:extLst>
            <a:ext uri="{FF2B5EF4-FFF2-40B4-BE49-F238E27FC236}">
              <a16:creationId xmlns:a16="http://schemas.microsoft.com/office/drawing/2014/main" id="{6662D93D-4DB7-44A1-B676-6DF36FC696D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7" name="TextBox 2907">
          <a:extLst>
            <a:ext uri="{FF2B5EF4-FFF2-40B4-BE49-F238E27FC236}">
              <a16:creationId xmlns:a16="http://schemas.microsoft.com/office/drawing/2014/main" id="{F523036E-66EF-4846-80B1-FAC96E2E28C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8" name="TextBox 1">
          <a:extLst>
            <a:ext uri="{FF2B5EF4-FFF2-40B4-BE49-F238E27FC236}">
              <a16:creationId xmlns:a16="http://schemas.microsoft.com/office/drawing/2014/main" id="{AC56915C-052B-48AB-9F02-75829A01861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299" name="TextBox 3">
          <a:extLst>
            <a:ext uri="{FF2B5EF4-FFF2-40B4-BE49-F238E27FC236}">
              <a16:creationId xmlns:a16="http://schemas.microsoft.com/office/drawing/2014/main" id="{EBB78976-1A98-4104-AAE6-71558EDDC28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0" name="TextBox 2910">
          <a:extLst>
            <a:ext uri="{FF2B5EF4-FFF2-40B4-BE49-F238E27FC236}">
              <a16:creationId xmlns:a16="http://schemas.microsoft.com/office/drawing/2014/main" id="{FFC4F9D7-4340-4A9E-B3EF-12AED5B2ABC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1" name="TextBox 2911">
          <a:extLst>
            <a:ext uri="{FF2B5EF4-FFF2-40B4-BE49-F238E27FC236}">
              <a16:creationId xmlns:a16="http://schemas.microsoft.com/office/drawing/2014/main" id="{EC90F1D0-8BCD-4E97-9951-353205C32AE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2" name="TextBox 2912">
          <a:extLst>
            <a:ext uri="{FF2B5EF4-FFF2-40B4-BE49-F238E27FC236}">
              <a16:creationId xmlns:a16="http://schemas.microsoft.com/office/drawing/2014/main" id="{4A9E7BE1-180E-4095-85FC-9278FB1E227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3" name="TextBox 2913">
          <a:extLst>
            <a:ext uri="{FF2B5EF4-FFF2-40B4-BE49-F238E27FC236}">
              <a16:creationId xmlns:a16="http://schemas.microsoft.com/office/drawing/2014/main" id="{BA9D78F2-B4A6-4757-BCB6-E4A9D725B2E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4" name="TextBox 2914">
          <a:extLst>
            <a:ext uri="{FF2B5EF4-FFF2-40B4-BE49-F238E27FC236}">
              <a16:creationId xmlns:a16="http://schemas.microsoft.com/office/drawing/2014/main" id="{4F38C222-7A42-41D6-8ED6-788658FA410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5" name="TextBox 2915">
          <a:extLst>
            <a:ext uri="{FF2B5EF4-FFF2-40B4-BE49-F238E27FC236}">
              <a16:creationId xmlns:a16="http://schemas.microsoft.com/office/drawing/2014/main" id="{1E65DDCC-9CB4-4869-9505-98ADDFCD488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6" name="TextBox 2916">
          <a:extLst>
            <a:ext uri="{FF2B5EF4-FFF2-40B4-BE49-F238E27FC236}">
              <a16:creationId xmlns:a16="http://schemas.microsoft.com/office/drawing/2014/main" id="{D57AB895-2223-453B-B5C8-2C2C8B119F6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7" name="TextBox 2917">
          <a:extLst>
            <a:ext uri="{FF2B5EF4-FFF2-40B4-BE49-F238E27FC236}">
              <a16:creationId xmlns:a16="http://schemas.microsoft.com/office/drawing/2014/main" id="{8A11BB86-00D0-466C-80AA-43A671E22E8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8" name="TextBox 2918">
          <a:extLst>
            <a:ext uri="{FF2B5EF4-FFF2-40B4-BE49-F238E27FC236}">
              <a16:creationId xmlns:a16="http://schemas.microsoft.com/office/drawing/2014/main" id="{CF26B10C-4BCF-41FD-B8D4-9AB8486CDDA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09" name="TextBox 2919">
          <a:extLst>
            <a:ext uri="{FF2B5EF4-FFF2-40B4-BE49-F238E27FC236}">
              <a16:creationId xmlns:a16="http://schemas.microsoft.com/office/drawing/2014/main" id="{2326F60A-6DB9-4BDB-B7F7-A3640E43128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0" name="TextBox 13">
          <a:extLst>
            <a:ext uri="{FF2B5EF4-FFF2-40B4-BE49-F238E27FC236}">
              <a16:creationId xmlns:a16="http://schemas.microsoft.com/office/drawing/2014/main" id="{12DD2B77-A182-4FD9-85A4-87093D57811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1" name="TextBox 14">
          <a:extLst>
            <a:ext uri="{FF2B5EF4-FFF2-40B4-BE49-F238E27FC236}">
              <a16:creationId xmlns:a16="http://schemas.microsoft.com/office/drawing/2014/main" id="{5D004C9E-FB29-49E3-AF68-40DC7DE0A55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2" name="TextBox 2922">
          <a:extLst>
            <a:ext uri="{FF2B5EF4-FFF2-40B4-BE49-F238E27FC236}">
              <a16:creationId xmlns:a16="http://schemas.microsoft.com/office/drawing/2014/main" id="{E397703C-0D7B-4962-A9F4-2C49D26AC3F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3" name="TextBox 2923">
          <a:extLst>
            <a:ext uri="{FF2B5EF4-FFF2-40B4-BE49-F238E27FC236}">
              <a16:creationId xmlns:a16="http://schemas.microsoft.com/office/drawing/2014/main" id="{4B6461CB-04BF-4FEF-9BFB-3D79A7B6537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4" name="TextBox 2924">
          <a:extLst>
            <a:ext uri="{FF2B5EF4-FFF2-40B4-BE49-F238E27FC236}">
              <a16:creationId xmlns:a16="http://schemas.microsoft.com/office/drawing/2014/main" id="{9C5E94E2-BA85-4E48-A52A-7937A0F3ACC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5" name="TextBox 2925">
          <a:extLst>
            <a:ext uri="{FF2B5EF4-FFF2-40B4-BE49-F238E27FC236}">
              <a16:creationId xmlns:a16="http://schemas.microsoft.com/office/drawing/2014/main" id="{FA6C8343-4BAA-4C59-BC7A-7B7F6FC7FA7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6" name="TextBox 15">
          <a:extLst>
            <a:ext uri="{FF2B5EF4-FFF2-40B4-BE49-F238E27FC236}">
              <a16:creationId xmlns:a16="http://schemas.microsoft.com/office/drawing/2014/main" id="{41684103-9DD2-4DCC-B1BA-F430E4313FA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7" name="TextBox 16">
          <a:extLst>
            <a:ext uri="{FF2B5EF4-FFF2-40B4-BE49-F238E27FC236}">
              <a16:creationId xmlns:a16="http://schemas.microsoft.com/office/drawing/2014/main" id="{346A6D00-A0FF-412E-B04A-E9D5CB4CEDD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8" name="TextBox 17">
          <a:extLst>
            <a:ext uri="{FF2B5EF4-FFF2-40B4-BE49-F238E27FC236}">
              <a16:creationId xmlns:a16="http://schemas.microsoft.com/office/drawing/2014/main" id="{56F3CFDE-7DB4-4041-9574-6ECA69B86D1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19" name="TextBox 18">
          <a:extLst>
            <a:ext uri="{FF2B5EF4-FFF2-40B4-BE49-F238E27FC236}">
              <a16:creationId xmlns:a16="http://schemas.microsoft.com/office/drawing/2014/main" id="{F14C6C42-9758-4148-8844-A2183A0B68D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0" name="TextBox 2930">
          <a:extLst>
            <a:ext uri="{FF2B5EF4-FFF2-40B4-BE49-F238E27FC236}">
              <a16:creationId xmlns:a16="http://schemas.microsoft.com/office/drawing/2014/main" id="{1847D79C-FB2F-4D1D-B9DC-5550BDCA65B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1" name="TextBox 2931">
          <a:extLst>
            <a:ext uri="{FF2B5EF4-FFF2-40B4-BE49-F238E27FC236}">
              <a16:creationId xmlns:a16="http://schemas.microsoft.com/office/drawing/2014/main" id="{F17F1A3A-A91C-4A12-A0D7-0DB2F377F08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2" name="TextBox 1">
          <a:extLst>
            <a:ext uri="{FF2B5EF4-FFF2-40B4-BE49-F238E27FC236}">
              <a16:creationId xmlns:a16="http://schemas.microsoft.com/office/drawing/2014/main" id="{E1652E0D-FFB3-4B8B-A5B1-E546DFC94EB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3" name="TextBox 3">
          <a:extLst>
            <a:ext uri="{FF2B5EF4-FFF2-40B4-BE49-F238E27FC236}">
              <a16:creationId xmlns:a16="http://schemas.microsoft.com/office/drawing/2014/main" id="{D52DC722-6564-40DB-B754-95DB6F05790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4" name="TextBox 2934">
          <a:extLst>
            <a:ext uri="{FF2B5EF4-FFF2-40B4-BE49-F238E27FC236}">
              <a16:creationId xmlns:a16="http://schemas.microsoft.com/office/drawing/2014/main" id="{8A2D46B0-DBE3-4872-B347-E1470BEA601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5" name="TextBox 2935">
          <a:extLst>
            <a:ext uri="{FF2B5EF4-FFF2-40B4-BE49-F238E27FC236}">
              <a16:creationId xmlns:a16="http://schemas.microsoft.com/office/drawing/2014/main" id="{F89DAC07-6514-42FE-839A-D9FF206CEF6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6" name="TextBox 2936">
          <a:extLst>
            <a:ext uri="{FF2B5EF4-FFF2-40B4-BE49-F238E27FC236}">
              <a16:creationId xmlns:a16="http://schemas.microsoft.com/office/drawing/2014/main" id="{40D893B7-A184-4079-9199-14376393BD6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7" name="TextBox 2937">
          <a:extLst>
            <a:ext uri="{FF2B5EF4-FFF2-40B4-BE49-F238E27FC236}">
              <a16:creationId xmlns:a16="http://schemas.microsoft.com/office/drawing/2014/main" id="{2CDFC1E4-E06F-484E-A124-CFFFFC2B770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8" name="TextBox 2938">
          <a:extLst>
            <a:ext uri="{FF2B5EF4-FFF2-40B4-BE49-F238E27FC236}">
              <a16:creationId xmlns:a16="http://schemas.microsoft.com/office/drawing/2014/main" id="{F8ECE521-5324-441B-B223-41FDC95FBEC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29" name="TextBox 2939">
          <a:extLst>
            <a:ext uri="{FF2B5EF4-FFF2-40B4-BE49-F238E27FC236}">
              <a16:creationId xmlns:a16="http://schemas.microsoft.com/office/drawing/2014/main" id="{96254E34-BAFA-46AF-A236-C24ADF6C82B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0" name="TextBox 2940">
          <a:extLst>
            <a:ext uri="{FF2B5EF4-FFF2-40B4-BE49-F238E27FC236}">
              <a16:creationId xmlns:a16="http://schemas.microsoft.com/office/drawing/2014/main" id="{95584C64-B0ED-4BA4-A6BF-6A009682440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1" name="TextBox 2941">
          <a:extLst>
            <a:ext uri="{FF2B5EF4-FFF2-40B4-BE49-F238E27FC236}">
              <a16:creationId xmlns:a16="http://schemas.microsoft.com/office/drawing/2014/main" id="{BF1F1498-EBF2-4BA7-9AB9-2D571E3BC5E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2" name="TextBox 2942">
          <a:extLst>
            <a:ext uri="{FF2B5EF4-FFF2-40B4-BE49-F238E27FC236}">
              <a16:creationId xmlns:a16="http://schemas.microsoft.com/office/drawing/2014/main" id="{7C4CCF07-DE9C-474D-A2CF-ADDB340A9FB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3" name="TextBox 2943">
          <a:extLst>
            <a:ext uri="{FF2B5EF4-FFF2-40B4-BE49-F238E27FC236}">
              <a16:creationId xmlns:a16="http://schemas.microsoft.com/office/drawing/2014/main" id="{D32BB0E8-D95E-4D15-8099-21DED64140A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4" name="TextBox 13">
          <a:extLst>
            <a:ext uri="{FF2B5EF4-FFF2-40B4-BE49-F238E27FC236}">
              <a16:creationId xmlns:a16="http://schemas.microsoft.com/office/drawing/2014/main" id="{7D3FAFA7-07E8-4AD3-9AD0-3C5AAB2B203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5" name="TextBox 14">
          <a:extLst>
            <a:ext uri="{FF2B5EF4-FFF2-40B4-BE49-F238E27FC236}">
              <a16:creationId xmlns:a16="http://schemas.microsoft.com/office/drawing/2014/main" id="{B1D15D5D-14B0-4D2B-9833-D9C1CC9F43A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6" name="TextBox 2946">
          <a:extLst>
            <a:ext uri="{FF2B5EF4-FFF2-40B4-BE49-F238E27FC236}">
              <a16:creationId xmlns:a16="http://schemas.microsoft.com/office/drawing/2014/main" id="{04311527-CB5A-4D7B-BA09-FA7E532BE4E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7" name="TextBox 2947">
          <a:extLst>
            <a:ext uri="{FF2B5EF4-FFF2-40B4-BE49-F238E27FC236}">
              <a16:creationId xmlns:a16="http://schemas.microsoft.com/office/drawing/2014/main" id="{9176F7BA-05F8-4F00-9551-20EAB3A6295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8" name="TextBox 2948">
          <a:extLst>
            <a:ext uri="{FF2B5EF4-FFF2-40B4-BE49-F238E27FC236}">
              <a16:creationId xmlns:a16="http://schemas.microsoft.com/office/drawing/2014/main" id="{FA375166-6BB7-4895-821A-C1294029D57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39" name="TextBox 2949">
          <a:extLst>
            <a:ext uri="{FF2B5EF4-FFF2-40B4-BE49-F238E27FC236}">
              <a16:creationId xmlns:a16="http://schemas.microsoft.com/office/drawing/2014/main" id="{7FBBAE76-4BE7-44D8-AEBA-A776007F1BA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0" name="TextBox 15">
          <a:extLst>
            <a:ext uri="{FF2B5EF4-FFF2-40B4-BE49-F238E27FC236}">
              <a16:creationId xmlns:a16="http://schemas.microsoft.com/office/drawing/2014/main" id="{F8615B32-4ED8-47B1-87E4-84BB0F99EC2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1" name="TextBox 16">
          <a:extLst>
            <a:ext uri="{FF2B5EF4-FFF2-40B4-BE49-F238E27FC236}">
              <a16:creationId xmlns:a16="http://schemas.microsoft.com/office/drawing/2014/main" id="{FE6506A8-C49F-443D-812E-AA9FE4196C4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2" name="TextBox 17">
          <a:extLst>
            <a:ext uri="{FF2B5EF4-FFF2-40B4-BE49-F238E27FC236}">
              <a16:creationId xmlns:a16="http://schemas.microsoft.com/office/drawing/2014/main" id="{13A1F4CE-5391-48F6-963A-43330EFCA2E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3" name="TextBox 18">
          <a:extLst>
            <a:ext uri="{FF2B5EF4-FFF2-40B4-BE49-F238E27FC236}">
              <a16:creationId xmlns:a16="http://schemas.microsoft.com/office/drawing/2014/main" id="{BE307DCE-4381-4591-B833-108C6FDA5F9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4" name="TextBox 2954">
          <a:extLst>
            <a:ext uri="{FF2B5EF4-FFF2-40B4-BE49-F238E27FC236}">
              <a16:creationId xmlns:a16="http://schemas.microsoft.com/office/drawing/2014/main" id="{35002887-30AA-4618-BA0B-670B6CAB003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5" name="TextBox 2955">
          <a:extLst>
            <a:ext uri="{FF2B5EF4-FFF2-40B4-BE49-F238E27FC236}">
              <a16:creationId xmlns:a16="http://schemas.microsoft.com/office/drawing/2014/main" id="{C6E58544-218E-4F09-A367-37110200542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6" name="TextBox 1">
          <a:extLst>
            <a:ext uri="{FF2B5EF4-FFF2-40B4-BE49-F238E27FC236}">
              <a16:creationId xmlns:a16="http://schemas.microsoft.com/office/drawing/2014/main" id="{96A973B8-2437-4AC6-825F-68167580E12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7" name="TextBox 3">
          <a:extLst>
            <a:ext uri="{FF2B5EF4-FFF2-40B4-BE49-F238E27FC236}">
              <a16:creationId xmlns:a16="http://schemas.microsoft.com/office/drawing/2014/main" id="{3666354A-82DD-4E06-B905-BD8B17D862E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8" name="TextBox 2958">
          <a:extLst>
            <a:ext uri="{FF2B5EF4-FFF2-40B4-BE49-F238E27FC236}">
              <a16:creationId xmlns:a16="http://schemas.microsoft.com/office/drawing/2014/main" id="{AAA54755-4A88-450E-8231-383BF10A693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49" name="TextBox 2959">
          <a:extLst>
            <a:ext uri="{FF2B5EF4-FFF2-40B4-BE49-F238E27FC236}">
              <a16:creationId xmlns:a16="http://schemas.microsoft.com/office/drawing/2014/main" id="{710990DF-9591-4DA9-A7D5-F2F28DDCE87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0" name="TextBox 2960">
          <a:extLst>
            <a:ext uri="{FF2B5EF4-FFF2-40B4-BE49-F238E27FC236}">
              <a16:creationId xmlns:a16="http://schemas.microsoft.com/office/drawing/2014/main" id="{A0D1C092-DACE-4BFA-84EB-A95B04A5471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1" name="TextBox 2961">
          <a:extLst>
            <a:ext uri="{FF2B5EF4-FFF2-40B4-BE49-F238E27FC236}">
              <a16:creationId xmlns:a16="http://schemas.microsoft.com/office/drawing/2014/main" id="{5B95B612-9689-4E37-AD7E-14E4AF1DC59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2" name="TextBox 2962">
          <a:extLst>
            <a:ext uri="{FF2B5EF4-FFF2-40B4-BE49-F238E27FC236}">
              <a16:creationId xmlns:a16="http://schemas.microsoft.com/office/drawing/2014/main" id="{CA8A4FBA-26BF-40CB-B59B-660A7FA7F55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3" name="TextBox 2963">
          <a:extLst>
            <a:ext uri="{FF2B5EF4-FFF2-40B4-BE49-F238E27FC236}">
              <a16:creationId xmlns:a16="http://schemas.microsoft.com/office/drawing/2014/main" id="{BA2BF637-E806-47FE-945E-2E25A88D17A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4" name="TextBox 2964">
          <a:extLst>
            <a:ext uri="{FF2B5EF4-FFF2-40B4-BE49-F238E27FC236}">
              <a16:creationId xmlns:a16="http://schemas.microsoft.com/office/drawing/2014/main" id="{A29746BF-BC8C-442E-A131-B322389D947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5" name="TextBox 2965">
          <a:extLst>
            <a:ext uri="{FF2B5EF4-FFF2-40B4-BE49-F238E27FC236}">
              <a16:creationId xmlns:a16="http://schemas.microsoft.com/office/drawing/2014/main" id="{436EF0B8-46AE-40E4-BC3C-632CB6440AF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6" name="TextBox 2966">
          <a:extLst>
            <a:ext uri="{FF2B5EF4-FFF2-40B4-BE49-F238E27FC236}">
              <a16:creationId xmlns:a16="http://schemas.microsoft.com/office/drawing/2014/main" id="{7F6068AB-B9F1-455B-9049-26777DE1504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7" name="TextBox 2967">
          <a:extLst>
            <a:ext uri="{FF2B5EF4-FFF2-40B4-BE49-F238E27FC236}">
              <a16:creationId xmlns:a16="http://schemas.microsoft.com/office/drawing/2014/main" id="{BD489980-CF83-4624-A3CF-C718E70C5FB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8" name="TextBox 13">
          <a:extLst>
            <a:ext uri="{FF2B5EF4-FFF2-40B4-BE49-F238E27FC236}">
              <a16:creationId xmlns:a16="http://schemas.microsoft.com/office/drawing/2014/main" id="{3C276E6B-B356-445D-B27D-68D448442D1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59" name="TextBox 14">
          <a:extLst>
            <a:ext uri="{FF2B5EF4-FFF2-40B4-BE49-F238E27FC236}">
              <a16:creationId xmlns:a16="http://schemas.microsoft.com/office/drawing/2014/main" id="{D5EB3DD1-C106-40A8-9BA0-F23AEC9E74B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0" name="TextBox 2970">
          <a:extLst>
            <a:ext uri="{FF2B5EF4-FFF2-40B4-BE49-F238E27FC236}">
              <a16:creationId xmlns:a16="http://schemas.microsoft.com/office/drawing/2014/main" id="{AC5073CB-7501-4E72-B9CF-4E507437907E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1" name="TextBox 2971">
          <a:extLst>
            <a:ext uri="{FF2B5EF4-FFF2-40B4-BE49-F238E27FC236}">
              <a16:creationId xmlns:a16="http://schemas.microsoft.com/office/drawing/2014/main" id="{E3071644-29AA-43DD-8180-57F79A9D97F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2" name="TextBox 2972">
          <a:extLst>
            <a:ext uri="{FF2B5EF4-FFF2-40B4-BE49-F238E27FC236}">
              <a16:creationId xmlns:a16="http://schemas.microsoft.com/office/drawing/2014/main" id="{9D5D23CC-C4BA-4460-8876-9F7AEE43C95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3" name="TextBox 2973">
          <a:extLst>
            <a:ext uri="{FF2B5EF4-FFF2-40B4-BE49-F238E27FC236}">
              <a16:creationId xmlns:a16="http://schemas.microsoft.com/office/drawing/2014/main" id="{187C6C24-8F61-4EB6-8D85-3BADC938F4B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4" name="TextBox 15">
          <a:extLst>
            <a:ext uri="{FF2B5EF4-FFF2-40B4-BE49-F238E27FC236}">
              <a16:creationId xmlns:a16="http://schemas.microsoft.com/office/drawing/2014/main" id="{226AE6BC-0AB0-4646-A104-1E33351E2A6A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5" name="TextBox 16">
          <a:extLst>
            <a:ext uri="{FF2B5EF4-FFF2-40B4-BE49-F238E27FC236}">
              <a16:creationId xmlns:a16="http://schemas.microsoft.com/office/drawing/2014/main" id="{5E62DF51-D91A-45E1-A919-CCF91AB09C7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6" name="TextBox 17">
          <a:extLst>
            <a:ext uri="{FF2B5EF4-FFF2-40B4-BE49-F238E27FC236}">
              <a16:creationId xmlns:a16="http://schemas.microsoft.com/office/drawing/2014/main" id="{935B71B3-61CA-4387-9D58-1767114AEDA8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7" name="TextBox 18">
          <a:extLst>
            <a:ext uri="{FF2B5EF4-FFF2-40B4-BE49-F238E27FC236}">
              <a16:creationId xmlns:a16="http://schemas.microsoft.com/office/drawing/2014/main" id="{B3AA2AFE-4E45-418A-9D47-B1E5541CC3FB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8" name="TextBox 2978">
          <a:extLst>
            <a:ext uri="{FF2B5EF4-FFF2-40B4-BE49-F238E27FC236}">
              <a16:creationId xmlns:a16="http://schemas.microsoft.com/office/drawing/2014/main" id="{46194E7F-A02B-4A0C-970A-B60189E80AE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69" name="TextBox 2979">
          <a:extLst>
            <a:ext uri="{FF2B5EF4-FFF2-40B4-BE49-F238E27FC236}">
              <a16:creationId xmlns:a16="http://schemas.microsoft.com/office/drawing/2014/main" id="{D1FBE9FC-868B-428C-8CDA-A45CC3D3E65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0" name="TextBox 1">
          <a:extLst>
            <a:ext uri="{FF2B5EF4-FFF2-40B4-BE49-F238E27FC236}">
              <a16:creationId xmlns:a16="http://schemas.microsoft.com/office/drawing/2014/main" id="{27451021-184E-4DBE-BCCB-B090C10EEE7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1" name="TextBox 3">
          <a:extLst>
            <a:ext uri="{FF2B5EF4-FFF2-40B4-BE49-F238E27FC236}">
              <a16:creationId xmlns:a16="http://schemas.microsoft.com/office/drawing/2014/main" id="{FE1452C9-1825-42E1-A124-C5C4BC370DF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2" name="TextBox 2982">
          <a:extLst>
            <a:ext uri="{FF2B5EF4-FFF2-40B4-BE49-F238E27FC236}">
              <a16:creationId xmlns:a16="http://schemas.microsoft.com/office/drawing/2014/main" id="{563427DA-1A6A-426B-9794-E9872952E77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3" name="TextBox 2983">
          <a:extLst>
            <a:ext uri="{FF2B5EF4-FFF2-40B4-BE49-F238E27FC236}">
              <a16:creationId xmlns:a16="http://schemas.microsoft.com/office/drawing/2014/main" id="{D9A42FBB-757E-4BDE-B30C-768CC1A821A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4" name="TextBox 2984">
          <a:extLst>
            <a:ext uri="{FF2B5EF4-FFF2-40B4-BE49-F238E27FC236}">
              <a16:creationId xmlns:a16="http://schemas.microsoft.com/office/drawing/2014/main" id="{95D103CE-2C21-4617-867A-7A161C652683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5" name="TextBox 2985">
          <a:extLst>
            <a:ext uri="{FF2B5EF4-FFF2-40B4-BE49-F238E27FC236}">
              <a16:creationId xmlns:a16="http://schemas.microsoft.com/office/drawing/2014/main" id="{B6FE2320-515F-4D41-9792-7BDBD42EA05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6" name="TextBox 2986">
          <a:extLst>
            <a:ext uri="{FF2B5EF4-FFF2-40B4-BE49-F238E27FC236}">
              <a16:creationId xmlns:a16="http://schemas.microsoft.com/office/drawing/2014/main" id="{63BFC252-9353-47B3-B694-72FAB1D7685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7" name="TextBox 2987">
          <a:extLst>
            <a:ext uri="{FF2B5EF4-FFF2-40B4-BE49-F238E27FC236}">
              <a16:creationId xmlns:a16="http://schemas.microsoft.com/office/drawing/2014/main" id="{D2529CCE-C853-42CE-8830-BC031C95950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8" name="TextBox 2988">
          <a:extLst>
            <a:ext uri="{FF2B5EF4-FFF2-40B4-BE49-F238E27FC236}">
              <a16:creationId xmlns:a16="http://schemas.microsoft.com/office/drawing/2014/main" id="{E10BF5A3-594E-4CB1-84FA-FED898C23813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79" name="TextBox 2989">
          <a:extLst>
            <a:ext uri="{FF2B5EF4-FFF2-40B4-BE49-F238E27FC236}">
              <a16:creationId xmlns:a16="http://schemas.microsoft.com/office/drawing/2014/main" id="{3FE5F7DC-28FD-443E-9D68-A9CE07E57F7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0" name="TextBox 2990">
          <a:extLst>
            <a:ext uri="{FF2B5EF4-FFF2-40B4-BE49-F238E27FC236}">
              <a16:creationId xmlns:a16="http://schemas.microsoft.com/office/drawing/2014/main" id="{29B6C87F-7F8B-4C11-9239-23E39D0E783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1" name="TextBox 2991">
          <a:extLst>
            <a:ext uri="{FF2B5EF4-FFF2-40B4-BE49-F238E27FC236}">
              <a16:creationId xmlns:a16="http://schemas.microsoft.com/office/drawing/2014/main" id="{1049443F-A416-4E1E-B43A-886514A583AB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2" name="TextBox 13">
          <a:extLst>
            <a:ext uri="{FF2B5EF4-FFF2-40B4-BE49-F238E27FC236}">
              <a16:creationId xmlns:a16="http://schemas.microsoft.com/office/drawing/2014/main" id="{89438A44-3BE8-44A0-8AF3-3580752D324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3" name="TextBox 14">
          <a:extLst>
            <a:ext uri="{FF2B5EF4-FFF2-40B4-BE49-F238E27FC236}">
              <a16:creationId xmlns:a16="http://schemas.microsoft.com/office/drawing/2014/main" id="{66A1BFF1-811A-4D82-8002-D9C04F9C6BD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4" name="TextBox 2994">
          <a:extLst>
            <a:ext uri="{FF2B5EF4-FFF2-40B4-BE49-F238E27FC236}">
              <a16:creationId xmlns:a16="http://schemas.microsoft.com/office/drawing/2014/main" id="{2AFD8D8B-8DCD-4B6D-BD0F-76B2524F69A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5" name="TextBox 2995">
          <a:extLst>
            <a:ext uri="{FF2B5EF4-FFF2-40B4-BE49-F238E27FC236}">
              <a16:creationId xmlns:a16="http://schemas.microsoft.com/office/drawing/2014/main" id="{12AED78F-D602-486D-8C97-609FA8DEE8FA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6" name="TextBox 2996">
          <a:extLst>
            <a:ext uri="{FF2B5EF4-FFF2-40B4-BE49-F238E27FC236}">
              <a16:creationId xmlns:a16="http://schemas.microsoft.com/office/drawing/2014/main" id="{41EBCBD9-F502-4D15-86A8-88F3C28C7563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7" name="TextBox 2997">
          <a:extLst>
            <a:ext uri="{FF2B5EF4-FFF2-40B4-BE49-F238E27FC236}">
              <a16:creationId xmlns:a16="http://schemas.microsoft.com/office/drawing/2014/main" id="{F2E932A3-B5EA-4B57-A357-224A5848447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8" name="TextBox 15">
          <a:extLst>
            <a:ext uri="{FF2B5EF4-FFF2-40B4-BE49-F238E27FC236}">
              <a16:creationId xmlns:a16="http://schemas.microsoft.com/office/drawing/2014/main" id="{3D0AD1DA-ECAD-4073-96BA-349EEEA4A77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89" name="TextBox 16">
          <a:extLst>
            <a:ext uri="{FF2B5EF4-FFF2-40B4-BE49-F238E27FC236}">
              <a16:creationId xmlns:a16="http://schemas.microsoft.com/office/drawing/2014/main" id="{D4A7C4F0-BE0F-45A8-9E6E-BC43A849156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0" name="TextBox 17">
          <a:extLst>
            <a:ext uri="{FF2B5EF4-FFF2-40B4-BE49-F238E27FC236}">
              <a16:creationId xmlns:a16="http://schemas.microsoft.com/office/drawing/2014/main" id="{C297C3E0-68DC-4EA2-9313-A9C404D6DE6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1" name="TextBox 18">
          <a:extLst>
            <a:ext uri="{FF2B5EF4-FFF2-40B4-BE49-F238E27FC236}">
              <a16:creationId xmlns:a16="http://schemas.microsoft.com/office/drawing/2014/main" id="{00012D5C-29AB-44DE-8138-9E99865D1DC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2" name="TextBox 3002">
          <a:extLst>
            <a:ext uri="{FF2B5EF4-FFF2-40B4-BE49-F238E27FC236}">
              <a16:creationId xmlns:a16="http://schemas.microsoft.com/office/drawing/2014/main" id="{93B2ED6E-C48B-4A38-81AE-CCAB6B6849F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3" name="TextBox 3003">
          <a:extLst>
            <a:ext uri="{FF2B5EF4-FFF2-40B4-BE49-F238E27FC236}">
              <a16:creationId xmlns:a16="http://schemas.microsoft.com/office/drawing/2014/main" id="{C9392925-3209-435C-985A-B0E1CBE3AF2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4" name="TextBox 1">
          <a:extLst>
            <a:ext uri="{FF2B5EF4-FFF2-40B4-BE49-F238E27FC236}">
              <a16:creationId xmlns:a16="http://schemas.microsoft.com/office/drawing/2014/main" id="{98B52100-97C5-406C-A8DE-308ABC9B07F8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5" name="TextBox 3">
          <a:extLst>
            <a:ext uri="{FF2B5EF4-FFF2-40B4-BE49-F238E27FC236}">
              <a16:creationId xmlns:a16="http://schemas.microsoft.com/office/drawing/2014/main" id="{0744B952-8FF0-4F88-B9AA-7BB8FC80676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6" name="TextBox 3006">
          <a:extLst>
            <a:ext uri="{FF2B5EF4-FFF2-40B4-BE49-F238E27FC236}">
              <a16:creationId xmlns:a16="http://schemas.microsoft.com/office/drawing/2014/main" id="{63655180-AFE5-431D-A355-BC50C6E0449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7" name="TextBox 3007">
          <a:extLst>
            <a:ext uri="{FF2B5EF4-FFF2-40B4-BE49-F238E27FC236}">
              <a16:creationId xmlns:a16="http://schemas.microsoft.com/office/drawing/2014/main" id="{8BF3822B-7ADF-42B1-8BBA-2CC11372242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8" name="TextBox 3008">
          <a:extLst>
            <a:ext uri="{FF2B5EF4-FFF2-40B4-BE49-F238E27FC236}">
              <a16:creationId xmlns:a16="http://schemas.microsoft.com/office/drawing/2014/main" id="{7C10D103-5492-4781-B906-C11E6E102253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399" name="TextBox 3009">
          <a:extLst>
            <a:ext uri="{FF2B5EF4-FFF2-40B4-BE49-F238E27FC236}">
              <a16:creationId xmlns:a16="http://schemas.microsoft.com/office/drawing/2014/main" id="{7606546D-1059-4038-A28A-15E8D976FFDB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0" name="TextBox 3010">
          <a:extLst>
            <a:ext uri="{FF2B5EF4-FFF2-40B4-BE49-F238E27FC236}">
              <a16:creationId xmlns:a16="http://schemas.microsoft.com/office/drawing/2014/main" id="{C4BCB5E3-4B5F-4DFA-969E-2B9F2A3E89C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1" name="TextBox 3011">
          <a:extLst>
            <a:ext uri="{FF2B5EF4-FFF2-40B4-BE49-F238E27FC236}">
              <a16:creationId xmlns:a16="http://schemas.microsoft.com/office/drawing/2014/main" id="{28F19314-1302-4BF9-A1D0-82C905A2BC5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2" name="TextBox 3012">
          <a:extLst>
            <a:ext uri="{FF2B5EF4-FFF2-40B4-BE49-F238E27FC236}">
              <a16:creationId xmlns:a16="http://schemas.microsoft.com/office/drawing/2014/main" id="{2FEA3B78-0B2D-4B2A-B64A-0E515373EA6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3" name="TextBox 3013">
          <a:extLst>
            <a:ext uri="{FF2B5EF4-FFF2-40B4-BE49-F238E27FC236}">
              <a16:creationId xmlns:a16="http://schemas.microsoft.com/office/drawing/2014/main" id="{E9007567-B0C8-4A57-BE76-36A052805BF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4" name="TextBox 3014">
          <a:extLst>
            <a:ext uri="{FF2B5EF4-FFF2-40B4-BE49-F238E27FC236}">
              <a16:creationId xmlns:a16="http://schemas.microsoft.com/office/drawing/2014/main" id="{AA85D331-1C61-477B-9C2C-C19578BD1BE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5" name="TextBox 3015">
          <a:extLst>
            <a:ext uri="{FF2B5EF4-FFF2-40B4-BE49-F238E27FC236}">
              <a16:creationId xmlns:a16="http://schemas.microsoft.com/office/drawing/2014/main" id="{D38808EE-610B-4090-83DD-6E5182C4FE6E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6" name="TextBox 13">
          <a:extLst>
            <a:ext uri="{FF2B5EF4-FFF2-40B4-BE49-F238E27FC236}">
              <a16:creationId xmlns:a16="http://schemas.microsoft.com/office/drawing/2014/main" id="{C7D5D4E4-DEED-45BA-9838-AF54E3F9EAD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7" name="TextBox 14">
          <a:extLst>
            <a:ext uri="{FF2B5EF4-FFF2-40B4-BE49-F238E27FC236}">
              <a16:creationId xmlns:a16="http://schemas.microsoft.com/office/drawing/2014/main" id="{EE2F4396-AAC1-473F-80BF-728D8210EFDA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8" name="TextBox 3018">
          <a:extLst>
            <a:ext uri="{FF2B5EF4-FFF2-40B4-BE49-F238E27FC236}">
              <a16:creationId xmlns:a16="http://schemas.microsoft.com/office/drawing/2014/main" id="{2C302259-DD69-4564-923D-E62DEA99057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09" name="TextBox 3019">
          <a:extLst>
            <a:ext uri="{FF2B5EF4-FFF2-40B4-BE49-F238E27FC236}">
              <a16:creationId xmlns:a16="http://schemas.microsoft.com/office/drawing/2014/main" id="{9CEF30E8-4CF5-4F27-8CFE-39BF4D07360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0" name="TextBox 3020">
          <a:extLst>
            <a:ext uri="{FF2B5EF4-FFF2-40B4-BE49-F238E27FC236}">
              <a16:creationId xmlns:a16="http://schemas.microsoft.com/office/drawing/2014/main" id="{CBD846B4-7BF3-4EEC-8A3A-2C6157FF2A9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1" name="TextBox 3021">
          <a:extLst>
            <a:ext uri="{FF2B5EF4-FFF2-40B4-BE49-F238E27FC236}">
              <a16:creationId xmlns:a16="http://schemas.microsoft.com/office/drawing/2014/main" id="{902A6631-5B74-4110-A988-4EF4401BE931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2" name="TextBox 15">
          <a:extLst>
            <a:ext uri="{FF2B5EF4-FFF2-40B4-BE49-F238E27FC236}">
              <a16:creationId xmlns:a16="http://schemas.microsoft.com/office/drawing/2014/main" id="{1F8D1D11-33BD-4564-9BAF-710D485BB9D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3" name="TextBox 16">
          <a:extLst>
            <a:ext uri="{FF2B5EF4-FFF2-40B4-BE49-F238E27FC236}">
              <a16:creationId xmlns:a16="http://schemas.microsoft.com/office/drawing/2014/main" id="{5D1BEFBE-8E70-49B1-A27E-AE94BE99358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4" name="TextBox 17">
          <a:extLst>
            <a:ext uri="{FF2B5EF4-FFF2-40B4-BE49-F238E27FC236}">
              <a16:creationId xmlns:a16="http://schemas.microsoft.com/office/drawing/2014/main" id="{0B55A198-A8F8-4334-B468-C8EC8CF3742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5" name="TextBox 18">
          <a:extLst>
            <a:ext uri="{FF2B5EF4-FFF2-40B4-BE49-F238E27FC236}">
              <a16:creationId xmlns:a16="http://schemas.microsoft.com/office/drawing/2014/main" id="{8312F891-8675-42BE-A6E3-8C3E7BBBF29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6" name="TextBox 3026">
          <a:extLst>
            <a:ext uri="{FF2B5EF4-FFF2-40B4-BE49-F238E27FC236}">
              <a16:creationId xmlns:a16="http://schemas.microsoft.com/office/drawing/2014/main" id="{4C8DE4EB-E242-4714-A81B-D18ADF0ACEF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7" name="TextBox 3027">
          <a:extLst>
            <a:ext uri="{FF2B5EF4-FFF2-40B4-BE49-F238E27FC236}">
              <a16:creationId xmlns:a16="http://schemas.microsoft.com/office/drawing/2014/main" id="{74759361-7E57-4050-AC22-CE97E429A7D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8" name="TextBox 1">
          <a:extLst>
            <a:ext uri="{FF2B5EF4-FFF2-40B4-BE49-F238E27FC236}">
              <a16:creationId xmlns:a16="http://schemas.microsoft.com/office/drawing/2014/main" id="{9C608F2B-F138-4238-87DF-BDEB77A79738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19" name="TextBox 3">
          <a:extLst>
            <a:ext uri="{FF2B5EF4-FFF2-40B4-BE49-F238E27FC236}">
              <a16:creationId xmlns:a16="http://schemas.microsoft.com/office/drawing/2014/main" id="{D893FBEA-40F9-4B13-B2D5-E3EBCE33EE55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0" name="TextBox 3030">
          <a:extLst>
            <a:ext uri="{FF2B5EF4-FFF2-40B4-BE49-F238E27FC236}">
              <a16:creationId xmlns:a16="http://schemas.microsoft.com/office/drawing/2014/main" id="{FF7141EC-83A1-4657-8EE4-71F02FBF4D0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1" name="TextBox 3031">
          <a:extLst>
            <a:ext uri="{FF2B5EF4-FFF2-40B4-BE49-F238E27FC236}">
              <a16:creationId xmlns:a16="http://schemas.microsoft.com/office/drawing/2014/main" id="{3BD1C277-F66C-4938-8542-EDDC4BEA893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2" name="TextBox 3032">
          <a:extLst>
            <a:ext uri="{FF2B5EF4-FFF2-40B4-BE49-F238E27FC236}">
              <a16:creationId xmlns:a16="http://schemas.microsoft.com/office/drawing/2014/main" id="{45B43A4A-0622-4ED3-9F3D-082C803ADBB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3" name="TextBox 3033">
          <a:extLst>
            <a:ext uri="{FF2B5EF4-FFF2-40B4-BE49-F238E27FC236}">
              <a16:creationId xmlns:a16="http://schemas.microsoft.com/office/drawing/2014/main" id="{D2971A44-2DC7-43A7-AAE5-E02A9409FC7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4" name="TextBox 3034">
          <a:extLst>
            <a:ext uri="{FF2B5EF4-FFF2-40B4-BE49-F238E27FC236}">
              <a16:creationId xmlns:a16="http://schemas.microsoft.com/office/drawing/2014/main" id="{C6C5934B-CD58-40AC-932D-5B715776A42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5" name="TextBox 3035">
          <a:extLst>
            <a:ext uri="{FF2B5EF4-FFF2-40B4-BE49-F238E27FC236}">
              <a16:creationId xmlns:a16="http://schemas.microsoft.com/office/drawing/2014/main" id="{0F3A9808-4CC0-4E40-974E-0C4902A85A7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6" name="TextBox 3036">
          <a:extLst>
            <a:ext uri="{FF2B5EF4-FFF2-40B4-BE49-F238E27FC236}">
              <a16:creationId xmlns:a16="http://schemas.microsoft.com/office/drawing/2014/main" id="{B4B4D9F0-169A-451B-9CFC-0C079A01FF7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7" name="TextBox 3037">
          <a:extLst>
            <a:ext uri="{FF2B5EF4-FFF2-40B4-BE49-F238E27FC236}">
              <a16:creationId xmlns:a16="http://schemas.microsoft.com/office/drawing/2014/main" id="{4A6E4838-AC63-401B-8DBC-19395EDC0A1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8" name="TextBox 3038">
          <a:extLst>
            <a:ext uri="{FF2B5EF4-FFF2-40B4-BE49-F238E27FC236}">
              <a16:creationId xmlns:a16="http://schemas.microsoft.com/office/drawing/2014/main" id="{684CF7CF-2D1D-4AEC-BF3A-4848A5CE57C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29" name="TextBox 3039">
          <a:extLst>
            <a:ext uri="{FF2B5EF4-FFF2-40B4-BE49-F238E27FC236}">
              <a16:creationId xmlns:a16="http://schemas.microsoft.com/office/drawing/2014/main" id="{053DFCD7-9F21-4A0D-BCE3-382235A8C79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0" name="TextBox 13">
          <a:extLst>
            <a:ext uri="{FF2B5EF4-FFF2-40B4-BE49-F238E27FC236}">
              <a16:creationId xmlns:a16="http://schemas.microsoft.com/office/drawing/2014/main" id="{DCA26C7F-273F-4608-9D69-727CE5A58B9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1" name="TextBox 14">
          <a:extLst>
            <a:ext uri="{FF2B5EF4-FFF2-40B4-BE49-F238E27FC236}">
              <a16:creationId xmlns:a16="http://schemas.microsoft.com/office/drawing/2014/main" id="{887F2A72-EE13-4197-A647-F7BF24F5B6D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2" name="TextBox 3042">
          <a:extLst>
            <a:ext uri="{FF2B5EF4-FFF2-40B4-BE49-F238E27FC236}">
              <a16:creationId xmlns:a16="http://schemas.microsoft.com/office/drawing/2014/main" id="{F9B74473-7DFA-41EB-A3B0-7D45BBBE5F8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3" name="TextBox 3043">
          <a:extLst>
            <a:ext uri="{FF2B5EF4-FFF2-40B4-BE49-F238E27FC236}">
              <a16:creationId xmlns:a16="http://schemas.microsoft.com/office/drawing/2014/main" id="{AC8D0733-0AAB-40F4-AE49-F7D95E05E35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4" name="TextBox 3044">
          <a:extLst>
            <a:ext uri="{FF2B5EF4-FFF2-40B4-BE49-F238E27FC236}">
              <a16:creationId xmlns:a16="http://schemas.microsoft.com/office/drawing/2014/main" id="{110354F9-3A46-4404-8412-33D534E87F4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5" name="TextBox 3045">
          <a:extLst>
            <a:ext uri="{FF2B5EF4-FFF2-40B4-BE49-F238E27FC236}">
              <a16:creationId xmlns:a16="http://schemas.microsoft.com/office/drawing/2014/main" id="{7E3F07B5-56F3-405A-AD44-AAEC7F30CC3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6" name="TextBox 15">
          <a:extLst>
            <a:ext uri="{FF2B5EF4-FFF2-40B4-BE49-F238E27FC236}">
              <a16:creationId xmlns:a16="http://schemas.microsoft.com/office/drawing/2014/main" id="{F00A771A-8DDF-4043-8850-7D0B1248402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7" name="TextBox 16">
          <a:extLst>
            <a:ext uri="{FF2B5EF4-FFF2-40B4-BE49-F238E27FC236}">
              <a16:creationId xmlns:a16="http://schemas.microsoft.com/office/drawing/2014/main" id="{5E188721-1806-4ECD-801F-AE9C218DC3D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8" name="TextBox 17">
          <a:extLst>
            <a:ext uri="{FF2B5EF4-FFF2-40B4-BE49-F238E27FC236}">
              <a16:creationId xmlns:a16="http://schemas.microsoft.com/office/drawing/2014/main" id="{4E2C2581-6C7B-43FD-ADA4-FB2FB8B3BEF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39" name="TextBox 18">
          <a:extLst>
            <a:ext uri="{FF2B5EF4-FFF2-40B4-BE49-F238E27FC236}">
              <a16:creationId xmlns:a16="http://schemas.microsoft.com/office/drawing/2014/main" id="{F1C528E0-3E24-48C2-87C9-0E416A56E9D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0" name="TextBox 3050">
          <a:extLst>
            <a:ext uri="{FF2B5EF4-FFF2-40B4-BE49-F238E27FC236}">
              <a16:creationId xmlns:a16="http://schemas.microsoft.com/office/drawing/2014/main" id="{ED4D08A8-4645-4E7C-A227-03F028BD4B2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1" name="TextBox 3051">
          <a:extLst>
            <a:ext uri="{FF2B5EF4-FFF2-40B4-BE49-F238E27FC236}">
              <a16:creationId xmlns:a16="http://schemas.microsoft.com/office/drawing/2014/main" id="{64D75859-D3E1-409A-BB14-B5FA89479BE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2" name="TextBox 1">
          <a:extLst>
            <a:ext uri="{FF2B5EF4-FFF2-40B4-BE49-F238E27FC236}">
              <a16:creationId xmlns:a16="http://schemas.microsoft.com/office/drawing/2014/main" id="{40CD0E1E-050B-4140-B3A0-BE2B3BB117E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3" name="TextBox 3">
          <a:extLst>
            <a:ext uri="{FF2B5EF4-FFF2-40B4-BE49-F238E27FC236}">
              <a16:creationId xmlns:a16="http://schemas.microsoft.com/office/drawing/2014/main" id="{257AD010-5F1E-4351-A224-317134D6EB4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4" name="TextBox 3054">
          <a:extLst>
            <a:ext uri="{FF2B5EF4-FFF2-40B4-BE49-F238E27FC236}">
              <a16:creationId xmlns:a16="http://schemas.microsoft.com/office/drawing/2014/main" id="{C1444EE1-8296-4ABA-B2F0-04AB375E15B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5" name="TextBox 3055">
          <a:extLst>
            <a:ext uri="{FF2B5EF4-FFF2-40B4-BE49-F238E27FC236}">
              <a16:creationId xmlns:a16="http://schemas.microsoft.com/office/drawing/2014/main" id="{467AE7B9-436A-4403-829F-FCC3E06D609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6" name="TextBox 3056">
          <a:extLst>
            <a:ext uri="{FF2B5EF4-FFF2-40B4-BE49-F238E27FC236}">
              <a16:creationId xmlns:a16="http://schemas.microsoft.com/office/drawing/2014/main" id="{5B4360EE-95B3-4B12-9B3F-B7300C795AF1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7" name="TextBox 3057">
          <a:extLst>
            <a:ext uri="{FF2B5EF4-FFF2-40B4-BE49-F238E27FC236}">
              <a16:creationId xmlns:a16="http://schemas.microsoft.com/office/drawing/2014/main" id="{0E44A4FD-67BB-4889-B961-704CA11F509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8" name="TextBox 3058">
          <a:extLst>
            <a:ext uri="{FF2B5EF4-FFF2-40B4-BE49-F238E27FC236}">
              <a16:creationId xmlns:a16="http://schemas.microsoft.com/office/drawing/2014/main" id="{C300AAE3-DC3D-4928-9DC8-82511A17B90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49" name="TextBox 3059">
          <a:extLst>
            <a:ext uri="{FF2B5EF4-FFF2-40B4-BE49-F238E27FC236}">
              <a16:creationId xmlns:a16="http://schemas.microsoft.com/office/drawing/2014/main" id="{4CC8AA8C-97B4-41F6-88F3-1A4247E43DF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0" name="TextBox 3060">
          <a:extLst>
            <a:ext uri="{FF2B5EF4-FFF2-40B4-BE49-F238E27FC236}">
              <a16:creationId xmlns:a16="http://schemas.microsoft.com/office/drawing/2014/main" id="{7B33D244-58C2-4BB3-8AFD-B7D30F86BAF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1" name="TextBox 3061">
          <a:extLst>
            <a:ext uri="{FF2B5EF4-FFF2-40B4-BE49-F238E27FC236}">
              <a16:creationId xmlns:a16="http://schemas.microsoft.com/office/drawing/2014/main" id="{A84B3559-41F9-4561-82A3-7FB5D2D5D1F5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2" name="TextBox 3062">
          <a:extLst>
            <a:ext uri="{FF2B5EF4-FFF2-40B4-BE49-F238E27FC236}">
              <a16:creationId xmlns:a16="http://schemas.microsoft.com/office/drawing/2014/main" id="{A7EFA56A-E4C5-4918-8067-26C4A78A440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3" name="TextBox 3063">
          <a:extLst>
            <a:ext uri="{FF2B5EF4-FFF2-40B4-BE49-F238E27FC236}">
              <a16:creationId xmlns:a16="http://schemas.microsoft.com/office/drawing/2014/main" id="{EC26540E-5940-49E4-B240-4D93258D9CA1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4" name="TextBox 13">
          <a:extLst>
            <a:ext uri="{FF2B5EF4-FFF2-40B4-BE49-F238E27FC236}">
              <a16:creationId xmlns:a16="http://schemas.microsoft.com/office/drawing/2014/main" id="{63EFBC00-1EC7-4915-8407-6B1A44FC06D1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5" name="TextBox 14">
          <a:extLst>
            <a:ext uri="{FF2B5EF4-FFF2-40B4-BE49-F238E27FC236}">
              <a16:creationId xmlns:a16="http://schemas.microsoft.com/office/drawing/2014/main" id="{69F472E6-76F9-4B6A-BDC4-5F99EEDB9DB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6" name="TextBox 3066">
          <a:extLst>
            <a:ext uri="{FF2B5EF4-FFF2-40B4-BE49-F238E27FC236}">
              <a16:creationId xmlns:a16="http://schemas.microsoft.com/office/drawing/2014/main" id="{FD5E2DFD-9492-4801-848B-C83C231190C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7" name="TextBox 3067">
          <a:extLst>
            <a:ext uri="{FF2B5EF4-FFF2-40B4-BE49-F238E27FC236}">
              <a16:creationId xmlns:a16="http://schemas.microsoft.com/office/drawing/2014/main" id="{CBE7A92D-D3CF-4A5D-A698-14B61DADAFC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8" name="TextBox 11">
          <a:extLst>
            <a:ext uri="{FF2B5EF4-FFF2-40B4-BE49-F238E27FC236}">
              <a16:creationId xmlns:a16="http://schemas.microsoft.com/office/drawing/2014/main" id="{71BF5306-CA27-47F2-8162-23EB36385D5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59" name="TextBox 12">
          <a:extLst>
            <a:ext uri="{FF2B5EF4-FFF2-40B4-BE49-F238E27FC236}">
              <a16:creationId xmlns:a16="http://schemas.microsoft.com/office/drawing/2014/main" id="{EADE82E5-0956-43A0-8E97-E8CEB543AC8D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0" name="TextBox 3070">
          <a:extLst>
            <a:ext uri="{FF2B5EF4-FFF2-40B4-BE49-F238E27FC236}">
              <a16:creationId xmlns:a16="http://schemas.microsoft.com/office/drawing/2014/main" id="{9795BF60-7ED8-44D1-B449-250F9491DC75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1" name="TextBox 3071">
          <a:extLst>
            <a:ext uri="{FF2B5EF4-FFF2-40B4-BE49-F238E27FC236}">
              <a16:creationId xmlns:a16="http://schemas.microsoft.com/office/drawing/2014/main" id="{B2690B09-A083-491B-88BD-3A9BCE16D906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2" name="TextBox 1">
          <a:extLst>
            <a:ext uri="{FF2B5EF4-FFF2-40B4-BE49-F238E27FC236}">
              <a16:creationId xmlns:a16="http://schemas.microsoft.com/office/drawing/2014/main" id="{8A1218E0-F2D7-4984-8022-E06153CE551F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3" name="TextBox 3">
          <a:extLst>
            <a:ext uri="{FF2B5EF4-FFF2-40B4-BE49-F238E27FC236}">
              <a16:creationId xmlns:a16="http://schemas.microsoft.com/office/drawing/2014/main" id="{1295A4F5-42F0-42AA-8F6C-4D560D5143B0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4" name="TextBox 11">
          <a:extLst>
            <a:ext uri="{FF2B5EF4-FFF2-40B4-BE49-F238E27FC236}">
              <a16:creationId xmlns:a16="http://schemas.microsoft.com/office/drawing/2014/main" id="{8AAA2816-EB0D-437B-A6DB-405DF5C3FDF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5" name="TextBox 12">
          <a:extLst>
            <a:ext uri="{FF2B5EF4-FFF2-40B4-BE49-F238E27FC236}">
              <a16:creationId xmlns:a16="http://schemas.microsoft.com/office/drawing/2014/main" id="{E4B7C7C4-6406-44DE-8326-BF837D53297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6" name="TextBox 3076">
          <a:extLst>
            <a:ext uri="{FF2B5EF4-FFF2-40B4-BE49-F238E27FC236}">
              <a16:creationId xmlns:a16="http://schemas.microsoft.com/office/drawing/2014/main" id="{8AC124AA-6AC1-4F5D-A593-33E4FE4B536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7" name="TextBox 3077">
          <a:extLst>
            <a:ext uri="{FF2B5EF4-FFF2-40B4-BE49-F238E27FC236}">
              <a16:creationId xmlns:a16="http://schemas.microsoft.com/office/drawing/2014/main" id="{589C119D-C4E7-4687-9889-C44353FBD36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8" name="TextBox 1">
          <a:extLst>
            <a:ext uri="{FF2B5EF4-FFF2-40B4-BE49-F238E27FC236}">
              <a16:creationId xmlns:a16="http://schemas.microsoft.com/office/drawing/2014/main" id="{8C14E470-FDF9-4122-B5BE-A7612FDFA8E9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69" name="TextBox 3">
          <a:extLst>
            <a:ext uri="{FF2B5EF4-FFF2-40B4-BE49-F238E27FC236}">
              <a16:creationId xmlns:a16="http://schemas.microsoft.com/office/drawing/2014/main" id="{93B73B84-0F74-44BC-98C0-C540F2EEE46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0" name="TextBox 3080">
          <a:extLst>
            <a:ext uri="{FF2B5EF4-FFF2-40B4-BE49-F238E27FC236}">
              <a16:creationId xmlns:a16="http://schemas.microsoft.com/office/drawing/2014/main" id="{A0D67467-C7DA-462E-8546-1D42B099FF08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1" name="TextBox 3081">
          <a:extLst>
            <a:ext uri="{FF2B5EF4-FFF2-40B4-BE49-F238E27FC236}">
              <a16:creationId xmlns:a16="http://schemas.microsoft.com/office/drawing/2014/main" id="{5A388EAB-19B8-4EE1-855B-5A900A4C7B9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2" name="TextBox 3082">
          <a:extLst>
            <a:ext uri="{FF2B5EF4-FFF2-40B4-BE49-F238E27FC236}">
              <a16:creationId xmlns:a16="http://schemas.microsoft.com/office/drawing/2014/main" id="{A03B0A92-FF15-4D2A-8312-2894319C92E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3" name="TextBox 3083">
          <a:extLst>
            <a:ext uri="{FF2B5EF4-FFF2-40B4-BE49-F238E27FC236}">
              <a16:creationId xmlns:a16="http://schemas.microsoft.com/office/drawing/2014/main" id="{97A4628F-FD79-4D04-BC85-9C33DBA600B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4" name="TextBox 15">
          <a:extLst>
            <a:ext uri="{FF2B5EF4-FFF2-40B4-BE49-F238E27FC236}">
              <a16:creationId xmlns:a16="http://schemas.microsoft.com/office/drawing/2014/main" id="{BD4D0E3C-EC7B-4C3D-AAA6-7ADCDBD20EF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5" name="TextBox 16">
          <a:extLst>
            <a:ext uri="{FF2B5EF4-FFF2-40B4-BE49-F238E27FC236}">
              <a16:creationId xmlns:a16="http://schemas.microsoft.com/office/drawing/2014/main" id="{AE4AABEF-49E0-4D01-8064-811A6E27634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6" name="TextBox 17">
          <a:extLst>
            <a:ext uri="{FF2B5EF4-FFF2-40B4-BE49-F238E27FC236}">
              <a16:creationId xmlns:a16="http://schemas.microsoft.com/office/drawing/2014/main" id="{65135BCA-5FB1-4FC5-9062-522138640A0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7" name="TextBox 18">
          <a:extLst>
            <a:ext uri="{FF2B5EF4-FFF2-40B4-BE49-F238E27FC236}">
              <a16:creationId xmlns:a16="http://schemas.microsoft.com/office/drawing/2014/main" id="{1ADB4C82-03CA-4570-82DE-A1F408B57E1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8" name="TextBox 3088">
          <a:extLst>
            <a:ext uri="{FF2B5EF4-FFF2-40B4-BE49-F238E27FC236}">
              <a16:creationId xmlns:a16="http://schemas.microsoft.com/office/drawing/2014/main" id="{191EDA62-EC79-43C7-BE96-DA37BEB199C1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79" name="TextBox 3089">
          <a:extLst>
            <a:ext uri="{FF2B5EF4-FFF2-40B4-BE49-F238E27FC236}">
              <a16:creationId xmlns:a16="http://schemas.microsoft.com/office/drawing/2014/main" id="{DA718426-B7EB-401C-B01A-50F12987175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0" name="TextBox 1">
          <a:extLst>
            <a:ext uri="{FF2B5EF4-FFF2-40B4-BE49-F238E27FC236}">
              <a16:creationId xmlns:a16="http://schemas.microsoft.com/office/drawing/2014/main" id="{5A9F55D7-64DF-4E90-A2F0-8A3E88C5BDB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1" name="TextBox 3">
          <a:extLst>
            <a:ext uri="{FF2B5EF4-FFF2-40B4-BE49-F238E27FC236}">
              <a16:creationId xmlns:a16="http://schemas.microsoft.com/office/drawing/2014/main" id="{A003DE14-1558-46F7-B1F3-E5735E31D0A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2" name="TextBox 3092">
          <a:extLst>
            <a:ext uri="{FF2B5EF4-FFF2-40B4-BE49-F238E27FC236}">
              <a16:creationId xmlns:a16="http://schemas.microsoft.com/office/drawing/2014/main" id="{BFD42A8A-2A7A-4CC1-8E3B-D5C5EFBF284F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3" name="TextBox 3093">
          <a:extLst>
            <a:ext uri="{FF2B5EF4-FFF2-40B4-BE49-F238E27FC236}">
              <a16:creationId xmlns:a16="http://schemas.microsoft.com/office/drawing/2014/main" id="{CAD3F8BC-6A1B-4523-9BCE-1BA7921BCAA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4" name="TextBox 3094">
          <a:extLst>
            <a:ext uri="{FF2B5EF4-FFF2-40B4-BE49-F238E27FC236}">
              <a16:creationId xmlns:a16="http://schemas.microsoft.com/office/drawing/2014/main" id="{8B9C167C-D875-45B6-B254-A11D0D747DB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5" name="TextBox 3095">
          <a:extLst>
            <a:ext uri="{FF2B5EF4-FFF2-40B4-BE49-F238E27FC236}">
              <a16:creationId xmlns:a16="http://schemas.microsoft.com/office/drawing/2014/main" id="{D3CBBB31-8AFF-4C36-BFF4-2323A94BC368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6" name="TextBox 3096">
          <a:extLst>
            <a:ext uri="{FF2B5EF4-FFF2-40B4-BE49-F238E27FC236}">
              <a16:creationId xmlns:a16="http://schemas.microsoft.com/office/drawing/2014/main" id="{81F815A6-EBB4-4828-A2DC-21976082FFD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7" name="TextBox 3097">
          <a:extLst>
            <a:ext uri="{FF2B5EF4-FFF2-40B4-BE49-F238E27FC236}">
              <a16:creationId xmlns:a16="http://schemas.microsoft.com/office/drawing/2014/main" id="{E9546C07-A894-4C70-BDCC-0578C26082D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8" name="TextBox 3098">
          <a:extLst>
            <a:ext uri="{FF2B5EF4-FFF2-40B4-BE49-F238E27FC236}">
              <a16:creationId xmlns:a16="http://schemas.microsoft.com/office/drawing/2014/main" id="{3A864A1A-B718-4479-802C-B87952C6ADC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89" name="TextBox 3099">
          <a:extLst>
            <a:ext uri="{FF2B5EF4-FFF2-40B4-BE49-F238E27FC236}">
              <a16:creationId xmlns:a16="http://schemas.microsoft.com/office/drawing/2014/main" id="{3EF48650-1009-4262-96E5-776333C2F27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0" name="TextBox 3100">
          <a:extLst>
            <a:ext uri="{FF2B5EF4-FFF2-40B4-BE49-F238E27FC236}">
              <a16:creationId xmlns:a16="http://schemas.microsoft.com/office/drawing/2014/main" id="{C7792E69-5355-40F6-9526-C0B1BABF68AF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1" name="TextBox 3101">
          <a:extLst>
            <a:ext uri="{FF2B5EF4-FFF2-40B4-BE49-F238E27FC236}">
              <a16:creationId xmlns:a16="http://schemas.microsoft.com/office/drawing/2014/main" id="{4D9FD542-EEEF-47A5-93A7-089B94B6A0A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2" name="TextBox 13">
          <a:extLst>
            <a:ext uri="{FF2B5EF4-FFF2-40B4-BE49-F238E27FC236}">
              <a16:creationId xmlns:a16="http://schemas.microsoft.com/office/drawing/2014/main" id="{15E9BB3A-28F7-44E5-9EAF-1F79462E60A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3" name="TextBox 14">
          <a:extLst>
            <a:ext uri="{FF2B5EF4-FFF2-40B4-BE49-F238E27FC236}">
              <a16:creationId xmlns:a16="http://schemas.microsoft.com/office/drawing/2014/main" id="{5A2D1F67-17F0-4F4A-BF41-0433C324927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4" name="TextBox 3104">
          <a:extLst>
            <a:ext uri="{FF2B5EF4-FFF2-40B4-BE49-F238E27FC236}">
              <a16:creationId xmlns:a16="http://schemas.microsoft.com/office/drawing/2014/main" id="{94913C95-2FAD-4172-AF52-978F3F8F2A3C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5" name="TextBox 3105">
          <a:extLst>
            <a:ext uri="{FF2B5EF4-FFF2-40B4-BE49-F238E27FC236}">
              <a16:creationId xmlns:a16="http://schemas.microsoft.com/office/drawing/2014/main" id="{B894CF2F-2861-48DD-B5E4-33711B3A370A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6" name="TextBox 3106">
          <a:extLst>
            <a:ext uri="{FF2B5EF4-FFF2-40B4-BE49-F238E27FC236}">
              <a16:creationId xmlns:a16="http://schemas.microsoft.com/office/drawing/2014/main" id="{B902096E-0B13-4E31-9EE0-0E2A0E7C9734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7" name="TextBox 3107">
          <a:extLst>
            <a:ext uri="{FF2B5EF4-FFF2-40B4-BE49-F238E27FC236}">
              <a16:creationId xmlns:a16="http://schemas.microsoft.com/office/drawing/2014/main" id="{D9A58804-7EEF-4F54-AD28-1BDB1D5AA7C2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8" name="TextBox 15">
          <a:extLst>
            <a:ext uri="{FF2B5EF4-FFF2-40B4-BE49-F238E27FC236}">
              <a16:creationId xmlns:a16="http://schemas.microsoft.com/office/drawing/2014/main" id="{A8D09C46-4BCD-418B-BD2E-BA7A6B1ED6F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499" name="TextBox 16">
          <a:extLst>
            <a:ext uri="{FF2B5EF4-FFF2-40B4-BE49-F238E27FC236}">
              <a16:creationId xmlns:a16="http://schemas.microsoft.com/office/drawing/2014/main" id="{3705B42F-D0FA-4785-B3CB-4E974F613B09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0" name="TextBox 17">
          <a:extLst>
            <a:ext uri="{FF2B5EF4-FFF2-40B4-BE49-F238E27FC236}">
              <a16:creationId xmlns:a16="http://schemas.microsoft.com/office/drawing/2014/main" id="{28782512-116A-4541-AD5E-6567C0B3C95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1" name="TextBox 18">
          <a:extLst>
            <a:ext uri="{FF2B5EF4-FFF2-40B4-BE49-F238E27FC236}">
              <a16:creationId xmlns:a16="http://schemas.microsoft.com/office/drawing/2014/main" id="{B1CE9967-2813-4D62-A356-BDE68F844D0C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2" name="TextBox 3112">
          <a:extLst>
            <a:ext uri="{FF2B5EF4-FFF2-40B4-BE49-F238E27FC236}">
              <a16:creationId xmlns:a16="http://schemas.microsoft.com/office/drawing/2014/main" id="{D5D7402B-F68C-4AAB-9FAB-2B22ADDD43FA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3" name="TextBox 3113">
          <a:extLst>
            <a:ext uri="{FF2B5EF4-FFF2-40B4-BE49-F238E27FC236}">
              <a16:creationId xmlns:a16="http://schemas.microsoft.com/office/drawing/2014/main" id="{A6E29BFF-6CB0-4E31-8B81-E41DA604513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4" name="TextBox 1">
          <a:extLst>
            <a:ext uri="{FF2B5EF4-FFF2-40B4-BE49-F238E27FC236}">
              <a16:creationId xmlns:a16="http://schemas.microsoft.com/office/drawing/2014/main" id="{ADB205BC-8948-4969-B4B5-97D7EF83E58E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5" name="TextBox 3">
          <a:extLst>
            <a:ext uri="{FF2B5EF4-FFF2-40B4-BE49-F238E27FC236}">
              <a16:creationId xmlns:a16="http://schemas.microsoft.com/office/drawing/2014/main" id="{227ECC3D-8555-462A-B896-6FB15EB9FB1E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6" name="TextBox 3116">
          <a:extLst>
            <a:ext uri="{FF2B5EF4-FFF2-40B4-BE49-F238E27FC236}">
              <a16:creationId xmlns:a16="http://schemas.microsoft.com/office/drawing/2014/main" id="{DC5C0857-A73A-4352-ADF8-93921E291214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7" name="TextBox 3117">
          <a:extLst>
            <a:ext uri="{FF2B5EF4-FFF2-40B4-BE49-F238E27FC236}">
              <a16:creationId xmlns:a16="http://schemas.microsoft.com/office/drawing/2014/main" id="{64BCC02A-80EC-47DD-9DBE-213470FCD69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8" name="TextBox 3118">
          <a:extLst>
            <a:ext uri="{FF2B5EF4-FFF2-40B4-BE49-F238E27FC236}">
              <a16:creationId xmlns:a16="http://schemas.microsoft.com/office/drawing/2014/main" id="{3CD6D7D6-88F3-48C4-A301-F57CA0EC08A2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09" name="TextBox 3119">
          <a:extLst>
            <a:ext uri="{FF2B5EF4-FFF2-40B4-BE49-F238E27FC236}">
              <a16:creationId xmlns:a16="http://schemas.microsoft.com/office/drawing/2014/main" id="{606D8CB9-D008-4BE2-8C37-612EAF68099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0" name="TextBox 3120">
          <a:extLst>
            <a:ext uri="{FF2B5EF4-FFF2-40B4-BE49-F238E27FC236}">
              <a16:creationId xmlns:a16="http://schemas.microsoft.com/office/drawing/2014/main" id="{869F4B89-6D8A-4A80-8D76-174D41AD39C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1" name="TextBox 3121">
          <a:extLst>
            <a:ext uri="{FF2B5EF4-FFF2-40B4-BE49-F238E27FC236}">
              <a16:creationId xmlns:a16="http://schemas.microsoft.com/office/drawing/2014/main" id="{0F8FB20A-D322-43A2-8E6C-9AD2316E9F1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2" name="TextBox 3122">
          <a:extLst>
            <a:ext uri="{FF2B5EF4-FFF2-40B4-BE49-F238E27FC236}">
              <a16:creationId xmlns:a16="http://schemas.microsoft.com/office/drawing/2014/main" id="{17130CB4-5738-4D00-B142-7427317DEAE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3" name="TextBox 3123">
          <a:extLst>
            <a:ext uri="{FF2B5EF4-FFF2-40B4-BE49-F238E27FC236}">
              <a16:creationId xmlns:a16="http://schemas.microsoft.com/office/drawing/2014/main" id="{1BC90B48-D614-46CA-9E73-F4391BD6A8DB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4" name="TextBox 3124">
          <a:extLst>
            <a:ext uri="{FF2B5EF4-FFF2-40B4-BE49-F238E27FC236}">
              <a16:creationId xmlns:a16="http://schemas.microsoft.com/office/drawing/2014/main" id="{A75D0E54-ED96-44E1-8889-70F66EF62B08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5" name="TextBox 3125">
          <a:extLst>
            <a:ext uri="{FF2B5EF4-FFF2-40B4-BE49-F238E27FC236}">
              <a16:creationId xmlns:a16="http://schemas.microsoft.com/office/drawing/2014/main" id="{930B76A1-EE56-46A5-AF86-B0AF8B24574E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6" name="TextBox 13">
          <a:extLst>
            <a:ext uri="{FF2B5EF4-FFF2-40B4-BE49-F238E27FC236}">
              <a16:creationId xmlns:a16="http://schemas.microsoft.com/office/drawing/2014/main" id="{9161769E-E31C-469C-8E26-7E9738E478F3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7" name="TextBox 14">
          <a:extLst>
            <a:ext uri="{FF2B5EF4-FFF2-40B4-BE49-F238E27FC236}">
              <a16:creationId xmlns:a16="http://schemas.microsoft.com/office/drawing/2014/main" id="{9224D773-CE27-4125-971B-4B21B656927D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8" name="TextBox 3128">
          <a:extLst>
            <a:ext uri="{FF2B5EF4-FFF2-40B4-BE49-F238E27FC236}">
              <a16:creationId xmlns:a16="http://schemas.microsoft.com/office/drawing/2014/main" id="{092DDF56-910C-4B68-B7E9-794A8BB883D5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19" name="TextBox 3129">
          <a:extLst>
            <a:ext uri="{FF2B5EF4-FFF2-40B4-BE49-F238E27FC236}">
              <a16:creationId xmlns:a16="http://schemas.microsoft.com/office/drawing/2014/main" id="{1D647FFA-EDB7-486B-A2D3-74D9506AB06F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0" name="TextBox 3130">
          <a:extLst>
            <a:ext uri="{FF2B5EF4-FFF2-40B4-BE49-F238E27FC236}">
              <a16:creationId xmlns:a16="http://schemas.microsoft.com/office/drawing/2014/main" id="{A351F397-2C2A-452F-AF36-5CA614FBD8A8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1" name="TextBox 3131">
          <a:extLst>
            <a:ext uri="{FF2B5EF4-FFF2-40B4-BE49-F238E27FC236}">
              <a16:creationId xmlns:a16="http://schemas.microsoft.com/office/drawing/2014/main" id="{BEE026A8-D3EF-4256-A84F-D35A17CD7857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2" name="TextBox 15">
          <a:extLst>
            <a:ext uri="{FF2B5EF4-FFF2-40B4-BE49-F238E27FC236}">
              <a16:creationId xmlns:a16="http://schemas.microsoft.com/office/drawing/2014/main" id="{80EF2192-9E42-422E-A1C4-555D8712A6D8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3" name="TextBox 16">
          <a:extLst>
            <a:ext uri="{FF2B5EF4-FFF2-40B4-BE49-F238E27FC236}">
              <a16:creationId xmlns:a16="http://schemas.microsoft.com/office/drawing/2014/main" id="{30A2B3C7-A452-4910-B290-53399E2020A5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4" name="TextBox 17">
          <a:extLst>
            <a:ext uri="{FF2B5EF4-FFF2-40B4-BE49-F238E27FC236}">
              <a16:creationId xmlns:a16="http://schemas.microsoft.com/office/drawing/2014/main" id="{82B84D90-1CD9-4012-A1E8-0C1266656573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5" name="TextBox 18">
          <a:extLst>
            <a:ext uri="{FF2B5EF4-FFF2-40B4-BE49-F238E27FC236}">
              <a16:creationId xmlns:a16="http://schemas.microsoft.com/office/drawing/2014/main" id="{6A0B959C-B79E-4BEB-B526-D87E65F920D1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6" name="TextBox 3136">
          <a:extLst>
            <a:ext uri="{FF2B5EF4-FFF2-40B4-BE49-F238E27FC236}">
              <a16:creationId xmlns:a16="http://schemas.microsoft.com/office/drawing/2014/main" id="{0CF027D1-4AD9-4AF5-9B1D-0936D44FF473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7" name="TextBox 3137">
          <a:extLst>
            <a:ext uri="{FF2B5EF4-FFF2-40B4-BE49-F238E27FC236}">
              <a16:creationId xmlns:a16="http://schemas.microsoft.com/office/drawing/2014/main" id="{9582ABDF-63BE-4AF1-B81C-B3B5A4C6E541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8" name="TextBox 1">
          <a:extLst>
            <a:ext uri="{FF2B5EF4-FFF2-40B4-BE49-F238E27FC236}">
              <a16:creationId xmlns:a16="http://schemas.microsoft.com/office/drawing/2014/main" id="{E4BA48B1-8352-446F-9522-9A45F8774F88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29" name="TextBox 3">
          <a:extLst>
            <a:ext uri="{FF2B5EF4-FFF2-40B4-BE49-F238E27FC236}">
              <a16:creationId xmlns:a16="http://schemas.microsoft.com/office/drawing/2014/main" id="{3E15A757-F4C8-44D3-AC15-2B27897C25E9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0" name="TextBox 3140">
          <a:extLst>
            <a:ext uri="{FF2B5EF4-FFF2-40B4-BE49-F238E27FC236}">
              <a16:creationId xmlns:a16="http://schemas.microsoft.com/office/drawing/2014/main" id="{8608FB5A-4277-4E5E-AEC0-DDD33E7010E8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1" name="TextBox 3141">
          <a:extLst>
            <a:ext uri="{FF2B5EF4-FFF2-40B4-BE49-F238E27FC236}">
              <a16:creationId xmlns:a16="http://schemas.microsoft.com/office/drawing/2014/main" id="{DD263B03-FFF5-4B4F-9B05-EC29E8ADCCC9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2" name="TextBox 3142">
          <a:extLst>
            <a:ext uri="{FF2B5EF4-FFF2-40B4-BE49-F238E27FC236}">
              <a16:creationId xmlns:a16="http://schemas.microsoft.com/office/drawing/2014/main" id="{F1E7F2E6-2537-46E5-9E48-8345814FF939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3" name="TextBox 3143">
          <a:extLst>
            <a:ext uri="{FF2B5EF4-FFF2-40B4-BE49-F238E27FC236}">
              <a16:creationId xmlns:a16="http://schemas.microsoft.com/office/drawing/2014/main" id="{4A2B094A-C780-4096-A384-DD204FCD27DF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4" name="TextBox 3144">
          <a:extLst>
            <a:ext uri="{FF2B5EF4-FFF2-40B4-BE49-F238E27FC236}">
              <a16:creationId xmlns:a16="http://schemas.microsoft.com/office/drawing/2014/main" id="{2DD0853A-022F-4833-A632-3A98BE050710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5" name="TextBox 3145">
          <a:extLst>
            <a:ext uri="{FF2B5EF4-FFF2-40B4-BE49-F238E27FC236}">
              <a16:creationId xmlns:a16="http://schemas.microsoft.com/office/drawing/2014/main" id="{C89DA743-151A-459A-9BE1-0472F22314B6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6" name="TextBox 3146">
          <a:extLst>
            <a:ext uri="{FF2B5EF4-FFF2-40B4-BE49-F238E27FC236}">
              <a16:creationId xmlns:a16="http://schemas.microsoft.com/office/drawing/2014/main" id="{7115C115-F8F8-448F-8B56-71397DA8775E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7" name="TextBox 3147">
          <a:extLst>
            <a:ext uri="{FF2B5EF4-FFF2-40B4-BE49-F238E27FC236}">
              <a16:creationId xmlns:a16="http://schemas.microsoft.com/office/drawing/2014/main" id="{560E73AC-50E8-485C-B43B-C6452F0720D5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8" name="TextBox 3148">
          <a:extLst>
            <a:ext uri="{FF2B5EF4-FFF2-40B4-BE49-F238E27FC236}">
              <a16:creationId xmlns:a16="http://schemas.microsoft.com/office/drawing/2014/main" id="{0A226721-D90E-4AC6-9A13-3D86BC44B649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39" name="TextBox 3149">
          <a:extLst>
            <a:ext uri="{FF2B5EF4-FFF2-40B4-BE49-F238E27FC236}">
              <a16:creationId xmlns:a16="http://schemas.microsoft.com/office/drawing/2014/main" id="{10D8F5BB-8869-49D0-885C-32D3EE71FBCF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0" name="TextBox 13">
          <a:extLst>
            <a:ext uri="{FF2B5EF4-FFF2-40B4-BE49-F238E27FC236}">
              <a16:creationId xmlns:a16="http://schemas.microsoft.com/office/drawing/2014/main" id="{9F28C519-6D2A-485E-AA07-31AAA72394F1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1" name="TextBox 14">
          <a:extLst>
            <a:ext uri="{FF2B5EF4-FFF2-40B4-BE49-F238E27FC236}">
              <a16:creationId xmlns:a16="http://schemas.microsoft.com/office/drawing/2014/main" id="{1B122071-6612-4E1B-950D-E35721EC5333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2" name="TextBox 3152">
          <a:extLst>
            <a:ext uri="{FF2B5EF4-FFF2-40B4-BE49-F238E27FC236}">
              <a16:creationId xmlns:a16="http://schemas.microsoft.com/office/drawing/2014/main" id="{C61F8FFB-9788-4790-AC53-35C9A0A059E0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3" name="TextBox 3153">
          <a:extLst>
            <a:ext uri="{FF2B5EF4-FFF2-40B4-BE49-F238E27FC236}">
              <a16:creationId xmlns:a16="http://schemas.microsoft.com/office/drawing/2014/main" id="{00C21334-205D-4F18-8EE6-E1DF8AEA10B1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4" name="TextBox 3154">
          <a:extLst>
            <a:ext uri="{FF2B5EF4-FFF2-40B4-BE49-F238E27FC236}">
              <a16:creationId xmlns:a16="http://schemas.microsoft.com/office/drawing/2014/main" id="{5E895C2B-93C7-44F9-9D69-7E6B4C94F01A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5" name="TextBox 3155">
          <a:extLst>
            <a:ext uri="{FF2B5EF4-FFF2-40B4-BE49-F238E27FC236}">
              <a16:creationId xmlns:a16="http://schemas.microsoft.com/office/drawing/2014/main" id="{156C186A-A55E-40F9-9720-F8A73B04707B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6" name="TextBox 15">
          <a:extLst>
            <a:ext uri="{FF2B5EF4-FFF2-40B4-BE49-F238E27FC236}">
              <a16:creationId xmlns:a16="http://schemas.microsoft.com/office/drawing/2014/main" id="{C471ED48-93FD-4AED-AB25-0383B77B54D5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7" name="TextBox 16">
          <a:extLst>
            <a:ext uri="{FF2B5EF4-FFF2-40B4-BE49-F238E27FC236}">
              <a16:creationId xmlns:a16="http://schemas.microsoft.com/office/drawing/2014/main" id="{403412C3-C6AF-432E-AB8B-7775EB3FA09C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8" name="TextBox 17">
          <a:extLst>
            <a:ext uri="{FF2B5EF4-FFF2-40B4-BE49-F238E27FC236}">
              <a16:creationId xmlns:a16="http://schemas.microsoft.com/office/drawing/2014/main" id="{05A4555C-60B0-4E7E-B258-F5D991DD6837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49" name="TextBox 18">
          <a:extLst>
            <a:ext uri="{FF2B5EF4-FFF2-40B4-BE49-F238E27FC236}">
              <a16:creationId xmlns:a16="http://schemas.microsoft.com/office/drawing/2014/main" id="{37B61C86-6F8A-4786-9CAB-1E87884CDF4E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0" name="TextBox 3160">
          <a:extLst>
            <a:ext uri="{FF2B5EF4-FFF2-40B4-BE49-F238E27FC236}">
              <a16:creationId xmlns:a16="http://schemas.microsoft.com/office/drawing/2014/main" id="{BE83B0AE-1F58-4D05-922D-7817936BD1F1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1" name="TextBox 3161">
          <a:extLst>
            <a:ext uri="{FF2B5EF4-FFF2-40B4-BE49-F238E27FC236}">
              <a16:creationId xmlns:a16="http://schemas.microsoft.com/office/drawing/2014/main" id="{46F3DDAF-FACC-46A1-A591-6981A0DF0BD7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2" name="TextBox 1">
          <a:extLst>
            <a:ext uri="{FF2B5EF4-FFF2-40B4-BE49-F238E27FC236}">
              <a16:creationId xmlns:a16="http://schemas.microsoft.com/office/drawing/2014/main" id="{7399CEE0-CEC1-4D42-BF2A-87B3FA9071B4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3" name="TextBox 3">
          <a:extLst>
            <a:ext uri="{FF2B5EF4-FFF2-40B4-BE49-F238E27FC236}">
              <a16:creationId xmlns:a16="http://schemas.microsoft.com/office/drawing/2014/main" id="{842095AD-1FA2-4209-8243-C75C866D6F66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4" name="TextBox 3164">
          <a:extLst>
            <a:ext uri="{FF2B5EF4-FFF2-40B4-BE49-F238E27FC236}">
              <a16:creationId xmlns:a16="http://schemas.microsoft.com/office/drawing/2014/main" id="{5617A0D1-4124-40A7-B087-007EC50A0443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5" name="TextBox 3165">
          <a:extLst>
            <a:ext uri="{FF2B5EF4-FFF2-40B4-BE49-F238E27FC236}">
              <a16:creationId xmlns:a16="http://schemas.microsoft.com/office/drawing/2014/main" id="{870CB5D3-B45B-4B6F-B5EC-C37BA34103AD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6" name="TextBox 3166">
          <a:extLst>
            <a:ext uri="{FF2B5EF4-FFF2-40B4-BE49-F238E27FC236}">
              <a16:creationId xmlns:a16="http://schemas.microsoft.com/office/drawing/2014/main" id="{9B77C5AB-D9A6-457F-9A3E-701E750A7DE2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7" name="TextBox 3167">
          <a:extLst>
            <a:ext uri="{FF2B5EF4-FFF2-40B4-BE49-F238E27FC236}">
              <a16:creationId xmlns:a16="http://schemas.microsoft.com/office/drawing/2014/main" id="{A2946AAA-CB9A-45B8-85A4-61A41A20D1E8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8" name="TextBox 3168">
          <a:extLst>
            <a:ext uri="{FF2B5EF4-FFF2-40B4-BE49-F238E27FC236}">
              <a16:creationId xmlns:a16="http://schemas.microsoft.com/office/drawing/2014/main" id="{CEC23136-13D2-4F87-95F3-DEAA426CDA05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59" name="TextBox 3169">
          <a:extLst>
            <a:ext uri="{FF2B5EF4-FFF2-40B4-BE49-F238E27FC236}">
              <a16:creationId xmlns:a16="http://schemas.microsoft.com/office/drawing/2014/main" id="{C7897921-EB54-4116-82AA-7277DEA04348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0" name="TextBox 3170">
          <a:extLst>
            <a:ext uri="{FF2B5EF4-FFF2-40B4-BE49-F238E27FC236}">
              <a16:creationId xmlns:a16="http://schemas.microsoft.com/office/drawing/2014/main" id="{15D8FA84-299E-4A2D-A239-AF857FA8BD62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1" name="TextBox 3171">
          <a:extLst>
            <a:ext uri="{FF2B5EF4-FFF2-40B4-BE49-F238E27FC236}">
              <a16:creationId xmlns:a16="http://schemas.microsoft.com/office/drawing/2014/main" id="{5B9FE02E-F17B-4D2A-9339-773A896DFB54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2" name="TextBox 3172">
          <a:extLst>
            <a:ext uri="{FF2B5EF4-FFF2-40B4-BE49-F238E27FC236}">
              <a16:creationId xmlns:a16="http://schemas.microsoft.com/office/drawing/2014/main" id="{5D423777-259F-4DCB-8976-DCDC1B00E72B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3" name="TextBox 3173">
          <a:extLst>
            <a:ext uri="{FF2B5EF4-FFF2-40B4-BE49-F238E27FC236}">
              <a16:creationId xmlns:a16="http://schemas.microsoft.com/office/drawing/2014/main" id="{AC097CB9-9700-4D90-86F5-5625B85C6F24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4" name="TextBox 13">
          <a:extLst>
            <a:ext uri="{FF2B5EF4-FFF2-40B4-BE49-F238E27FC236}">
              <a16:creationId xmlns:a16="http://schemas.microsoft.com/office/drawing/2014/main" id="{337C22CD-7DB4-4DF2-AF43-B0D2D424732E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5" name="TextBox 14">
          <a:extLst>
            <a:ext uri="{FF2B5EF4-FFF2-40B4-BE49-F238E27FC236}">
              <a16:creationId xmlns:a16="http://schemas.microsoft.com/office/drawing/2014/main" id="{0067077A-62D1-471D-9A6D-6E92E09FF050}"/>
            </a:ext>
          </a:extLst>
        </xdr:cNvPr>
        <xdr:cNvSpPr txBox="1"/>
      </xdr:nvSpPr>
      <xdr:spPr>
        <a:xfrm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6" name="TextBox 3176">
          <a:extLst>
            <a:ext uri="{FF2B5EF4-FFF2-40B4-BE49-F238E27FC236}">
              <a16:creationId xmlns:a16="http://schemas.microsoft.com/office/drawing/2014/main" id="{FA781DDD-8728-4284-8DD1-69F9F2942A68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7" name="TextBox 3177">
          <a:extLst>
            <a:ext uri="{FF2B5EF4-FFF2-40B4-BE49-F238E27FC236}">
              <a16:creationId xmlns:a16="http://schemas.microsoft.com/office/drawing/2014/main" id="{3DD8D292-B857-4155-8BAD-DDBD8633BA33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8" name="TextBox 3178">
          <a:extLst>
            <a:ext uri="{FF2B5EF4-FFF2-40B4-BE49-F238E27FC236}">
              <a16:creationId xmlns:a16="http://schemas.microsoft.com/office/drawing/2014/main" id="{61D3CCE3-67CA-418A-8BEF-0EB4F28ECF57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69" name="TextBox 3179">
          <a:extLst>
            <a:ext uri="{FF2B5EF4-FFF2-40B4-BE49-F238E27FC236}">
              <a16:creationId xmlns:a16="http://schemas.microsoft.com/office/drawing/2014/main" id="{A9AD5780-7A56-4F60-8AB1-E2AE01D7921C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0" name="TextBox 15">
          <a:extLst>
            <a:ext uri="{FF2B5EF4-FFF2-40B4-BE49-F238E27FC236}">
              <a16:creationId xmlns:a16="http://schemas.microsoft.com/office/drawing/2014/main" id="{1A27E293-0C80-4A42-A1D6-58631FD0DC97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1" name="TextBox 16">
          <a:extLst>
            <a:ext uri="{FF2B5EF4-FFF2-40B4-BE49-F238E27FC236}">
              <a16:creationId xmlns:a16="http://schemas.microsoft.com/office/drawing/2014/main" id="{5C8ACF5A-8C08-46FA-A341-09924F018406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2" name="TextBox 17">
          <a:extLst>
            <a:ext uri="{FF2B5EF4-FFF2-40B4-BE49-F238E27FC236}">
              <a16:creationId xmlns:a16="http://schemas.microsoft.com/office/drawing/2014/main" id="{B8A361F6-0067-4CA3-8F7A-DD3C0E200BDB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3" name="TextBox 18">
          <a:extLst>
            <a:ext uri="{FF2B5EF4-FFF2-40B4-BE49-F238E27FC236}">
              <a16:creationId xmlns:a16="http://schemas.microsoft.com/office/drawing/2014/main" id="{1A894A34-AF7F-4F4A-A9A2-842425F29E6E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4" name="TextBox 3184">
          <a:extLst>
            <a:ext uri="{FF2B5EF4-FFF2-40B4-BE49-F238E27FC236}">
              <a16:creationId xmlns:a16="http://schemas.microsoft.com/office/drawing/2014/main" id="{3C667154-8BCE-4172-96CC-3431EDD26DB8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5" name="TextBox 3185">
          <a:extLst>
            <a:ext uri="{FF2B5EF4-FFF2-40B4-BE49-F238E27FC236}">
              <a16:creationId xmlns:a16="http://schemas.microsoft.com/office/drawing/2014/main" id="{C51DED52-B546-4865-A528-20F857BF93D2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6" name="TextBox 1">
          <a:extLst>
            <a:ext uri="{FF2B5EF4-FFF2-40B4-BE49-F238E27FC236}">
              <a16:creationId xmlns:a16="http://schemas.microsoft.com/office/drawing/2014/main" id="{BEE0A503-6FE7-4002-B278-C6AF951A41C9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7" name="TextBox 3">
          <a:extLst>
            <a:ext uri="{FF2B5EF4-FFF2-40B4-BE49-F238E27FC236}">
              <a16:creationId xmlns:a16="http://schemas.microsoft.com/office/drawing/2014/main" id="{A063E8BA-B17C-446B-8714-CBF2BC2A20AF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8" name="TextBox 3188">
          <a:extLst>
            <a:ext uri="{FF2B5EF4-FFF2-40B4-BE49-F238E27FC236}">
              <a16:creationId xmlns:a16="http://schemas.microsoft.com/office/drawing/2014/main" id="{192747CE-E9DD-4A0C-A75B-B80F549DA5D3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79" name="TextBox 3189">
          <a:extLst>
            <a:ext uri="{FF2B5EF4-FFF2-40B4-BE49-F238E27FC236}">
              <a16:creationId xmlns:a16="http://schemas.microsoft.com/office/drawing/2014/main" id="{6F38D135-7FBB-4EF0-B09E-B4B6F9D877F6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0" name="TextBox 3190">
          <a:extLst>
            <a:ext uri="{FF2B5EF4-FFF2-40B4-BE49-F238E27FC236}">
              <a16:creationId xmlns:a16="http://schemas.microsoft.com/office/drawing/2014/main" id="{AAB5952C-2022-49D7-AF2E-81BBC2EDEA43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1" name="TextBox 3191">
          <a:extLst>
            <a:ext uri="{FF2B5EF4-FFF2-40B4-BE49-F238E27FC236}">
              <a16:creationId xmlns:a16="http://schemas.microsoft.com/office/drawing/2014/main" id="{9BA9B540-B52C-4E70-8098-9FE0A4C77A38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2" name="TextBox 3192">
          <a:extLst>
            <a:ext uri="{FF2B5EF4-FFF2-40B4-BE49-F238E27FC236}">
              <a16:creationId xmlns:a16="http://schemas.microsoft.com/office/drawing/2014/main" id="{138BFB5A-482D-445C-8073-F3F420241AB9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3" name="TextBox 3193">
          <a:extLst>
            <a:ext uri="{FF2B5EF4-FFF2-40B4-BE49-F238E27FC236}">
              <a16:creationId xmlns:a16="http://schemas.microsoft.com/office/drawing/2014/main" id="{871D2E59-2F05-47D3-BD41-0C264BA64449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4" name="TextBox 3194">
          <a:extLst>
            <a:ext uri="{FF2B5EF4-FFF2-40B4-BE49-F238E27FC236}">
              <a16:creationId xmlns:a16="http://schemas.microsoft.com/office/drawing/2014/main" id="{7196AA22-07FA-43EC-8206-DDE4AACBF06B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5" name="TextBox 3195">
          <a:extLst>
            <a:ext uri="{FF2B5EF4-FFF2-40B4-BE49-F238E27FC236}">
              <a16:creationId xmlns:a16="http://schemas.microsoft.com/office/drawing/2014/main" id="{4150B68E-54A6-4BEC-8FC5-A9007CE5028C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6" name="TextBox 3196">
          <a:extLst>
            <a:ext uri="{FF2B5EF4-FFF2-40B4-BE49-F238E27FC236}">
              <a16:creationId xmlns:a16="http://schemas.microsoft.com/office/drawing/2014/main" id="{2D98FFD4-296D-4AC6-84E1-FFD216175DC3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7" name="TextBox 3197">
          <a:extLst>
            <a:ext uri="{FF2B5EF4-FFF2-40B4-BE49-F238E27FC236}">
              <a16:creationId xmlns:a16="http://schemas.microsoft.com/office/drawing/2014/main" id="{004430B5-1C61-4C57-A926-1B585DB12FDC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8" name="TextBox 13">
          <a:extLst>
            <a:ext uri="{FF2B5EF4-FFF2-40B4-BE49-F238E27FC236}">
              <a16:creationId xmlns:a16="http://schemas.microsoft.com/office/drawing/2014/main" id="{87E9A1B0-3633-4C7E-BACE-3996C27B1FFF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89" name="TextBox 14">
          <a:extLst>
            <a:ext uri="{FF2B5EF4-FFF2-40B4-BE49-F238E27FC236}">
              <a16:creationId xmlns:a16="http://schemas.microsoft.com/office/drawing/2014/main" id="{4F20B10B-8F11-482C-9372-E45D74B5F583}"/>
            </a:ext>
          </a:extLst>
        </xdr:cNvPr>
        <xdr:cNvSpPr txBox="1"/>
      </xdr:nvSpPr>
      <xdr:spPr>
        <a:xfrm>
          <a:off x="1909762" y="42119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0" name="TextBox 2">
          <a:extLst>
            <a:ext uri="{FF2B5EF4-FFF2-40B4-BE49-F238E27FC236}">
              <a16:creationId xmlns:a16="http://schemas.microsoft.com/office/drawing/2014/main" id="{DDF35410-90B2-4CCC-9471-E85B8A5BEBB9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1" name="TextBox 4">
          <a:extLst>
            <a:ext uri="{FF2B5EF4-FFF2-40B4-BE49-F238E27FC236}">
              <a16:creationId xmlns:a16="http://schemas.microsoft.com/office/drawing/2014/main" id="{523D6A34-147C-44B5-9F28-E365B020B33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2" name="TextBox 5">
          <a:extLst>
            <a:ext uri="{FF2B5EF4-FFF2-40B4-BE49-F238E27FC236}">
              <a16:creationId xmlns:a16="http://schemas.microsoft.com/office/drawing/2014/main" id="{19D62012-E639-4D4D-A549-EC579639CBD0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3" name="TextBox 6">
          <a:extLst>
            <a:ext uri="{FF2B5EF4-FFF2-40B4-BE49-F238E27FC236}">
              <a16:creationId xmlns:a16="http://schemas.microsoft.com/office/drawing/2014/main" id="{DEF1B8CA-EC06-40C6-934F-6813F0BBB83C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4" name="TextBox 7">
          <a:extLst>
            <a:ext uri="{FF2B5EF4-FFF2-40B4-BE49-F238E27FC236}">
              <a16:creationId xmlns:a16="http://schemas.microsoft.com/office/drawing/2014/main" id="{5B15EBC8-F363-451F-8710-DB6D4886C874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5" name="TextBox 8">
          <a:extLst>
            <a:ext uri="{FF2B5EF4-FFF2-40B4-BE49-F238E27FC236}">
              <a16:creationId xmlns:a16="http://schemas.microsoft.com/office/drawing/2014/main" id="{5ED3E7F4-FA61-44C9-87B0-1F418C4D416B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6" name="TextBox 2">
          <a:extLst>
            <a:ext uri="{FF2B5EF4-FFF2-40B4-BE49-F238E27FC236}">
              <a16:creationId xmlns:a16="http://schemas.microsoft.com/office/drawing/2014/main" id="{E96B60D6-BA41-4895-91ED-11E05E8CAA25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7" name="TextBox 4">
          <a:extLst>
            <a:ext uri="{FF2B5EF4-FFF2-40B4-BE49-F238E27FC236}">
              <a16:creationId xmlns:a16="http://schemas.microsoft.com/office/drawing/2014/main" id="{2ABF6297-EA1D-488B-A2D3-B843AD788C60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8" name="TextBox 5">
          <a:extLst>
            <a:ext uri="{FF2B5EF4-FFF2-40B4-BE49-F238E27FC236}">
              <a16:creationId xmlns:a16="http://schemas.microsoft.com/office/drawing/2014/main" id="{CEB51BA6-F633-485D-B94A-632EB80D08A0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599" name="TextBox 6">
          <a:extLst>
            <a:ext uri="{FF2B5EF4-FFF2-40B4-BE49-F238E27FC236}">
              <a16:creationId xmlns:a16="http://schemas.microsoft.com/office/drawing/2014/main" id="{BFCEBF61-08E5-4998-8726-E4D457D94C88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0" name="TextBox 7">
          <a:extLst>
            <a:ext uri="{FF2B5EF4-FFF2-40B4-BE49-F238E27FC236}">
              <a16:creationId xmlns:a16="http://schemas.microsoft.com/office/drawing/2014/main" id="{1DB16618-4800-4DD6-BC31-7598712058C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1" name="TextBox 8">
          <a:extLst>
            <a:ext uri="{FF2B5EF4-FFF2-40B4-BE49-F238E27FC236}">
              <a16:creationId xmlns:a16="http://schemas.microsoft.com/office/drawing/2014/main" id="{409203AD-4300-4D50-9370-3F6A09CEC69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2" name="TextBox 2">
          <a:extLst>
            <a:ext uri="{FF2B5EF4-FFF2-40B4-BE49-F238E27FC236}">
              <a16:creationId xmlns:a16="http://schemas.microsoft.com/office/drawing/2014/main" id="{D8BDA777-A84D-457B-B650-4FF032E05D3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3" name="TextBox 4">
          <a:extLst>
            <a:ext uri="{FF2B5EF4-FFF2-40B4-BE49-F238E27FC236}">
              <a16:creationId xmlns:a16="http://schemas.microsoft.com/office/drawing/2014/main" id="{C403650C-F9B1-4C55-956F-06C0F8F3D754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4" name="TextBox 5">
          <a:extLst>
            <a:ext uri="{FF2B5EF4-FFF2-40B4-BE49-F238E27FC236}">
              <a16:creationId xmlns:a16="http://schemas.microsoft.com/office/drawing/2014/main" id="{3D50C693-7C14-4668-ABE8-E129B51DBC93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5" name="TextBox 6">
          <a:extLst>
            <a:ext uri="{FF2B5EF4-FFF2-40B4-BE49-F238E27FC236}">
              <a16:creationId xmlns:a16="http://schemas.microsoft.com/office/drawing/2014/main" id="{DEC058E6-6A29-4A5E-B6AC-0730138294F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6" name="TextBox 7">
          <a:extLst>
            <a:ext uri="{FF2B5EF4-FFF2-40B4-BE49-F238E27FC236}">
              <a16:creationId xmlns:a16="http://schemas.microsoft.com/office/drawing/2014/main" id="{6D7BC198-AD2F-410D-89A1-8E9C6098818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7" name="TextBox 8">
          <a:extLst>
            <a:ext uri="{FF2B5EF4-FFF2-40B4-BE49-F238E27FC236}">
              <a16:creationId xmlns:a16="http://schemas.microsoft.com/office/drawing/2014/main" id="{499EB613-F84F-4BD0-9680-D107DB3DC4A9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8" name="TextBox 2">
          <a:extLst>
            <a:ext uri="{FF2B5EF4-FFF2-40B4-BE49-F238E27FC236}">
              <a16:creationId xmlns:a16="http://schemas.microsoft.com/office/drawing/2014/main" id="{62FBB7FE-BC70-4F60-B418-0F50793160EE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09" name="TextBox 4">
          <a:extLst>
            <a:ext uri="{FF2B5EF4-FFF2-40B4-BE49-F238E27FC236}">
              <a16:creationId xmlns:a16="http://schemas.microsoft.com/office/drawing/2014/main" id="{37DCF09B-DE3C-4BA0-ADE5-2F632716356C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0" name="TextBox 5">
          <a:extLst>
            <a:ext uri="{FF2B5EF4-FFF2-40B4-BE49-F238E27FC236}">
              <a16:creationId xmlns:a16="http://schemas.microsoft.com/office/drawing/2014/main" id="{4705D3D9-8F92-4CC9-B63A-B8A5F49C4A93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1" name="TextBox 6">
          <a:extLst>
            <a:ext uri="{FF2B5EF4-FFF2-40B4-BE49-F238E27FC236}">
              <a16:creationId xmlns:a16="http://schemas.microsoft.com/office/drawing/2014/main" id="{B7CD7AE7-7EEE-46A8-8C4E-BE331E07DFD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2" name="TextBox 7">
          <a:extLst>
            <a:ext uri="{FF2B5EF4-FFF2-40B4-BE49-F238E27FC236}">
              <a16:creationId xmlns:a16="http://schemas.microsoft.com/office/drawing/2014/main" id="{08D91311-66BD-49ED-8D92-4643DE8F902D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3" name="TextBox 8">
          <a:extLst>
            <a:ext uri="{FF2B5EF4-FFF2-40B4-BE49-F238E27FC236}">
              <a16:creationId xmlns:a16="http://schemas.microsoft.com/office/drawing/2014/main" id="{DBE730BD-7BAD-41AA-9471-C60E5C08B1CA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4" name="TextBox 2">
          <a:extLst>
            <a:ext uri="{FF2B5EF4-FFF2-40B4-BE49-F238E27FC236}">
              <a16:creationId xmlns:a16="http://schemas.microsoft.com/office/drawing/2014/main" id="{1967EACB-1B48-4A49-ABD7-98906B5203E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5" name="TextBox 4">
          <a:extLst>
            <a:ext uri="{FF2B5EF4-FFF2-40B4-BE49-F238E27FC236}">
              <a16:creationId xmlns:a16="http://schemas.microsoft.com/office/drawing/2014/main" id="{635EE01B-1C00-4D11-A2D3-662BBCB7760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6" name="TextBox 5">
          <a:extLst>
            <a:ext uri="{FF2B5EF4-FFF2-40B4-BE49-F238E27FC236}">
              <a16:creationId xmlns:a16="http://schemas.microsoft.com/office/drawing/2014/main" id="{BD08B945-5FCE-4029-A6D1-E7C4AEC61DF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7" name="TextBox 6">
          <a:extLst>
            <a:ext uri="{FF2B5EF4-FFF2-40B4-BE49-F238E27FC236}">
              <a16:creationId xmlns:a16="http://schemas.microsoft.com/office/drawing/2014/main" id="{76118A48-C7F7-4E0D-B66B-08A4DE36473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8" name="TextBox 7">
          <a:extLst>
            <a:ext uri="{FF2B5EF4-FFF2-40B4-BE49-F238E27FC236}">
              <a16:creationId xmlns:a16="http://schemas.microsoft.com/office/drawing/2014/main" id="{762A9517-547B-4FAE-933C-77332A9780E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19" name="TextBox 8">
          <a:extLst>
            <a:ext uri="{FF2B5EF4-FFF2-40B4-BE49-F238E27FC236}">
              <a16:creationId xmlns:a16="http://schemas.microsoft.com/office/drawing/2014/main" id="{2D123739-54CB-4EF1-9ECA-45CE5D9FB88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0" name="TextBox 2">
          <a:extLst>
            <a:ext uri="{FF2B5EF4-FFF2-40B4-BE49-F238E27FC236}">
              <a16:creationId xmlns:a16="http://schemas.microsoft.com/office/drawing/2014/main" id="{B84D3B58-B26E-4699-8AE1-D56E47C86CB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1" name="TextBox 4">
          <a:extLst>
            <a:ext uri="{FF2B5EF4-FFF2-40B4-BE49-F238E27FC236}">
              <a16:creationId xmlns:a16="http://schemas.microsoft.com/office/drawing/2014/main" id="{DC98EC30-067A-4C09-AA3B-FC69153F52F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2" name="TextBox 5">
          <a:extLst>
            <a:ext uri="{FF2B5EF4-FFF2-40B4-BE49-F238E27FC236}">
              <a16:creationId xmlns:a16="http://schemas.microsoft.com/office/drawing/2014/main" id="{CCC68855-1D86-4A8F-9E36-A024786CCB8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3" name="TextBox 6">
          <a:extLst>
            <a:ext uri="{FF2B5EF4-FFF2-40B4-BE49-F238E27FC236}">
              <a16:creationId xmlns:a16="http://schemas.microsoft.com/office/drawing/2014/main" id="{EE0E9BCB-A548-4E44-88AE-F4AAC90F9CD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4" name="TextBox 7">
          <a:extLst>
            <a:ext uri="{FF2B5EF4-FFF2-40B4-BE49-F238E27FC236}">
              <a16:creationId xmlns:a16="http://schemas.microsoft.com/office/drawing/2014/main" id="{935474CD-60BB-4675-B8D6-32DE01EE3F4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5" name="TextBox 8">
          <a:extLst>
            <a:ext uri="{FF2B5EF4-FFF2-40B4-BE49-F238E27FC236}">
              <a16:creationId xmlns:a16="http://schemas.microsoft.com/office/drawing/2014/main" id="{503583BD-C2A6-4AB4-B2EA-638997D3563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6" name="TextBox 2">
          <a:extLst>
            <a:ext uri="{FF2B5EF4-FFF2-40B4-BE49-F238E27FC236}">
              <a16:creationId xmlns:a16="http://schemas.microsoft.com/office/drawing/2014/main" id="{F2F0F1CD-58E0-4AF3-838D-BA241F0B3C6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7" name="TextBox 4">
          <a:extLst>
            <a:ext uri="{FF2B5EF4-FFF2-40B4-BE49-F238E27FC236}">
              <a16:creationId xmlns:a16="http://schemas.microsoft.com/office/drawing/2014/main" id="{963EAB2A-B2F8-4C13-81C5-08031E18A22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8" name="TextBox 5">
          <a:extLst>
            <a:ext uri="{FF2B5EF4-FFF2-40B4-BE49-F238E27FC236}">
              <a16:creationId xmlns:a16="http://schemas.microsoft.com/office/drawing/2014/main" id="{1C593415-3CDA-4FE6-86CD-729AEB3026B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29" name="TextBox 6">
          <a:extLst>
            <a:ext uri="{FF2B5EF4-FFF2-40B4-BE49-F238E27FC236}">
              <a16:creationId xmlns:a16="http://schemas.microsoft.com/office/drawing/2014/main" id="{411F4559-EA37-4134-8136-D3932FD0542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0" name="TextBox 7">
          <a:extLst>
            <a:ext uri="{FF2B5EF4-FFF2-40B4-BE49-F238E27FC236}">
              <a16:creationId xmlns:a16="http://schemas.microsoft.com/office/drawing/2014/main" id="{F483DF3D-A5F1-4BAA-8AA2-23C7304DAE0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1" name="TextBox 8">
          <a:extLst>
            <a:ext uri="{FF2B5EF4-FFF2-40B4-BE49-F238E27FC236}">
              <a16:creationId xmlns:a16="http://schemas.microsoft.com/office/drawing/2014/main" id="{E53E686A-6DC1-43C4-BC9E-6E70AC5CFE4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2" name="TextBox 2">
          <a:extLst>
            <a:ext uri="{FF2B5EF4-FFF2-40B4-BE49-F238E27FC236}">
              <a16:creationId xmlns:a16="http://schemas.microsoft.com/office/drawing/2014/main" id="{0F5296DC-615E-4BEC-8634-3AA5CF2782E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3" name="TextBox 4">
          <a:extLst>
            <a:ext uri="{FF2B5EF4-FFF2-40B4-BE49-F238E27FC236}">
              <a16:creationId xmlns:a16="http://schemas.microsoft.com/office/drawing/2014/main" id="{80702FF1-F476-45E7-BE5B-6309C0DEF4F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4" name="TextBox 5">
          <a:extLst>
            <a:ext uri="{FF2B5EF4-FFF2-40B4-BE49-F238E27FC236}">
              <a16:creationId xmlns:a16="http://schemas.microsoft.com/office/drawing/2014/main" id="{040DD860-E0DD-4F72-B328-B8C55BB989F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5" name="TextBox 6">
          <a:extLst>
            <a:ext uri="{FF2B5EF4-FFF2-40B4-BE49-F238E27FC236}">
              <a16:creationId xmlns:a16="http://schemas.microsoft.com/office/drawing/2014/main" id="{F619F995-72F1-4CB3-BD03-1E6D9C50303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6" name="TextBox 7">
          <a:extLst>
            <a:ext uri="{FF2B5EF4-FFF2-40B4-BE49-F238E27FC236}">
              <a16:creationId xmlns:a16="http://schemas.microsoft.com/office/drawing/2014/main" id="{085B7FD5-FBD9-4E56-8C2C-95DC17189E5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7" name="TextBox 8">
          <a:extLst>
            <a:ext uri="{FF2B5EF4-FFF2-40B4-BE49-F238E27FC236}">
              <a16:creationId xmlns:a16="http://schemas.microsoft.com/office/drawing/2014/main" id="{7EB8F3CC-E53E-4A75-B94D-36CE449DD8D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8" name="TextBox 2">
          <a:extLst>
            <a:ext uri="{FF2B5EF4-FFF2-40B4-BE49-F238E27FC236}">
              <a16:creationId xmlns:a16="http://schemas.microsoft.com/office/drawing/2014/main" id="{66469711-B44D-4AF0-9A9D-7091A458EC8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39" name="TextBox 4">
          <a:extLst>
            <a:ext uri="{FF2B5EF4-FFF2-40B4-BE49-F238E27FC236}">
              <a16:creationId xmlns:a16="http://schemas.microsoft.com/office/drawing/2014/main" id="{977CFAA6-01B5-4DCF-8FF6-CCB4470855A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0" name="TextBox 5">
          <a:extLst>
            <a:ext uri="{FF2B5EF4-FFF2-40B4-BE49-F238E27FC236}">
              <a16:creationId xmlns:a16="http://schemas.microsoft.com/office/drawing/2014/main" id="{7AA27EAB-DCC5-4309-AAE1-28EECF8C6F9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1" name="TextBox 6">
          <a:extLst>
            <a:ext uri="{FF2B5EF4-FFF2-40B4-BE49-F238E27FC236}">
              <a16:creationId xmlns:a16="http://schemas.microsoft.com/office/drawing/2014/main" id="{EA883C47-AF59-4CB8-A7BF-29D44C21C47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2" name="TextBox 7">
          <a:extLst>
            <a:ext uri="{FF2B5EF4-FFF2-40B4-BE49-F238E27FC236}">
              <a16:creationId xmlns:a16="http://schemas.microsoft.com/office/drawing/2014/main" id="{24C650F4-DC2E-4BB3-A19D-1183F943EC0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3" name="TextBox 8">
          <a:extLst>
            <a:ext uri="{FF2B5EF4-FFF2-40B4-BE49-F238E27FC236}">
              <a16:creationId xmlns:a16="http://schemas.microsoft.com/office/drawing/2014/main" id="{641B0A18-E5F1-4351-BBCE-FB1D5F7D51B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4" name="TextBox 2">
          <a:extLst>
            <a:ext uri="{FF2B5EF4-FFF2-40B4-BE49-F238E27FC236}">
              <a16:creationId xmlns:a16="http://schemas.microsoft.com/office/drawing/2014/main" id="{AFD1E701-8EAD-4578-8E3A-08B7488527F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5" name="TextBox 4">
          <a:extLst>
            <a:ext uri="{FF2B5EF4-FFF2-40B4-BE49-F238E27FC236}">
              <a16:creationId xmlns:a16="http://schemas.microsoft.com/office/drawing/2014/main" id="{6675E6F2-A973-4825-9E22-F096FE3443B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6" name="TextBox 5">
          <a:extLst>
            <a:ext uri="{FF2B5EF4-FFF2-40B4-BE49-F238E27FC236}">
              <a16:creationId xmlns:a16="http://schemas.microsoft.com/office/drawing/2014/main" id="{692B732C-DA16-4F1D-9D3C-204CA6F47B7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7" name="TextBox 6">
          <a:extLst>
            <a:ext uri="{FF2B5EF4-FFF2-40B4-BE49-F238E27FC236}">
              <a16:creationId xmlns:a16="http://schemas.microsoft.com/office/drawing/2014/main" id="{CC076E31-59D8-4B28-87F7-F400582C0EE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8" name="TextBox 7">
          <a:extLst>
            <a:ext uri="{FF2B5EF4-FFF2-40B4-BE49-F238E27FC236}">
              <a16:creationId xmlns:a16="http://schemas.microsoft.com/office/drawing/2014/main" id="{B9737076-4690-443B-9F7E-7836ECA7971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49" name="TextBox 8">
          <a:extLst>
            <a:ext uri="{FF2B5EF4-FFF2-40B4-BE49-F238E27FC236}">
              <a16:creationId xmlns:a16="http://schemas.microsoft.com/office/drawing/2014/main" id="{61AD2172-2963-42FF-9A7C-5B4401E3B55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0" name="TextBox 2">
          <a:extLst>
            <a:ext uri="{FF2B5EF4-FFF2-40B4-BE49-F238E27FC236}">
              <a16:creationId xmlns:a16="http://schemas.microsoft.com/office/drawing/2014/main" id="{AC107F6F-D9B0-4B91-A7DB-6C04E0B8E6A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1" name="TextBox 4">
          <a:extLst>
            <a:ext uri="{FF2B5EF4-FFF2-40B4-BE49-F238E27FC236}">
              <a16:creationId xmlns:a16="http://schemas.microsoft.com/office/drawing/2014/main" id="{E8D09599-E912-4713-90E7-1CD49ECB12D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2" name="TextBox 5">
          <a:extLst>
            <a:ext uri="{FF2B5EF4-FFF2-40B4-BE49-F238E27FC236}">
              <a16:creationId xmlns:a16="http://schemas.microsoft.com/office/drawing/2014/main" id="{39776C0D-2151-43BC-8A2F-C497218E8FE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3" name="TextBox 6">
          <a:extLst>
            <a:ext uri="{FF2B5EF4-FFF2-40B4-BE49-F238E27FC236}">
              <a16:creationId xmlns:a16="http://schemas.microsoft.com/office/drawing/2014/main" id="{2DA181E7-27A7-4B39-BD81-6EB87049E3B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4" name="TextBox 7">
          <a:extLst>
            <a:ext uri="{FF2B5EF4-FFF2-40B4-BE49-F238E27FC236}">
              <a16:creationId xmlns:a16="http://schemas.microsoft.com/office/drawing/2014/main" id="{98948A3F-D62A-43CF-BF70-9B5B21691F4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5" name="TextBox 8">
          <a:extLst>
            <a:ext uri="{FF2B5EF4-FFF2-40B4-BE49-F238E27FC236}">
              <a16:creationId xmlns:a16="http://schemas.microsoft.com/office/drawing/2014/main" id="{97ECFD3F-2CA3-4001-92B2-4A32A7AD353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6" name="TextBox 2">
          <a:extLst>
            <a:ext uri="{FF2B5EF4-FFF2-40B4-BE49-F238E27FC236}">
              <a16:creationId xmlns:a16="http://schemas.microsoft.com/office/drawing/2014/main" id="{4D7D699D-F5CF-4D45-85B7-837EE5D1B91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7" name="TextBox 4">
          <a:extLst>
            <a:ext uri="{FF2B5EF4-FFF2-40B4-BE49-F238E27FC236}">
              <a16:creationId xmlns:a16="http://schemas.microsoft.com/office/drawing/2014/main" id="{A42BC54C-139E-4864-A5C3-F5E477B57CD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8" name="TextBox 5">
          <a:extLst>
            <a:ext uri="{FF2B5EF4-FFF2-40B4-BE49-F238E27FC236}">
              <a16:creationId xmlns:a16="http://schemas.microsoft.com/office/drawing/2014/main" id="{6FF10FFA-D86F-4204-9F37-1E9F673188F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59" name="TextBox 6">
          <a:extLst>
            <a:ext uri="{FF2B5EF4-FFF2-40B4-BE49-F238E27FC236}">
              <a16:creationId xmlns:a16="http://schemas.microsoft.com/office/drawing/2014/main" id="{5FA3ADD6-0E75-4423-A912-11BDA0CEDA2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0" name="TextBox 7">
          <a:extLst>
            <a:ext uri="{FF2B5EF4-FFF2-40B4-BE49-F238E27FC236}">
              <a16:creationId xmlns:a16="http://schemas.microsoft.com/office/drawing/2014/main" id="{48CF0F74-B2C6-40BB-9A66-2D34BFF5BE8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1" name="TextBox 8">
          <a:extLst>
            <a:ext uri="{FF2B5EF4-FFF2-40B4-BE49-F238E27FC236}">
              <a16:creationId xmlns:a16="http://schemas.microsoft.com/office/drawing/2014/main" id="{A99CEF10-2184-4BEA-9248-39277B6030C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2" name="TextBox 2">
          <a:extLst>
            <a:ext uri="{FF2B5EF4-FFF2-40B4-BE49-F238E27FC236}">
              <a16:creationId xmlns:a16="http://schemas.microsoft.com/office/drawing/2014/main" id="{D621E21C-F4C4-48F3-8950-5EF200A707A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3" name="TextBox 4">
          <a:extLst>
            <a:ext uri="{FF2B5EF4-FFF2-40B4-BE49-F238E27FC236}">
              <a16:creationId xmlns:a16="http://schemas.microsoft.com/office/drawing/2014/main" id="{09BC4D35-0CCC-4B9E-A8C7-4CCA3BEB785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4" name="TextBox 5">
          <a:extLst>
            <a:ext uri="{FF2B5EF4-FFF2-40B4-BE49-F238E27FC236}">
              <a16:creationId xmlns:a16="http://schemas.microsoft.com/office/drawing/2014/main" id="{07E1843B-2035-4A6F-BE55-09CB6372A60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5" name="TextBox 6">
          <a:extLst>
            <a:ext uri="{FF2B5EF4-FFF2-40B4-BE49-F238E27FC236}">
              <a16:creationId xmlns:a16="http://schemas.microsoft.com/office/drawing/2014/main" id="{739BF3F9-F93C-40BF-B394-6DDAE1364CB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6" name="TextBox 7">
          <a:extLst>
            <a:ext uri="{FF2B5EF4-FFF2-40B4-BE49-F238E27FC236}">
              <a16:creationId xmlns:a16="http://schemas.microsoft.com/office/drawing/2014/main" id="{24C2C35B-DD96-440C-9AB6-6AF883D05CE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7" name="TextBox 8">
          <a:extLst>
            <a:ext uri="{FF2B5EF4-FFF2-40B4-BE49-F238E27FC236}">
              <a16:creationId xmlns:a16="http://schemas.microsoft.com/office/drawing/2014/main" id="{B8A86111-DA85-416E-A923-E2E4C4D312D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8" name="TextBox 2">
          <a:extLst>
            <a:ext uri="{FF2B5EF4-FFF2-40B4-BE49-F238E27FC236}">
              <a16:creationId xmlns:a16="http://schemas.microsoft.com/office/drawing/2014/main" id="{C6156A54-EB3A-4E17-82F2-8522EF53C66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69" name="TextBox 4">
          <a:extLst>
            <a:ext uri="{FF2B5EF4-FFF2-40B4-BE49-F238E27FC236}">
              <a16:creationId xmlns:a16="http://schemas.microsoft.com/office/drawing/2014/main" id="{9D18C336-D034-4FDA-B9E0-378039C8CD6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0" name="TextBox 5">
          <a:extLst>
            <a:ext uri="{FF2B5EF4-FFF2-40B4-BE49-F238E27FC236}">
              <a16:creationId xmlns:a16="http://schemas.microsoft.com/office/drawing/2014/main" id="{A20FF0B3-0223-4C36-97C0-24F0F78CB97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1" name="TextBox 6">
          <a:extLst>
            <a:ext uri="{FF2B5EF4-FFF2-40B4-BE49-F238E27FC236}">
              <a16:creationId xmlns:a16="http://schemas.microsoft.com/office/drawing/2014/main" id="{B78F5DB6-3B92-4AC1-9041-A6341A5C5A8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2" name="TextBox 7">
          <a:extLst>
            <a:ext uri="{FF2B5EF4-FFF2-40B4-BE49-F238E27FC236}">
              <a16:creationId xmlns:a16="http://schemas.microsoft.com/office/drawing/2014/main" id="{0BAC8E28-EFB0-4C91-8166-58222CD84CF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3" name="TextBox 8">
          <a:extLst>
            <a:ext uri="{FF2B5EF4-FFF2-40B4-BE49-F238E27FC236}">
              <a16:creationId xmlns:a16="http://schemas.microsoft.com/office/drawing/2014/main" id="{5E39B7E6-37B1-43E0-8B0A-4540EFA4089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4" name="TextBox 2">
          <a:extLst>
            <a:ext uri="{FF2B5EF4-FFF2-40B4-BE49-F238E27FC236}">
              <a16:creationId xmlns:a16="http://schemas.microsoft.com/office/drawing/2014/main" id="{4E004A94-9B18-4E67-B7A4-88A025743DE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5" name="TextBox 4">
          <a:extLst>
            <a:ext uri="{FF2B5EF4-FFF2-40B4-BE49-F238E27FC236}">
              <a16:creationId xmlns:a16="http://schemas.microsoft.com/office/drawing/2014/main" id="{511606E4-84BC-4619-AF62-211EFD1121B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6" name="TextBox 5">
          <a:extLst>
            <a:ext uri="{FF2B5EF4-FFF2-40B4-BE49-F238E27FC236}">
              <a16:creationId xmlns:a16="http://schemas.microsoft.com/office/drawing/2014/main" id="{910561AB-2449-4F95-A418-D1C140D69AD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7" name="TextBox 6">
          <a:extLst>
            <a:ext uri="{FF2B5EF4-FFF2-40B4-BE49-F238E27FC236}">
              <a16:creationId xmlns:a16="http://schemas.microsoft.com/office/drawing/2014/main" id="{3BE456DB-10C4-4BD7-B17B-9D810D7F8CD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8" name="TextBox 7">
          <a:extLst>
            <a:ext uri="{FF2B5EF4-FFF2-40B4-BE49-F238E27FC236}">
              <a16:creationId xmlns:a16="http://schemas.microsoft.com/office/drawing/2014/main" id="{05B9052E-1BA2-4BCB-A2E7-D0365E96E08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79" name="TextBox 8">
          <a:extLst>
            <a:ext uri="{FF2B5EF4-FFF2-40B4-BE49-F238E27FC236}">
              <a16:creationId xmlns:a16="http://schemas.microsoft.com/office/drawing/2014/main" id="{12B77830-57E9-4B19-B16C-CB780D37A38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0" name="TextBox 2">
          <a:extLst>
            <a:ext uri="{FF2B5EF4-FFF2-40B4-BE49-F238E27FC236}">
              <a16:creationId xmlns:a16="http://schemas.microsoft.com/office/drawing/2014/main" id="{DC514B31-E6B8-48E1-9E41-4B669ECF6D6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1" name="TextBox 4">
          <a:extLst>
            <a:ext uri="{FF2B5EF4-FFF2-40B4-BE49-F238E27FC236}">
              <a16:creationId xmlns:a16="http://schemas.microsoft.com/office/drawing/2014/main" id="{9D9EEAE0-F947-40E9-80D0-DD38B3A5CDC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2" name="TextBox 5">
          <a:extLst>
            <a:ext uri="{FF2B5EF4-FFF2-40B4-BE49-F238E27FC236}">
              <a16:creationId xmlns:a16="http://schemas.microsoft.com/office/drawing/2014/main" id="{FAC150D0-5987-48A0-A59C-49D7C2B84AC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3" name="TextBox 6">
          <a:extLst>
            <a:ext uri="{FF2B5EF4-FFF2-40B4-BE49-F238E27FC236}">
              <a16:creationId xmlns:a16="http://schemas.microsoft.com/office/drawing/2014/main" id="{05E40B1A-E6C2-4951-81BB-DB8FC5A0F69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4" name="TextBox 7">
          <a:extLst>
            <a:ext uri="{FF2B5EF4-FFF2-40B4-BE49-F238E27FC236}">
              <a16:creationId xmlns:a16="http://schemas.microsoft.com/office/drawing/2014/main" id="{379E1C1F-2B9B-40D3-8FA6-2EAA8A7C19D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5" name="TextBox 8">
          <a:extLst>
            <a:ext uri="{FF2B5EF4-FFF2-40B4-BE49-F238E27FC236}">
              <a16:creationId xmlns:a16="http://schemas.microsoft.com/office/drawing/2014/main" id="{31138DD2-0ACE-43CF-89ED-734A5F46B67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6" name="TextBox 2">
          <a:extLst>
            <a:ext uri="{FF2B5EF4-FFF2-40B4-BE49-F238E27FC236}">
              <a16:creationId xmlns:a16="http://schemas.microsoft.com/office/drawing/2014/main" id="{F316F7A1-79A5-4C74-AA95-E7F744FDE4F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7" name="TextBox 4">
          <a:extLst>
            <a:ext uri="{FF2B5EF4-FFF2-40B4-BE49-F238E27FC236}">
              <a16:creationId xmlns:a16="http://schemas.microsoft.com/office/drawing/2014/main" id="{7E81EFC3-0ECD-46CD-B086-9D34E8B8609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8" name="TextBox 5">
          <a:extLst>
            <a:ext uri="{FF2B5EF4-FFF2-40B4-BE49-F238E27FC236}">
              <a16:creationId xmlns:a16="http://schemas.microsoft.com/office/drawing/2014/main" id="{040BCA41-92A5-410D-B169-8352B81D7DC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89" name="TextBox 6">
          <a:extLst>
            <a:ext uri="{FF2B5EF4-FFF2-40B4-BE49-F238E27FC236}">
              <a16:creationId xmlns:a16="http://schemas.microsoft.com/office/drawing/2014/main" id="{444C153B-E2BF-4689-B579-946AB783A04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0" name="TextBox 7">
          <a:extLst>
            <a:ext uri="{FF2B5EF4-FFF2-40B4-BE49-F238E27FC236}">
              <a16:creationId xmlns:a16="http://schemas.microsoft.com/office/drawing/2014/main" id="{FCFCDEC9-9C0E-4480-B175-819BFF8835A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1" name="TextBox 8">
          <a:extLst>
            <a:ext uri="{FF2B5EF4-FFF2-40B4-BE49-F238E27FC236}">
              <a16:creationId xmlns:a16="http://schemas.microsoft.com/office/drawing/2014/main" id="{804A3B78-3412-48E4-96A0-AACBB1F9003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2" name="TextBox 2">
          <a:extLst>
            <a:ext uri="{FF2B5EF4-FFF2-40B4-BE49-F238E27FC236}">
              <a16:creationId xmlns:a16="http://schemas.microsoft.com/office/drawing/2014/main" id="{6B678352-FBB3-47BB-8C18-71D94402B54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3" name="TextBox 4">
          <a:extLst>
            <a:ext uri="{FF2B5EF4-FFF2-40B4-BE49-F238E27FC236}">
              <a16:creationId xmlns:a16="http://schemas.microsoft.com/office/drawing/2014/main" id="{6E4E4517-9D8F-4106-B8F1-F7F8070D0CC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4" name="TextBox 5">
          <a:extLst>
            <a:ext uri="{FF2B5EF4-FFF2-40B4-BE49-F238E27FC236}">
              <a16:creationId xmlns:a16="http://schemas.microsoft.com/office/drawing/2014/main" id="{7713BA6E-3750-4739-9471-03EDFB0FFE1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5" name="TextBox 6">
          <a:extLst>
            <a:ext uri="{FF2B5EF4-FFF2-40B4-BE49-F238E27FC236}">
              <a16:creationId xmlns:a16="http://schemas.microsoft.com/office/drawing/2014/main" id="{1C5FF68C-A224-4DBD-A08B-2B799AD41D7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6" name="TextBox 7">
          <a:extLst>
            <a:ext uri="{FF2B5EF4-FFF2-40B4-BE49-F238E27FC236}">
              <a16:creationId xmlns:a16="http://schemas.microsoft.com/office/drawing/2014/main" id="{3E913C25-BE68-4946-A26A-396CC7E4CFE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7" name="TextBox 8">
          <a:extLst>
            <a:ext uri="{FF2B5EF4-FFF2-40B4-BE49-F238E27FC236}">
              <a16:creationId xmlns:a16="http://schemas.microsoft.com/office/drawing/2014/main" id="{41B6D6B0-46AC-461F-9438-4AD6F2309DA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8" name="TextBox 2">
          <a:extLst>
            <a:ext uri="{FF2B5EF4-FFF2-40B4-BE49-F238E27FC236}">
              <a16:creationId xmlns:a16="http://schemas.microsoft.com/office/drawing/2014/main" id="{E738FB4E-A774-44E3-8A56-1F22337B3BB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699" name="TextBox 4">
          <a:extLst>
            <a:ext uri="{FF2B5EF4-FFF2-40B4-BE49-F238E27FC236}">
              <a16:creationId xmlns:a16="http://schemas.microsoft.com/office/drawing/2014/main" id="{20ECCD75-BA0F-4157-8A92-8375AFB25BE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0" name="TextBox 5">
          <a:extLst>
            <a:ext uri="{FF2B5EF4-FFF2-40B4-BE49-F238E27FC236}">
              <a16:creationId xmlns:a16="http://schemas.microsoft.com/office/drawing/2014/main" id="{3A898366-9C1A-4EA2-8686-35882C74DB2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1" name="TextBox 6">
          <a:extLst>
            <a:ext uri="{FF2B5EF4-FFF2-40B4-BE49-F238E27FC236}">
              <a16:creationId xmlns:a16="http://schemas.microsoft.com/office/drawing/2014/main" id="{84AB7BB4-5AF4-4E31-A928-E3E1CE4BB84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2" name="TextBox 7">
          <a:extLst>
            <a:ext uri="{FF2B5EF4-FFF2-40B4-BE49-F238E27FC236}">
              <a16:creationId xmlns:a16="http://schemas.microsoft.com/office/drawing/2014/main" id="{6869B68C-CEF6-4863-8AE7-A0D0630FEEF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3" name="TextBox 8">
          <a:extLst>
            <a:ext uri="{FF2B5EF4-FFF2-40B4-BE49-F238E27FC236}">
              <a16:creationId xmlns:a16="http://schemas.microsoft.com/office/drawing/2014/main" id="{FE403DA4-A2C7-4402-94EE-2BB5E941E26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4" name="TextBox 2">
          <a:extLst>
            <a:ext uri="{FF2B5EF4-FFF2-40B4-BE49-F238E27FC236}">
              <a16:creationId xmlns:a16="http://schemas.microsoft.com/office/drawing/2014/main" id="{61BC38C8-9284-403C-BB46-4FBCBC6831C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5" name="TextBox 4">
          <a:extLst>
            <a:ext uri="{FF2B5EF4-FFF2-40B4-BE49-F238E27FC236}">
              <a16:creationId xmlns:a16="http://schemas.microsoft.com/office/drawing/2014/main" id="{63B96510-07EC-4895-A8F8-3A99CF38700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6" name="TextBox 5">
          <a:extLst>
            <a:ext uri="{FF2B5EF4-FFF2-40B4-BE49-F238E27FC236}">
              <a16:creationId xmlns:a16="http://schemas.microsoft.com/office/drawing/2014/main" id="{DB2828DE-BFDB-48F6-9B60-114EE2D33A9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7" name="TextBox 6">
          <a:extLst>
            <a:ext uri="{FF2B5EF4-FFF2-40B4-BE49-F238E27FC236}">
              <a16:creationId xmlns:a16="http://schemas.microsoft.com/office/drawing/2014/main" id="{7D4781FE-73A4-4011-BC68-EE86CB06ECD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8" name="TextBox 7">
          <a:extLst>
            <a:ext uri="{FF2B5EF4-FFF2-40B4-BE49-F238E27FC236}">
              <a16:creationId xmlns:a16="http://schemas.microsoft.com/office/drawing/2014/main" id="{72ED6193-0651-4BB2-8CBF-B08752E6D8B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09" name="TextBox 8">
          <a:extLst>
            <a:ext uri="{FF2B5EF4-FFF2-40B4-BE49-F238E27FC236}">
              <a16:creationId xmlns:a16="http://schemas.microsoft.com/office/drawing/2014/main" id="{BFAE1E08-B8AD-4906-BFD7-8F562651113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0" name="TextBox 2">
          <a:extLst>
            <a:ext uri="{FF2B5EF4-FFF2-40B4-BE49-F238E27FC236}">
              <a16:creationId xmlns:a16="http://schemas.microsoft.com/office/drawing/2014/main" id="{B4F3C702-6523-4571-99B0-677143AA38D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1" name="TextBox 4">
          <a:extLst>
            <a:ext uri="{FF2B5EF4-FFF2-40B4-BE49-F238E27FC236}">
              <a16:creationId xmlns:a16="http://schemas.microsoft.com/office/drawing/2014/main" id="{1408A48E-C8F2-4C68-9194-85F17994320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2" name="TextBox 5">
          <a:extLst>
            <a:ext uri="{FF2B5EF4-FFF2-40B4-BE49-F238E27FC236}">
              <a16:creationId xmlns:a16="http://schemas.microsoft.com/office/drawing/2014/main" id="{9457D377-7CBB-41BC-A478-BC36FB76920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3" name="TextBox 6">
          <a:extLst>
            <a:ext uri="{FF2B5EF4-FFF2-40B4-BE49-F238E27FC236}">
              <a16:creationId xmlns:a16="http://schemas.microsoft.com/office/drawing/2014/main" id="{37F372A8-40BA-4C42-BA22-97E34164DBE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4" name="TextBox 7">
          <a:extLst>
            <a:ext uri="{FF2B5EF4-FFF2-40B4-BE49-F238E27FC236}">
              <a16:creationId xmlns:a16="http://schemas.microsoft.com/office/drawing/2014/main" id="{2087508E-5EEB-430B-90E1-9FFB339D850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5" name="TextBox 8">
          <a:extLst>
            <a:ext uri="{FF2B5EF4-FFF2-40B4-BE49-F238E27FC236}">
              <a16:creationId xmlns:a16="http://schemas.microsoft.com/office/drawing/2014/main" id="{B6972272-CF47-4F4B-9D55-81F9F7B4091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6" name="TextBox 2">
          <a:extLst>
            <a:ext uri="{FF2B5EF4-FFF2-40B4-BE49-F238E27FC236}">
              <a16:creationId xmlns:a16="http://schemas.microsoft.com/office/drawing/2014/main" id="{36E1C4FA-5CA5-4167-8A56-E8061B90029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7" name="TextBox 4">
          <a:extLst>
            <a:ext uri="{FF2B5EF4-FFF2-40B4-BE49-F238E27FC236}">
              <a16:creationId xmlns:a16="http://schemas.microsoft.com/office/drawing/2014/main" id="{15B13CF9-C217-4944-8BCC-4E88A47763F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8" name="TextBox 5">
          <a:extLst>
            <a:ext uri="{FF2B5EF4-FFF2-40B4-BE49-F238E27FC236}">
              <a16:creationId xmlns:a16="http://schemas.microsoft.com/office/drawing/2014/main" id="{3C7EE835-A641-4A57-991E-7A0FA9CBA2B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19" name="TextBox 6">
          <a:extLst>
            <a:ext uri="{FF2B5EF4-FFF2-40B4-BE49-F238E27FC236}">
              <a16:creationId xmlns:a16="http://schemas.microsoft.com/office/drawing/2014/main" id="{9B6953DE-7F3B-45AB-9436-1D5823B3AB2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0" name="TextBox 7">
          <a:extLst>
            <a:ext uri="{FF2B5EF4-FFF2-40B4-BE49-F238E27FC236}">
              <a16:creationId xmlns:a16="http://schemas.microsoft.com/office/drawing/2014/main" id="{E55542BE-C0F3-4F88-9EF0-248945273D5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1" name="TextBox 8">
          <a:extLst>
            <a:ext uri="{FF2B5EF4-FFF2-40B4-BE49-F238E27FC236}">
              <a16:creationId xmlns:a16="http://schemas.microsoft.com/office/drawing/2014/main" id="{397E6DEA-FEAD-45FF-953C-696CB5AAC3B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2" name="TextBox 2">
          <a:extLst>
            <a:ext uri="{FF2B5EF4-FFF2-40B4-BE49-F238E27FC236}">
              <a16:creationId xmlns:a16="http://schemas.microsoft.com/office/drawing/2014/main" id="{67ACD90C-6FB6-41E1-AFBA-07D9FF316C6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3" name="TextBox 4">
          <a:extLst>
            <a:ext uri="{FF2B5EF4-FFF2-40B4-BE49-F238E27FC236}">
              <a16:creationId xmlns:a16="http://schemas.microsoft.com/office/drawing/2014/main" id="{12C24F9B-3133-439E-9272-79EC59358F2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4" name="TextBox 5">
          <a:extLst>
            <a:ext uri="{FF2B5EF4-FFF2-40B4-BE49-F238E27FC236}">
              <a16:creationId xmlns:a16="http://schemas.microsoft.com/office/drawing/2014/main" id="{A0720907-8B99-47F5-861B-503C98D8173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5" name="TextBox 6">
          <a:extLst>
            <a:ext uri="{FF2B5EF4-FFF2-40B4-BE49-F238E27FC236}">
              <a16:creationId xmlns:a16="http://schemas.microsoft.com/office/drawing/2014/main" id="{43876204-CB16-497C-A3BD-AEF84972693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6" name="TextBox 7">
          <a:extLst>
            <a:ext uri="{FF2B5EF4-FFF2-40B4-BE49-F238E27FC236}">
              <a16:creationId xmlns:a16="http://schemas.microsoft.com/office/drawing/2014/main" id="{37014523-27D2-4E6B-9848-FC201F046EB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7" name="TextBox 8">
          <a:extLst>
            <a:ext uri="{FF2B5EF4-FFF2-40B4-BE49-F238E27FC236}">
              <a16:creationId xmlns:a16="http://schemas.microsoft.com/office/drawing/2014/main" id="{857BF5F1-2087-45E0-9206-6BC43F7DC14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8" name="TextBox 2">
          <a:extLst>
            <a:ext uri="{FF2B5EF4-FFF2-40B4-BE49-F238E27FC236}">
              <a16:creationId xmlns:a16="http://schemas.microsoft.com/office/drawing/2014/main" id="{B777C0AB-F134-4448-88A9-95182218AFE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29" name="TextBox 4">
          <a:extLst>
            <a:ext uri="{FF2B5EF4-FFF2-40B4-BE49-F238E27FC236}">
              <a16:creationId xmlns:a16="http://schemas.microsoft.com/office/drawing/2014/main" id="{AFE8F381-524E-4CEA-AD88-8D0016DC795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0" name="TextBox 5">
          <a:extLst>
            <a:ext uri="{FF2B5EF4-FFF2-40B4-BE49-F238E27FC236}">
              <a16:creationId xmlns:a16="http://schemas.microsoft.com/office/drawing/2014/main" id="{69A40309-CC1F-48D2-B548-25362CFC668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1" name="TextBox 6">
          <a:extLst>
            <a:ext uri="{FF2B5EF4-FFF2-40B4-BE49-F238E27FC236}">
              <a16:creationId xmlns:a16="http://schemas.microsoft.com/office/drawing/2014/main" id="{A248192F-B9FB-4B46-90B8-3EA8ABC9CC3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2" name="TextBox 7">
          <a:extLst>
            <a:ext uri="{FF2B5EF4-FFF2-40B4-BE49-F238E27FC236}">
              <a16:creationId xmlns:a16="http://schemas.microsoft.com/office/drawing/2014/main" id="{552D0A46-0156-40D3-A2B3-2EB398D2CEC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3" name="TextBox 8">
          <a:extLst>
            <a:ext uri="{FF2B5EF4-FFF2-40B4-BE49-F238E27FC236}">
              <a16:creationId xmlns:a16="http://schemas.microsoft.com/office/drawing/2014/main" id="{8E4986CF-C1BE-4C44-82A5-1B6B312F39B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4" name="TextBox 3594">
          <a:extLst>
            <a:ext uri="{FF2B5EF4-FFF2-40B4-BE49-F238E27FC236}">
              <a16:creationId xmlns:a16="http://schemas.microsoft.com/office/drawing/2014/main" id="{B640F77C-8F10-4D35-8F62-C3ADC60EFC4E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5" name="TextBox 3595">
          <a:extLst>
            <a:ext uri="{FF2B5EF4-FFF2-40B4-BE49-F238E27FC236}">
              <a16:creationId xmlns:a16="http://schemas.microsoft.com/office/drawing/2014/main" id="{31B10DF9-6B20-4B98-BA8E-B001F1F84B5F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6" name="TextBox 3596">
          <a:extLst>
            <a:ext uri="{FF2B5EF4-FFF2-40B4-BE49-F238E27FC236}">
              <a16:creationId xmlns:a16="http://schemas.microsoft.com/office/drawing/2014/main" id="{74BF36FC-2598-4EC4-97FB-81F144BCBBDB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7" name="TextBox 3597">
          <a:extLst>
            <a:ext uri="{FF2B5EF4-FFF2-40B4-BE49-F238E27FC236}">
              <a16:creationId xmlns:a16="http://schemas.microsoft.com/office/drawing/2014/main" id="{721628BA-4809-45E7-B142-8204DF11D8A1}"/>
            </a:ext>
          </a:extLst>
        </xdr:cNvPr>
        <xdr:cNvSpPr txBox="1"/>
      </xdr:nvSpPr>
      <xdr:spPr>
        <a:xfrm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8" name="TextBox 2">
          <a:extLst>
            <a:ext uri="{FF2B5EF4-FFF2-40B4-BE49-F238E27FC236}">
              <a16:creationId xmlns:a16="http://schemas.microsoft.com/office/drawing/2014/main" id="{3EF00112-8982-4E0A-ADA5-8A9A9B7774DC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39" name="TextBox 4">
          <a:extLst>
            <a:ext uri="{FF2B5EF4-FFF2-40B4-BE49-F238E27FC236}">
              <a16:creationId xmlns:a16="http://schemas.microsoft.com/office/drawing/2014/main" id="{C88FD319-28BA-4EE9-BA3D-F6708D3C1E77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0" name="TextBox 5">
          <a:extLst>
            <a:ext uri="{FF2B5EF4-FFF2-40B4-BE49-F238E27FC236}">
              <a16:creationId xmlns:a16="http://schemas.microsoft.com/office/drawing/2014/main" id="{FFD8CBD1-EDE8-4AC8-A177-911F5384611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1" name="TextBox 6">
          <a:extLst>
            <a:ext uri="{FF2B5EF4-FFF2-40B4-BE49-F238E27FC236}">
              <a16:creationId xmlns:a16="http://schemas.microsoft.com/office/drawing/2014/main" id="{E8B52FC2-AB21-456B-BF05-7B3DC4BBA8AE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2" name="TextBox 7">
          <a:extLst>
            <a:ext uri="{FF2B5EF4-FFF2-40B4-BE49-F238E27FC236}">
              <a16:creationId xmlns:a16="http://schemas.microsoft.com/office/drawing/2014/main" id="{F3936FA8-84A3-4987-AD47-BE0AED67F1D5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3" name="TextBox 8">
          <a:extLst>
            <a:ext uri="{FF2B5EF4-FFF2-40B4-BE49-F238E27FC236}">
              <a16:creationId xmlns:a16="http://schemas.microsoft.com/office/drawing/2014/main" id="{0E1B17C9-8A3E-4ECC-9325-E92CD4FFD27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4" name="TextBox 2">
          <a:extLst>
            <a:ext uri="{FF2B5EF4-FFF2-40B4-BE49-F238E27FC236}">
              <a16:creationId xmlns:a16="http://schemas.microsoft.com/office/drawing/2014/main" id="{2BCDD351-AE94-4803-AAB1-CECB78C3403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5" name="TextBox 4">
          <a:extLst>
            <a:ext uri="{FF2B5EF4-FFF2-40B4-BE49-F238E27FC236}">
              <a16:creationId xmlns:a16="http://schemas.microsoft.com/office/drawing/2014/main" id="{EEE5075D-4886-4820-A98C-4902F879B8EB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6" name="TextBox 5">
          <a:extLst>
            <a:ext uri="{FF2B5EF4-FFF2-40B4-BE49-F238E27FC236}">
              <a16:creationId xmlns:a16="http://schemas.microsoft.com/office/drawing/2014/main" id="{DC346648-E089-4D20-ACB0-8DF75E27968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7" name="TextBox 6">
          <a:extLst>
            <a:ext uri="{FF2B5EF4-FFF2-40B4-BE49-F238E27FC236}">
              <a16:creationId xmlns:a16="http://schemas.microsoft.com/office/drawing/2014/main" id="{153254CD-E6CE-45D6-B577-E99E4B2E411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8" name="TextBox 7">
          <a:extLst>
            <a:ext uri="{FF2B5EF4-FFF2-40B4-BE49-F238E27FC236}">
              <a16:creationId xmlns:a16="http://schemas.microsoft.com/office/drawing/2014/main" id="{4525A5DE-A95E-44B2-9512-404D7F3D428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49" name="TextBox 8">
          <a:extLst>
            <a:ext uri="{FF2B5EF4-FFF2-40B4-BE49-F238E27FC236}">
              <a16:creationId xmlns:a16="http://schemas.microsoft.com/office/drawing/2014/main" id="{178E5E0E-C3E4-4D6A-A411-5A6351AF497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0" name="TextBox 2">
          <a:extLst>
            <a:ext uri="{FF2B5EF4-FFF2-40B4-BE49-F238E27FC236}">
              <a16:creationId xmlns:a16="http://schemas.microsoft.com/office/drawing/2014/main" id="{177A2790-7FE2-41DB-A97C-E5440B8EED3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1" name="TextBox 4">
          <a:extLst>
            <a:ext uri="{FF2B5EF4-FFF2-40B4-BE49-F238E27FC236}">
              <a16:creationId xmlns:a16="http://schemas.microsoft.com/office/drawing/2014/main" id="{F9B0D7BA-4D2A-4303-BDDE-24D92DDF839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2" name="TextBox 5">
          <a:extLst>
            <a:ext uri="{FF2B5EF4-FFF2-40B4-BE49-F238E27FC236}">
              <a16:creationId xmlns:a16="http://schemas.microsoft.com/office/drawing/2014/main" id="{97B12A33-0F3C-46F8-9906-4C3CCB13BAB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3" name="TextBox 6">
          <a:extLst>
            <a:ext uri="{FF2B5EF4-FFF2-40B4-BE49-F238E27FC236}">
              <a16:creationId xmlns:a16="http://schemas.microsoft.com/office/drawing/2014/main" id="{0619BC02-3BA5-4D6F-B7EF-A21FD7F67C55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4" name="TextBox 7">
          <a:extLst>
            <a:ext uri="{FF2B5EF4-FFF2-40B4-BE49-F238E27FC236}">
              <a16:creationId xmlns:a16="http://schemas.microsoft.com/office/drawing/2014/main" id="{ED669D98-4865-4B39-87BA-F8912A85F188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5" name="TextBox 8">
          <a:extLst>
            <a:ext uri="{FF2B5EF4-FFF2-40B4-BE49-F238E27FC236}">
              <a16:creationId xmlns:a16="http://schemas.microsoft.com/office/drawing/2014/main" id="{1A54F2C6-A9E8-40BD-8189-F6E0FE7C7AF2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6" name="TextBox 2">
          <a:extLst>
            <a:ext uri="{FF2B5EF4-FFF2-40B4-BE49-F238E27FC236}">
              <a16:creationId xmlns:a16="http://schemas.microsoft.com/office/drawing/2014/main" id="{BB0D523A-D43B-4840-BC78-D1A4AE7542C9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7" name="TextBox 4">
          <a:extLst>
            <a:ext uri="{FF2B5EF4-FFF2-40B4-BE49-F238E27FC236}">
              <a16:creationId xmlns:a16="http://schemas.microsoft.com/office/drawing/2014/main" id="{94F0624D-1F38-4F90-AF70-51D573A9D073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8" name="TextBox 5">
          <a:extLst>
            <a:ext uri="{FF2B5EF4-FFF2-40B4-BE49-F238E27FC236}">
              <a16:creationId xmlns:a16="http://schemas.microsoft.com/office/drawing/2014/main" id="{CF7213A0-E4D6-48F1-B354-BF11D5FAC2F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59" name="TextBox 6">
          <a:extLst>
            <a:ext uri="{FF2B5EF4-FFF2-40B4-BE49-F238E27FC236}">
              <a16:creationId xmlns:a16="http://schemas.microsoft.com/office/drawing/2014/main" id="{0761C507-683B-4B16-9C8A-90FE3341748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0" name="TextBox 7">
          <a:extLst>
            <a:ext uri="{FF2B5EF4-FFF2-40B4-BE49-F238E27FC236}">
              <a16:creationId xmlns:a16="http://schemas.microsoft.com/office/drawing/2014/main" id="{8EEEF78A-AD8D-466E-93A2-DE566ED2799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1" name="TextBox 8">
          <a:extLst>
            <a:ext uri="{FF2B5EF4-FFF2-40B4-BE49-F238E27FC236}">
              <a16:creationId xmlns:a16="http://schemas.microsoft.com/office/drawing/2014/main" id="{26EB082C-31CE-4DF7-8F62-079CD83A0BC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2" name="TextBox 2">
          <a:extLst>
            <a:ext uri="{FF2B5EF4-FFF2-40B4-BE49-F238E27FC236}">
              <a16:creationId xmlns:a16="http://schemas.microsoft.com/office/drawing/2014/main" id="{700E59A3-F5AE-4BE3-9924-7ECEA2F7916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3" name="TextBox 4">
          <a:extLst>
            <a:ext uri="{FF2B5EF4-FFF2-40B4-BE49-F238E27FC236}">
              <a16:creationId xmlns:a16="http://schemas.microsoft.com/office/drawing/2014/main" id="{9075DA2C-B9EB-4632-B256-3CE60753E2D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4" name="TextBox 5">
          <a:extLst>
            <a:ext uri="{FF2B5EF4-FFF2-40B4-BE49-F238E27FC236}">
              <a16:creationId xmlns:a16="http://schemas.microsoft.com/office/drawing/2014/main" id="{85B1B122-61F2-4E73-8944-81D5811D3E5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5" name="TextBox 6">
          <a:extLst>
            <a:ext uri="{FF2B5EF4-FFF2-40B4-BE49-F238E27FC236}">
              <a16:creationId xmlns:a16="http://schemas.microsoft.com/office/drawing/2014/main" id="{3D8F86AA-FE74-4960-81BA-DA8C2CB015E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6" name="TextBox 7">
          <a:extLst>
            <a:ext uri="{FF2B5EF4-FFF2-40B4-BE49-F238E27FC236}">
              <a16:creationId xmlns:a16="http://schemas.microsoft.com/office/drawing/2014/main" id="{81DDEA3C-8292-4643-A55E-0EF3B7FC68E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7" name="TextBox 8">
          <a:extLst>
            <a:ext uri="{FF2B5EF4-FFF2-40B4-BE49-F238E27FC236}">
              <a16:creationId xmlns:a16="http://schemas.microsoft.com/office/drawing/2014/main" id="{3829ED16-45E2-4C5C-AC57-CE01E199CAE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8" name="TextBox 2">
          <a:extLst>
            <a:ext uri="{FF2B5EF4-FFF2-40B4-BE49-F238E27FC236}">
              <a16:creationId xmlns:a16="http://schemas.microsoft.com/office/drawing/2014/main" id="{2F833FCD-4A5E-438C-ACEC-5919FA07F2A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69" name="TextBox 4">
          <a:extLst>
            <a:ext uri="{FF2B5EF4-FFF2-40B4-BE49-F238E27FC236}">
              <a16:creationId xmlns:a16="http://schemas.microsoft.com/office/drawing/2014/main" id="{B8FA26C5-658C-4AF0-AF09-7BB1E49996E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0" name="TextBox 5">
          <a:extLst>
            <a:ext uri="{FF2B5EF4-FFF2-40B4-BE49-F238E27FC236}">
              <a16:creationId xmlns:a16="http://schemas.microsoft.com/office/drawing/2014/main" id="{A59BE66D-12FA-4903-A29C-7EBDA280809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1" name="TextBox 6">
          <a:extLst>
            <a:ext uri="{FF2B5EF4-FFF2-40B4-BE49-F238E27FC236}">
              <a16:creationId xmlns:a16="http://schemas.microsoft.com/office/drawing/2014/main" id="{556AD1CD-D2E7-4811-A2C0-22A14305800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2" name="TextBox 7">
          <a:extLst>
            <a:ext uri="{FF2B5EF4-FFF2-40B4-BE49-F238E27FC236}">
              <a16:creationId xmlns:a16="http://schemas.microsoft.com/office/drawing/2014/main" id="{1437BF18-C1BD-4D5E-A964-71226212AE0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3" name="TextBox 8">
          <a:extLst>
            <a:ext uri="{FF2B5EF4-FFF2-40B4-BE49-F238E27FC236}">
              <a16:creationId xmlns:a16="http://schemas.microsoft.com/office/drawing/2014/main" id="{3E67B83F-A26F-4818-A0C6-C496875F39C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4" name="TextBox 2">
          <a:extLst>
            <a:ext uri="{FF2B5EF4-FFF2-40B4-BE49-F238E27FC236}">
              <a16:creationId xmlns:a16="http://schemas.microsoft.com/office/drawing/2014/main" id="{CD7BFC48-E18F-422C-948E-267510B4B3D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5" name="TextBox 4">
          <a:extLst>
            <a:ext uri="{FF2B5EF4-FFF2-40B4-BE49-F238E27FC236}">
              <a16:creationId xmlns:a16="http://schemas.microsoft.com/office/drawing/2014/main" id="{2D73E8C2-0C6B-4C31-A617-699E79EECEC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6" name="TextBox 5">
          <a:extLst>
            <a:ext uri="{FF2B5EF4-FFF2-40B4-BE49-F238E27FC236}">
              <a16:creationId xmlns:a16="http://schemas.microsoft.com/office/drawing/2014/main" id="{C90BB027-C9B8-4A6A-A9D9-F3CFE5ED414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7" name="TextBox 6">
          <a:extLst>
            <a:ext uri="{FF2B5EF4-FFF2-40B4-BE49-F238E27FC236}">
              <a16:creationId xmlns:a16="http://schemas.microsoft.com/office/drawing/2014/main" id="{A99DB8BF-A395-42DF-B169-E9A010394DB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8" name="TextBox 7">
          <a:extLst>
            <a:ext uri="{FF2B5EF4-FFF2-40B4-BE49-F238E27FC236}">
              <a16:creationId xmlns:a16="http://schemas.microsoft.com/office/drawing/2014/main" id="{1765CE9C-7288-4DFB-92D1-B28CA56DD4F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79" name="TextBox 8">
          <a:extLst>
            <a:ext uri="{FF2B5EF4-FFF2-40B4-BE49-F238E27FC236}">
              <a16:creationId xmlns:a16="http://schemas.microsoft.com/office/drawing/2014/main" id="{66A6F3DD-62AE-4D91-8C8B-5FAAA744762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0" name="TextBox 2">
          <a:extLst>
            <a:ext uri="{FF2B5EF4-FFF2-40B4-BE49-F238E27FC236}">
              <a16:creationId xmlns:a16="http://schemas.microsoft.com/office/drawing/2014/main" id="{0B81DDC8-1ECA-4544-8DA7-3E9FC0B2FD5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1" name="TextBox 4">
          <a:extLst>
            <a:ext uri="{FF2B5EF4-FFF2-40B4-BE49-F238E27FC236}">
              <a16:creationId xmlns:a16="http://schemas.microsoft.com/office/drawing/2014/main" id="{8B81E8A9-9739-4E7A-81B7-900612104E9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2" name="TextBox 5">
          <a:extLst>
            <a:ext uri="{FF2B5EF4-FFF2-40B4-BE49-F238E27FC236}">
              <a16:creationId xmlns:a16="http://schemas.microsoft.com/office/drawing/2014/main" id="{87DA2F63-99FA-4AE8-848E-66DD92D2380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3" name="TextBox 6">
          <a:extLst>
            <a:ext uri="{FF2B5EF4-FFF2-40B4-BE49-F238E27FC236}">
              <a16:creationId xmlns:a16="http://schemas.microsoft.com/office/drawing/2014/main" id="{AA533536-0B97-4D0C-AF0D-4333458D4CB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4" name="TextBox 7">
          <a:extLst>
            <a:ext uri="{FF2B5EF4-FFF2-40B4-BE49-F238E27FC236}">
              <a16:creationId xmlns:a16="http://schemas.microsoft.com/office/drawing/2014/main" id="{C63A23E3-B3B4-44F4-995D-3293DEF4CF0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5" name="TextBox 8">
          <a:extLst>
            <a:ext uri="{FF2B5EF4-FFF2-40B4-BE49-F238E27FC236}">
              <a16:creationId xmlns:a16="http://schemas.microsoft.com/office/drawing/2014/main" id="{5352AC1E-597A-4030-849F-EAC6B03FD76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6" name="TextBox 2">
          <a:extLst>
            <a:ext uri="{FF2B5EF4-FFF2-40B4-BE49-F238E27FC236}">
              <a16:creationId xmlns:a16="http://schemas.microsoft.com/office/drawing/2014/main" id="{BACE53AD-B9DA-4D60-A504-E0F0D953D79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7" name="TextBox 4">
          <a:extLst>
            <a:ext uri="{FF2B5EF4-FFF2-40B4-BE49-F238E27FC236}">
              <a16:creationId xmlns:a16="http://schemas.microsoft.com/office/drawing/2014/main" id="{DC26A13E-0B6D-469B-B8B3-AE61A3E14FE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8" name="TextBox 5">
          <a:extLst>
            <a:ext uri="{FF2B5EF4-FFF2-40B4-BE49-F238E27FC236}">
              <a16:creationId xmlns:a16="http://schemas.microsoft.com/office/drawing/2014/main" id="{B2FFAC01-270D-4228-82A5-27DC6B45C74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89" name="TextBox 6">
          <a:extLst>
            <a:ext uri="{FF2B5EF4-FFF2-40B4-BE49-F238E27FC236}">
              <a16:creationId xmlns:a16="http://schemas.microsoft.com/office/drawing/2014/main" id="{9BBCF4AD-401A-408A-8F83-D54665EDB49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0" name="TextBox 7">
          <a:extLst>
            <a:ext uri="{FF2B5EF4-FFF2-40B4-BE49-F238E27FC236}">
              <a16:creationId xmlns:a16="http://schemas.microsoft.com/office/drawing/2014/main" id="{7B2D458D-CD89-461A-AE1C-1136A8C1CDC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1" name="TextBox 8">
          <a:extLst>
            <a:ext uri="{FF2B5EF4-FFF2-40B4-BE49-F238E27FC236}">
              <a16:creationId xmlns:a16="http://schemas.microsoft.com/office/drawing/2014/main" id="{9883C80D-4F04-465D-B114-2F28F461F0D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2" name="TextBox 2">
          <a:extLst>
            <a:ext uri="{FF2B5EF4-FFF2-40B4-BE49-F238E27FC236}">
              <a16:creationId xmlns:a16="http://schemas.microsoft.com/office/drawing/2014/main" id="{38F01BEE-ECF7-4BD0-A94E-0EC88FDB86A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3" name="TextBox 4">
          <a:extLst>
            <a:ext uri="{FF2B5EF4-FFF2-40B4-BE49-F238E27FC236}">
              <a16:creationId xmlns:a16="http://schemas.microsoft.com/office/drawing/2014/main" id="{ECD40A14-0319-4618-837F-6807DE9AC52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4" name="TextBox 5">
          <a:extLst>
            <a:ext uri="{FF2B5EF4-FFF2-40B4-BE49-F238E27FC236}">
              <a16:creationId xmlns:a16="http://schemas.microsoft.com/office/drawing/2014/main" id="{678B3FFD-233A-4A1B-A4EF-F7D58B90F41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5" name="TextBox 6">
          <a:extLst>
            <a:ext uri="{FF2B5EF4-FFF2-40B4-BE49-F238E27FC236}">
              <a16:creationId xmlns:a16="http://schemas.microsoft.com/office/drawing/2014/main" id="{34854879-DEA8-4ACB-A755-4A3A9C99ACD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6" name="TextBox 7">
          <a:extLst>
            <a:ext uri="{FF2B5EF4-FFF2-40B4-BE49-F238E27FC236}">
              <a16:creationId xmlns:a16="http://schemas.microsoft.com/office/drawing/2014/main" id="{3E49BFFC-EBAD-4936-994A-D84D1164709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7" name="TextBox 8">
          <a:extLst>
            <a:ext uri="{FF2B5EF4-FFF2-40B4-BE49-F238E27FC236}">
              <a16:creationId xmlns:a16="http://schemas.microsoft.com/office/drawing/2014/main" id="{AB27030D-6A42-4247-BEF4-C14F5A08537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8" name="TextBox 2">
          <a:extLst>
            <a:ext uri="{FF2B5EF4-FFF2-40B4-BE49-F238E27FC236}">
              <a16:creationId xmlns:a16="http://schemas.microsoft.com/office/drawing/2014/main" id="{0C3BBF58-D07D-40BC-AB79-14B4C4BF6DF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799" name="TextBox 4">
          <a:extLst>
            <a:ext uri="{FF2B5EF4-FFF2-40B4-BE49-F238E27FC236}">
              <a16:creationId xmlns:a16="http://schemas.microsoft.com/office/drawing/2014/main" id="{0151B4B7-4C80-40C3-BC93-3EED50C61CB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0" name="TextBox 5">
          <a:extLst>
            <a:ext uri="{FF2B5EF4-FFF2-40B4-BE49-F238E27FC236}">
              <a16:creationId xmlns:a16="http://schemas.microsoft.com/office/drawing/2014/main" id="{7826A01B-C68D-4153-BA7A-8C59AC14917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1" name="TextBox 6">
          <a:extLst>
            <a:ext uri="{FF2B5EF4-FFF2-40B4-BE49-F238E27FC236}">
              <a16:creationId xmlns:a16="http://schemas.microsoft.com/office/drawing/2014/main" id="{0C78FD02-CE87-4BD7-B28B-72180553F70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2" name="TextBox 7">
          <a:extLst>
            <a:ext uri="{FF2B5EF4-FFF2-40B4-BE49-F238E27FC236}">
              <a16:creationId xmlns:a16="http://schemas.microsoft.com/office/drawing/2014/main" id="{5CED76C9-561F-4A4D-815F-876C4D4F87F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3" name="TextBox 8">
          <a:extLst>
            <a:ext uri="{FF2B5EF4-FFF2-40B4-BE49-F238E27FC236}">
              <a16:creationId xmlns:a16="http://schemas.microsoft.com/office/drawing/2014/main" id="{9EB98132-CFFA-4AC5-AEE6-035D4583FCE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4" name="TextBox 2">
          <a:extLst>
            <a:ext uri="{FF2B5EF4-FFF2-40B4-BE49-F238E27FC236}">
              <a16:creationId xmlns:a16="http://schemas.microsoft.com/office/drawing/2014/main" id="{1F1E2D94-7857-412C-8884-EC01553F092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5" name="TextBox 4">
          <a:extLst>
            <a:ext uri="{FF2B5EF4-FFF2-40B4-BE49-F238E27FC236}">
              <a16:creationId xmlns:a16="http://schemas.microsoft.com/office/drawing/2014/main" id="{DC96A85D-DC98-476B-BA75-3F9E3CAFAF6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6" name="TextBox 5">
          <a:extLst>
            <a:ext uri="{FF2B5EF4-FFF2-40B4-BE49-F238E27FC236}">
              <a16:creationId xmlns:a16="http://schemas.microsoft.com/office/drawing/2014/main" id="{8B92C040-642F-44D1-9522-D219E77F42D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7" name="TextBox 6">
          <a:extLst>
            <a:ext uri="{FF2B5EF4-FFF2-40B4-BE49-F238E27FC236}">
              <a16:creationId xmlns:a16="http://schemas.microsoft.com/office/drawing/2014/main" id="{AE947023-882D-4098-B90C-39FE4E53B60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8" name="TextBox 7">
          <a:extLst>
            <a:ext uri="{FF2B5EF4-FFF2-40B4-BE49-F238E27FC236}">
              <a16:creationId xmlns:a16="http://schemas.microsoft.com/office/drawing/2014/main" id="{E82F26AD-24D2-4F00-8E40-6C49ABE35BF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09" name="TextBox 8">
          <a:extLst>
            <a:ext uri="{FF2B5EF4-FFF2-40B4-BE49-F238E27FC236}">
              <a16:creationId xmlns:a16="http://schemas.microsoft.com/office/drawing/2014/main" id="{B75CD770-D98B-40B3-A201-40F8046B49E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0" name="TextBox 2">
          <a:extLst>
            <a:ext uri="{FF2B5EF4-FFF2-40B4-BE49-F238E27FC236}">
              <a16:creationId xmlns:a16="http://schemas.microsoft.com/office/drawing/2014/main" id="{2BA5ACC3-4FE3-4D44-AD41-733656450CA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1" name="TextBox 4">
          <a:extLst>
            <a:ext uri="{FF2B5EF4-FFF2-40B4-BE49-F238E27FC236}">
              <a16:creationId xmlns:a16="http://schemas.microsoft.com/office/drawing/2014/main" id="{140AC1CA-CA9B-4E9C-807C-8D1250B44CA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2" name="TextBox 5">
          <a:extLst>
            <a:ext uri="{FF2B5EF4-FFF2-40B4-BE49-F238E27FC236}">
              <a16:creationId xmlns:a16="http://schemas.microsoft.com/office/drawing/2014/main" id="{B415F06B-7E56-4153-9569-FF944BA1F71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3" name="TextBox 6">
          <a:extLst>
            <a:ext uri="{FF2B5EF4-FFF2-40B4-BE49-F238E27FC236}">
              <a16:creationId xmlns:a16="http://schemas.microsoft.com/office/drawing/2014/main" id="{2610F84F-A418-4471-AD0C-65EE279DD16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4" name="TextBox 7">
          <a:extLst>
            <a:ext uri="{FF2B5EF4-FFF2-40B4-BE49-F238E27FC236}">
              <a16:creationId xmlns:a16="http://schemas.microsoft.com/office/drawing/2014/main" id="{E6EBCE9F-1A61-4365-94D9-A8B306CB581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5" name="TextBox 8">
          <a:extLst>
            <a:ext uri="{FF2B5EF4-FFF2-40B4-BE49-F238E27FC236}">
              <a16:creationId xmlns:a16="http://schemas.microsoft.com/office/drawing/2014/main" id="{ECA150DF-5C6D-492C-A9BC-3A332A4ADFB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6" name="TextBox 2">
          <a:extLst>
            <a:ext uri="{FF2B5EF4-FFF2-40B4-BE49-F238E27FC236}">
              <a16:creationId xmlns:a16="http://schemas.microsoft.com/office/drawing/2014/main" id="{7AA02CAF-5495-493C-A7A9-ACC80CD75ED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7" name="TextBox 4">
          <a:extLst>
            <a:ext uri="{FF2B5EF4-FFF2-40B4-BE49-F238E27FC236}">
              <a16:creationId xmlns:a16="http://schemas.microsoft.com/office/drawing/2014/main" id="{857ACAAE-30D7-4ECB-8AEC-90C86451FAB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8" name="TextBox 5">
          <a:extLst>
            <a:ext uri="{FF2B5EF4-FFF2-40B4-BE49-F238E27FC236}">
              <a16:creationId xmlns:a16="http://schemas.microsoft.com/office/drawing/2014/main" id="{F040EA37-2404-4273-890D-6CFA24678D4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19" name="TextBox 6">
          <a:extLst>
            <a:ext uri="{FF2B5EF4-FFF2-40B4-BE49-F238E27FC236}">
              <a16:creationId xmlns:a16="http://schemas.microsoft.com/office/drawing/2014/main" id="{437A667C-228C-4340-B21E-D465EAB4404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0" name="TextBox 7">
          <a:extLst>
            <a:ext uri="{FF2B5EF4-FFF2-40B4-BE49-F238E27FC236}">
              <a16:creationId xmlns:a16="http://schemas.microsoft.com/office/drawing/2014/main" id="{7C72F8E9-261D-456C-927D-80D0E3C4CDB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1" name="TextBox 8">
          <a:extLst>
            <a:ext uri="{FF2B5EF4-FFF2-40B4-BE49-F238E27FC236}">
              <a16:creationId xmlns:a16="http://schemas.microsoft.com/office/drawing/2014/main" id="{582606E6-52DB-4317-BAE1-F1794CF1CD1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2" name="TextBox 2">
          <a:extLst>
            <a:ext uri="{FF2B5EF4-FFF2-40B4-BE49-F238E27FC236}">
              <a16:creationId xmlns:a16="http://schemas.microsoft.com/office/drawing/2014/main" id="{883AE491-9C46-402B-9BBF-3D2B8FEACDD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3" name="TextBox 4">
          <a:extLst>
            <a:ext uri="{FF2B5EF4-FFF2-40B4-BE49-F238E27FC236}">
              <a16:creationId xmlns:a16="http://schemas.microsoft.com/office/drawing/2014/main" id="{8942C388-2994-4B7C-A514-C526B466F55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4" name="TextBox 5">
          <a:extLst>
            <a:ext uri="{FF2B5EF4-FFF2-40B4-BE49-F238E27FC236}">
              <a16:creationId xmlns:a16="http://schemas.microsoft.com/office/drawing/2014/main" id="{01721970-C2C7-4767-A804-626CCE76F78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5" name="TextBox 6">
          <a:extLst>
            <a:ext uri="{FF2B5EF4-FFF2-40B4-BE49-F238E27FC236}">
              <a16:creationId xmlns:a16="http://schemas.microsoft.com/office/drawing/2014/main" id="{3683D646-3B2B-45D0-933C-A27E9EB3E3B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6" name="TextBox 7">
          <a:extLst>
            <a:ext uri="{FF2B5EF4-FFF2-40B4-BE49-F238E27FC236}">
              <a16:creationId xmlns:a16="http://schemas.microsoft.com/office/drawing/2014/main" id="{D53FA1DA-0DD4-4502-9F21-D629308CC3A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7" name="TextBox 8">
          <a:extLst>
            <a:ext uri="{FF2B5EF4-FFF2-40B4-BE49-F238E27FC236}">
              <a16:creationId xmlns:a16="http://schemas.microsoft.com/office/drawing/2014/main" id="{7FFE84DB-F721-47ED-8927-79F47510A1C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8" name="TextBox 2">
          <a:extLst>
            <a:ext uri="{FF2B5EF4-FFF2-40B4-BE49-F238E27FC236}">
              <a16:creationId xmlns:a16="http://schemas.microsoft.com/office/drawing/2014/main" id="{08BF80E6-16D5-4DEE-BC53-4E3B5C07AEC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29" name="TextBox 4">
          <a:extLst>
            <a:ext uri="{FF2B5EF4-FFF2-40B4-BE49-F238E27FC236}">
              <a16:creationId xmlns:a16="http://schemas.microsoft.com/office/drawing/2014/main" id="{ADE6966F-E3E3-4165-8D58-40125FB2DAD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0" name="TextBox 5">
          <a:extLst>
            <a:ext uri="{FF2B5EF4-FFF2-40B4-BE49-F238E27FC236}">
              <a16:creationId xmlns:a16="http://schemas.microsoft.com/office/drawing/2014/main" id="{A67138B1-E83E-42E3-A728-4AF83323442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1" name="TextBox 6">
          <a:extLst>
            <a:ext uri="{FF2B5EF4-FFF2-40B4-BE49-F238E27FC236}">
              <a16:creationId xmlns:a16="http://schemas.microsoft.com/office/drawing/2014/main" id="{35B9DC5E-DA20-4308-BD5A-AF319A16C4C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2" name="TextBox 7">
          <a:extLst>
            <a:ext uri="{FF2B5EF4-FFF2-40B4-BE49-F238E27FC236}">
              <a16:creationId xmlns:a16="http://schemas.microsoft.com/office/drawing/2014/main" id="{3AFD6B90-ADFA-4556-8845-971A8BD9899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3" name="TextBox 8">
          <a:extLst>
            <a:ext uri="{FF2B5EF4-FFF2-40B4-BE49-F238E27FC236}">
              <a16:creationId xmlns:a16="http://schemas.microsoft.com/office/drawing/2014/main" id="{F452C8AD-829B-4502-927C-1A23837F77C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4" name="TextBox 2">
          <a:extLst>
            <a:ext uri="{FF2B5EF4-FFF2-40B4-BE49-F238E27FC236}">
              <a16:creationId xmlns:a16="http://schemas.microsoft.com/office/drawing/2014/main" id="{CC116B93-F17B-4652-BFD5-D9CCEC5FC4A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5" name="TextBox 4">
          <a:extLst>
            <a:ext uri="{FF2B5EF4-FFF2-40B4-BE49-F238E27FC236}">
              <a16:creationId xmlns:a16="http://schemas.microsoft.com/office/drawing/2014/main" id="{36320495-3ECB-4552-81BE-6A08541232F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6" name="TextBox 5">
          <a:extLst>
            <a:ext uri="{FF2B5EF4-FFF2-40B4-BE49-F238E27FC236}">
              <a16:creationId xmlns:a16="http://schemas.microsoft.com/office/drawing/2014/main" id="{2FFCFE1A-F0A0-472C-9E15-6E72DCB84B2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7" name="TextBox 6">
          <a:extLst>
            <a:ext uri="{FF2B5EF4-FFF2-40B4-BE49-F238E27FC236}">
              <a16:creationId xmlns:a16="http://schemas.microsoft.com/office/drawing/2014/main" id="{7AEF29DE-F4B0-4A73-A5C1-843F55DFA2D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8" name="TextBox 7">
          <a:extLst>
            <a:ext uri="{FF2B5EF4-FFF2-40B4-BE49-F238E27FC236}">
              <a16:creationId xmlns:a16="http://schemas.microsoft.com/office/drawing/2014/main" id="{19988990-5E9C-43C5-98C3-004802074A4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39" name="TextBox 8">
          <a:extLst>
            <a:ext uri="{FF2B5EF4-FFF2-40B4-BE49-F238E27FC236}">
              <a16:creationId xmlns:a16="http://schemas.microsoft.com/office/drawing/2014/main" id="{9CF23AF2-EF73-4483-98D8-6E144E909D2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0" name="TextBox 2">
          <a:extLst>
            <a:ext uri="{FF2B5EF4-FFF2-40B4-BE49-F238E27FC236}">
              <a16:creationId xmlns:a16="http://schemas.microsoft.com/office/drawing/2014/main" id="{29AE87DC-AAE1-4FA9-91D9-CA53BDA6C98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1" name="TextBox 4">
          <a:extLst>
            <a:ext uri="{FF2B5EF4-FFF2-40B4-BE49-F238E27FC236}">
              <a16:creationId xmlns:a16="http://schemas.microsoft.com/office/drawing/2014/main" id="{2B02D504-BAA8-4580-911F-66D8F5EB8AD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2" name="TextBox 5">
          <a:extLst>
            <a:ext uri="{FF2B5EF4-FFF2-40B4-BE49-F238E27FC236}">
              <a16:creationId xmlns:a16="http://schemas.microsoft.com/office/drawing/2014/main" id="{6983951C-0625-4A88-BECD-9C0271D7AEC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3" name="TextBox 6">
          <a:extLst>
            <a:ext uri="{FF2B5EF4-FFF2-40B4-BE49-F238E27FC236}">
              <a16:creationId xmlns:a16="http://schemas.microsoft.com/office/drawing/2014/main" id="{7C52E7DB-9FFE-4948-BB67-490DC938BA5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4" name="TextBox 7">
          <a:extLst>
            <a:ext uri="{FF2B5EF4-FFF2-40B4-BE49-F238E27FC236}">
              <a16:creationId xmlns:a16="http://schemas.microsoft.com/office/drawing/2014/main" id="{C041E61C-84D0-4CBA-A313-2E1B5EDF7F0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5" name="TextBox 8">
          <a:extLst>
            <a:ext uri="{FF2B5EF4-FFF2-40B4-BE49-F238E27FC236}">
              <a16:creationId xmlns:a16="http://schemas.microsoft.com/office/drawing/2014/main" id="{05F9F423-B9B8-49C2-8DD3-F01B4E08ABD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6" name="TextBox 2">
          <a:extLst>
            <a:ext uri="{FF2B5EF4-FFF2-40B4-BE49-F238E27FC236}">
              <a16:creationId xmlns:a16="http://schemas.microsoft.com/office/drawing/2014/main" id="{B1FD8E13-5C1A-496E-8972-7F7655270EA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7" name="TextBox 4">
          <a:extLst>
            <a:ext uri="{FF2B5EF4-FFF2-40B4-BE49-F238E27FC236}">
              <a16:creationId xmlns:a16="http://schemas.microsoft.com/office/drawing/2014/main" id="{F7647D3C-3DC0-4BBD-A04E-006084EDEC4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8" name="TextBox 5">
          <a:extLst>
            <a:ext uri="{FF2B5EF4-FFF2-40B4-BE49-F238E27FC236}">
              <a16:creationId xmlns:a16="http://schemas.microsoft.com/office/drawing/2014/main" id="{B58358C9-5099-458A-9330-6B57CDC1538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49" name="TextBox 6">
          <a:extLst>
            <a:ext uri="{FF2B5EF4-FFF2-40B4-BE49-F238E27FC236}">
              <a16:creationId xmlns:a16="http://schemas.microsoft.com/office/drawing/2014/main" id="{A1AC3310-C9E6-4BE0-A804-D8B508DA193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0" name="TextBox 7">
          <a:extLst>
            <a:ext uri="{FF2B5EF4-FFF2-40B4-BE49-F238E27FC236}">
              <a16:creationId xmlns:a16="http://schemas.microsoft.com/office/drawing/2014/main" id="{E2F1DA7B-DB33-4F7C-BD4B-AD50D347839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1" name="TextBox 8">
          <a:extLst>
            <a:ext uri="{FF2B5EF4-FFF2-40B4-BE49-F238E27FC236}">
              <a16:creationId xmlns:a16="http://schemas.microsoft.com/office/drawing/2014/main" id="{7336EEE7-655C-4A23-9898-AF2084D52D1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2" name="TextBox 2">
          <a:extLst>
            <a:ext uri="{FF2B5EF4-FFF2-40B4-BE49-F238E27FC236}">
              <a16:creationId xmlns:a16="http://schemas.microsoft.com/office/drawing/2014/main" id="{594D69D8-966F-4454-9D1F-77496C2A142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3" name="TextBox 4">
          <a:extLst>
            <a:ext uri="{FF2B5EF4-FFF2-40B4-BE49-F238E27FC236}">
              <a16:creationId xmlns:a16="http://schemas.microsoft.com/office/drawing/2014/main" id="{B6662486-E49D-491D-9E60-194F5EC86A6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4" name="TextBox 5">
          <a:extLst>
            <a:ext uri="{FF2B5EF4-FFF2-40B4-BE49-F238E27FC236}">
              <a16:creationId xmlns:a16="http://schemas.microsoft.com/office/drawing/2014/main" id="{F19E2AD0-4C79-4FD7-9B0D-EB7841D9903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5" name="TextBox 6">
          <a:extLst>
            <a:ext uri="{FF2B5EF4-FFF2-40B4-BE49-F238E27FC236}">
              <a16:creationId xmlns:a16="http://schemas.microsoft.com/office/drawing/2014/main" id="{88BBC3EA-2BE3-46F8-99DA-C099791924A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6" name="TextBox 7">
          <a:extLst>
            <a:ext uri="{FF2B5EF4-FFF2-40B4-BE49-F238E27FC236}">
              <a16:creationId xmlns:a16="http://schemas.microsoft.com/office/drawing/2014/main" id="{336523AE-42B9-438C-BCFF-CA4723A661E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7" name="TextBox 8">
          <a:extLst>
            <a:ext uri="{FF2B5EF4-FFF2-40B4-BE49-F238E27FC236}">
              <a16:creationId xmlns:a16="http://schemas.microsoft.com/office/drawing/2014/main" id="{CE751755-4758-4163-8E3C-9DAAAE411C8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8" name="TextBox 2">
          <a:extLst>
            <a:ext uri="{FF2B5EF4-FFF2-40B4-BE49-F238E27FC236}">
              <a16:creationId xmlns:a16="http://schemas.microsoft.com/office/drawing/2014/main" id="{2D2090FD-0412-4B99-A131-74B81177BF6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59" name="TextBox 4">
          <a:extLst>
            <a:ext uri="{FF2B5EF4-FFF2-40B4-BE49-F238E27FC236}">
              <a16:creationId xmlns:a16="http://schemas.microsoft.com/office/drawing/2014/main" id="{804EEC80-CBA9-4A43-A2BB-AC5EA4F88B0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0" name="TextBox 5">
          <a:extLst>
            <a:ext uri="{FF2B5EF4-FFF2-40B4-BE49-F238E27FC236}">
              <a16:creationId xmlns:a16="http://schemas.microsoft.com/office/drawing/2014/main" id="{BC2D6E15-6BB2-45CE-8202-A821B48BBC5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1" name="TextBox 6">
          <a:extLst>
            <a:ext uri="{FF2B5EF4-FFF2-40B4-BE49-F238E27FC236}">
              <a16:creationId xmlns:a16="http://schemas.microsoft.com/office/drawing/2014/main" id="{506491F9-E13E-465B-984F-1256CB42683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2" name="TextBox 7">
          <a:extLst>
            <a:ext uri="{FF2B5EF4-FFF2-40B4-BE49-F238E27FC236}">
              <a16:creationId xmlns:a16="http://schemas.microsoft.com/office/drawing/2014/main" id="{3060E4B0-58B2-40E7-A1C0-CF4EF3FD646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3" name="TextBox 8">
          <a:extLst>
            <a:ext uri="{FF2B5EF4-FFF2-40B4-BE49-F238E27FC236}">
              <a16:creationId xmlns:a16="http://schemas.microsoft.com/office/drawing/2014/main" id="{5C82B636-49BA-4118-B5F6-91AEC3DC296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4" name="TextBox 2">
          <a:extLst>
            <a:ext uri="{FF2B5EF4-FFF2-40B4-BE49-F238E27FC236}">
              <a16:creationId xmlns:a16="http://schemas.microsoft.com/office/drawing/2014/main" id="{53205FED-4FF1-4F55-AD22-5FDE07FA165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5" name="TextBox 4">
          <a:extLst>
            <a:ext uri="{FF2B5EF4-FFF2-40B4-BE49-F238E27FC236}">
              <a16:creationId xmlns:a16="http://schemas.microsoft.com/office/drawing/2014/main" id="{0DCB55C5-9D31-44EC-BB72-7A43E51ABEB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6" name="TextBox 5">
          <a:extLst>
            <a:ext uri="{FF2B5EF4-FFF2-40B4-BE49-F238E27FC236}">
              <a16:creationId xmlns:a16="http://schemas.microsoft.com/office/drawing/2014/main" id="{C40A258B-A587-43B0-948C-C3ED667064E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7" name="TextBox 6">
          <a:extLst>
            <a:ext uri="{FF2B5EF4-FFF2-40B4-BE49-F238E27FC236}">
              <a16:creationId xmlns:a16="http://schemas.microsoft.com/office/drawing/2014/main" id="{AF1401C9-3997-46DF-BB9B-5F4926198E5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8" name="TextBox 7">
          <a:extLst>
            <a:ext uri="{FF2B5EF4-FFF2-40B4-BE49-F238E27FC236}">
              <a16:creationId xmlns:a16="http://schemas.microsoft.com/office/drawing/2014/main" id="{41DEE4C8-3582-45B1-9663-C7CCDED3011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69" name="TextBox 8">
          <a:extLst>
            <a:ext uri="{FF2B5EF4-FFF2-40B4-BE49-F238E27FC236}">
              <a16:creationId xmlns:a16="http://schemas.microsoft.com/office/drawing/2014/main" id="{1ADD9E24-7FB0-473E-A7CE-C1D9D831067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0" name="TextBox 2">
          <a:extLst>
            <a:ext uri="{FF2B5EF4-FFF2-40B4-BE49-F238E27FC236}">
              <a16:creationId xmlns:a16="http://schemas.microsoft.com/office/drawing/2014/main" id="{0B81AC72-B5C3-4381-A7E3-02AEB2FDFB1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1" name="TextBox 4">
          <a:extLst>
            <a:ext uri="{FF2B5EF4-FFF2-40B4-BE49-F238E27FC236}">
              <a16:creationId xmlns:a16="http://schemas.microsoft.com/office/drawing/2014/main" id="{B342627B-53D8-4F8D-8588-11E92411989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2" name="TextBox 5">
          <a:extLst>
            <a:ext uri="{FF2B5EF4-FFF2-40B4-BE49-F238E27FC236}">
              <a16:creationId xmlns:a16="http://schemas.microsoft.com/office/drawing/2014/main" id="{1227F581-7841-4107-AA5A-51C80099528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3" name="TextBox 6">
          <a:extLst>
            <a:ext uri="{FF2B5EF4-FFF2-40B4-BE49-F238E27FC236}">
              <a16:creationId xmlns:a16="http://schemas.microsoft.com/office/drawing/2014/main" id="{2701B376-1BE1-4BED-AACC-FF4439B783B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4" name="TextBox 7">
          <a:extLst>
            <a:ext uri="{FF2B5EF4-FFF2-40B4-BE49-F238E27FC236}">
              <a16:creationId xmlns:a16="http://schemas.microsoft.com/office/drawing/2014/main" id="{4C6322DD-5077-4A1E-BB38-10B1F2C7DC0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5" name="TextBox 8">
          <a:extLst>
            <a:ext uri="{FF2B5EF4-FFF2-40B4-BE49-F238E27FC236}">
              <a16:creationId xmlns:a16="http://schemas.microsoft.com/office/drawing/2014/main" id="{DB26409D-C3C1-4718-BC29-1F9171FC9CB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6" name="TextBox 2">
          <a:extLst>
            <a:ext uri="{FF2B5EF4-FFF2-40B4-BE49-F238E27FC236}">
              <a16:creationId xmlns:a16="http://schemas.microsoft.com/office/drawing/2014/main" id="{71C4189C-4679-4CA8-A64D-4B1417520AA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7" name="TextBox 4">
          <a:extLst>
            <a:ext uri="{FF2B5EF4-FFF2-40B4-BE49-F238E27FC236}">
              <a16:creationId xmlns:a16="http://schemas.microsoft.com/office/drawing/2014/main" id="{FE02DB86-B45D-4DCF-9001-45058238B3A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8" name="TextBox 5">
          <a:extLst>
            <a:ext uri="{FF2B5EF4-FFF2-40B4-BE49-F238E27FC236}">
              <a16:creationId xmlns:a16="http://schemas.microsoft.com/office/drawing/2014/main" id="{C98CC475-8F67-4850-A246-FAE3D65BD8B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79" name="TextBox 6">
          <a:extLst>
            <a:ext uri="{FF2B5EF4-FFF2-40B4-BE49-F238E27FC236}">
              <a16:creationId xmlns:a16="http://schemas.microsoft.com/office/drawing/2014/main" id="{C9ED20EE-09B6-4FA7-83A6-305BD25B2DA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0" name="TextBox 7">
          <a:extLst>
            <a:ext uri="{FF2B5EF4-FFF2-40B4-BE49-F238E27FC236}">
              <a16:creationId xmlns:a16="http://schemas.microsoft.com/office/drawing/2014/main" id="{B79AD625-DAE6-427C-B222-C2F0F53667B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1" name="TextBox 8">
          <a:extLst>
            <a:ext uri="{FF2B5EF4-FFF2-40B4-BE49-F238E27FC236}">
              <a16:creationId xmlns:a16="http://schemas.microsoft.com/office/drawing/2014/main" id="{603B44B9-D816-4DC9-BABB-1A07F33B162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2" name="TextBox 2">
          <a:extLst>
            <a:ext uri="{FF2B5EF4-FFF2-40B4-BE49-F238E27FC236}">
              <a16:creationId xmlns:a16="http://schemas.microsoft.com/office/drawing/2014/main" id="{8D585905-D5BD-477E-8D10-9C1DC834293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3" name="TextBox 4">
          <a:extLst>
            <a:ext uri="{FF2B5EF4-FFF2-40B4-BE49-F238E27FC236}">
              <a16:creationId xmlns:a16="http://schemas.microsoft.com/office/drawing/2014/main" id="{8D06F7AF-7F4A-48AE-A318-218A3FF7040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4" name="TextBox 5">
          <a:extLst>
            <a:ext uri="{FF2B5EF4-FFF2-40B4-BE49-F238E27FC236}">
              <a16:creationId xmlns:a16="http://schemas.microsoft.com/office/drawing/2014/main" id="{C639F1CB-3AA5-4BB3-99E2-17AA4B3109A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5" name="TextBox 6">
          <a:extLst>
            <a:ext uri="{FF2B5EF4-FFF2-40B4-BE49-F238E27FC236}">
              <a16:creationId xmlns:a16="http://schemas.microsoft.com/office/drawing/2014/main" id="{3BB67D10-5D73-4637-9608-0DF5C072322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6" name="TextBox 7">
          <a:extLst>
            <a:ext uri="{FF2B5EF4-FFF2-40B4-BE49-F238E27FC236}">
              <a16:creationId xmlns:a16="http://schemas.microsoft.com/office/drawing/2014/main" id="{EF560899-6557-45B8-9E69-F4204DD1344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7" name="TextBox 8">
          <a:extLst>
            <a:ext uri="{FF2B5EF4-FFF2-40B4-BE49-F238E27FC236}">
              <a16:creationId xmlns:a16="http://schemas.microsoft.com/office/drawing/2014/main" id="{9B3DBC39-B85E-44DA-8258-83C3A6A1445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8" name="TextBox 2">
          <a:extLst>
            <a:ext uri="{FF2B5EF4-FFF2-40B4-BE49-F238E27FC236}">
              <a16:creationId xmlns:a16="http://schemas.microsoft.com/office/drawing/2014/main" id="{22FD5E26-3119-443E-AF5E-8206224E766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89" name="TextBox 4">
          <a:extLst>
            <a:ext uri="{FF2B5EF4-FFF2-40B4-BE49-F238E27FC236}">
              <a16:creationId xmlns:a16="http://schemas.microsoft.com/office/drawing/2014/main" id="{E9353912-0B24-45DC-901A-66BDACA8AD7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0" name="TextBox 5">
          <a:extLst>
            <a:ext uri="{FF2B5EF4-FFF2-40B4-BE49-F238E27FC236}">
              <a16:creationId xmlns:a16="http://schemas.microsoft.com/office/drawing/2014/main" id="{12F934BD-3178-4AB0-9D08-AFA49CAB19E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1" name="TextBox 6">
          <a:extLst>
            <a:ext uri="{FF2B5EF4-FFF2-40B4-BE49-F238E27FC236}">
              <a16:creationId xmlns:a16="http://schemas.microsoft.com/office/drawing/2014/main" id="{2F607EF4-2DC0-40CE-9BE3-FDBCFB3C4EA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2" name="TextBox 7">
          <a:extLst>
            <a:ext uri="{FF2B5EF4-FFF2-40B4-BE49-F238E27FC236}">
              <a16:creationId xmlns:a16="http://schemas.microsoft.com/office/drawing/2014/main" id="{8433F2E9-3D98-426F-A911-A71C4234405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3" name="TextBox 8">
          <a:extLst>
            <a:ext uri="{FF2B5EF4-FFF2-40B4-BE49-F238E27FC236}">
              <a16:creationId xmlns:a16="http://schemas.microsoft.com/office/drawing/2014/main" id="{A0C1FB52-F1DC-44A5-BB84-47FBF37BB13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4" name="TextBox 2">
          <a:extLst>
            <a:ext uri="{FF2B5EF4-FFF2-40B4-BE49-F238E27FC236}">
              <a16:creationId xmlns:a16="http://schemas.microsoft.com/office/drawing/2014/main" id="{BF224E23-9357-4342-9C6A-E71C7B5FB22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5" name="TextBox 4">
          <a:extLst>
            <a:ext uri="{FF2B5EF4-FFF2-40B4-BE49-F238E27FC236}">
              <a16:creationId xmlns:a16="http://schemas.microsoft.com/office/drawing/2014/main" id="{1C12F12B-DAD3-4963-B6C1-9C2884E6E7E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6" name="TextBox 5">
          <a:extLst>
            <a:ext uri="{FF2B5EF4-FFF2-40B4-BE49-F238E27FC236}">
              <a16:creationId xmlns:a16="http://schemas.microsoft.com/office/drawing/2014/main" id="{DF154935-B478-4143-A0F0-B6ED02BD036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7" name="TextBox 6">
          <a:extLst>
            <a:ext uri="{FF2B5EF4-FFF2-40B4-BE49-F238E27FC236}">
              <a16:creationId xmlns:a16="http://schemas.microsoft.com/office/drawing/2014/main" id="{C46917BB-154A-439A-81D6-15AD2AF8400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8" name="TextBox 7">
          <a:extLst>
            <a:ext uri="{FF2B5EF4-FFF2-40B4-BE49-F238E27FC236}">
              <a16:creationId xmlns:a16="http://schemas.microsoft.com/office/drawing/2014/main" id="{8CB283D8-6B8F-4E59-89C7-2BA7EA065FF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899" name="TextBox 8">
          <a:extLst>
            <a:ext uri="{FF2B5EF4-FFF2-40B4-BE49-F238E27FC236}">
              <a16:creationId xmlns:a16="http://schemas.microsoft.com/office/drawing/2014/main" id="{256FA324-2635-45DB-B6CA-4CE9E20FD61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0" name="TextBox 2">
          <a:extLst>
            <a:ext uri="{FF2B5EF4-FFF2-40B4-BE49-F238E27FC236}">
              <a16:creationId xmlns:a16="http://schemas.microsoft.com/office/drawing/2014/main" id="{66378789-25D7-4730-B03D-E25A122D53E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1" name="TextBox 4">
          <a:extLst>
            <a:ext uri="{FF2B5EF4-FFF2-40B4-BE49-F238E27FC236}">
              <a16:creationId xmlns:a16="http://schemas.microsoft.com/office/drawing/2014/main" id="{877AB046-6E14-4EEC-940C-31A0FC48687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2" name="TextBox 5">
          <a:extLst>
            <a:ext uri="{FF2B5EF4-FFF2-40B4-BE49-F238E27FC236}">
              <a16:creationId xmlns:a16="http://schemas.microsoft.com/office/drawing/2014/main" id="{9471D5F6-78FC-46F4-B3FD-DB56BD43771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3" name="TextBox 6">
          <a:extLst>
            <a:ext uri="{FF2B5EF4-FFF2-40B4-BE49-F238E27FC236}">
              <a16:creationId xmlns:a16="http://schemas.microsoft.com/office/drawing/2014/main" id="{4DE508B7-F440-4C95-B93D-56D2FE256D7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4" name="TextBox 7">
          <a:extLst>
            <a:ext uri="{FF2B5EF4-FFF2-40B4-BE49-F238E27FC236}">
              <a16:creationId xmlns:a16="http://schemas.microsoft.com/office/drawing/2014/main" id="{B566B2A0-020F-4307-8B7C-91E606E76C6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5" name="TextBox 8">
          <a:extLst>
            <a:ext uri="{FF2B5EF4-FFF2-40B4-BE49-F238E27FC236}">
              <a16:creationId xmlns:a16="http://schemas.microsoft.com/office/drawing/2014/main" id="{4FE191DD-7894-4FE0-B061-47B56169D22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6" name="TextBox 2">
          <a:extLst>
            <a:ext uri="{FF2B5EF4-FFF2-40B4-BE49-F238E27FC236}">
              <a16:creationId xmlns:a16="http://schemas.microsoft.com/office/drawing/2014/main" id="{2C12C2E3-0F09-409F-90EA-7FC8774CC913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7" name="TextBox 4">
          <a:extLst>
            <a:ext uri="{FF2B5EF4-FFF2-40B4-BE49-F238E27FC236}">
              <a16:creationId xmlns:a16="http://schemas.microsoft.com/office/drawing/2014/main" id="{5711F036-D90D-4BE6-B671-C6477F673007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8" name="TextBox 5">
          <a:extLst>
            <a:ext uri="{FF2B5EF4-FFF2-40B4-BE49-F238E27FC236}">
              <a16:creationId xmlns:a16="http://schemas.microsoft.com/office/drawing/2014/main" id="{698AF1AA-DC03-480F-A380-EBFFDFECCDB7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09" name="TextBox 6">
          <a:extLst>
            <a:ext uri="{FF2B5EF4-FFF2-40B4-BE49-F238E27FC236}">
              <a16:creationId xmlns:a16="http://schemas.microsoft.com/office/drawing/2014/main" id="{4BC78D38-D92A-403F-828A-8C92D76AD481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0" name="TextBox 7">
          <a:extLst>
            <a:ext uri="{FF2B5EF4-FFF2-40B4-BE49-F238E27FC236}">
              <a16:creationId xmlns:a16="http://schemas.microsoft.com/office/drawing/2014/main" id="{9F73C7B4-2396-4821-B9AF-77C55C50D7EC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1" name="TextBox 8">
          <a:extLst>
            <a:ext uri="{FF2B5EF4-FFF2-40B4-BE49-F238E27FC236}">
              <a16:creationId xmlns:a16="http://schemas.microsoft.com/office/drawing/2014/main" id="{AF2DEA84-4BEF-4BD9-8F74-D1DCCABD5E85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2" name="TextBox 2">
          <a:extLst>
            <a:ext uri="{FF2B5EF4-FFF2-40B4-BE49-F238E27FC236}">
              <a16:creationId xmlns:a16="http://schemas.microsoft.com/office/drawing/2014/main" id="{FCE0F0A3-7E51-4965-9ECE-371731C2A196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3" name="TextBox 4">
          <a:extLst>
            <a:ext uri="{FF2B5EF4-FFF2-40B4-BE49-F238E27FC236}">
              <a16:creationId xmlns:a16="http://schemas.microsoft.com/office/drawing/2014/main" id="{1504B75F-5B50-4628-ABD0-74E0D760B705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4" name="TextBox 5">
          <a:extLst>
            <a:ext uri="{FF2B5EF4-FFF2-40B4-BE49-F238E27FC236}">
              <a16:creationId xmlns:a16="http://schemas.microsoft.com/office/drawing/2014/main" id="{0E1FAB6A-DB45-4EC3-9911-98088DCD25FD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5" name="TextBox 6">
          <a:extLst>
            <a:ext uri="{FF2B5EF4-FFF2-40B4-BE49-F238E27FC236}">
              <a16:creationId xmlns:a16="http://schemas.microsoft.com/office/drawing/2014/main" id="{3CD4D173-5544-4735-8F1F-0FFCF8CDD65E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6" name="TextBox 7">
          <a:extLst>
            <a:ext uri="{FF2B5EF4-FFF2-40B4-BE49-F238E27FC236}">
              <a16:creationId xmlns:a16="http://schemas.microsoft.com/office/drawing/2014/main" id="{C49A948D-8111-435A-8524-596C7F185EB1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7" name="TextBox 8">
          <a:extLst>
            <a:ext uri="{FF2B5EF4-FFF2-40B4-BE49-F238E27FC236}">
              <a16:creationId xmlns:a16="http://schemas.microsoft.com/office/drawing/2014/main" id="{4E81751A-D316-4E17-8C76-17CC7338BCC9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8" name="TextBox 2">
          <a:extLst>
            <a:ext uri="{FF2B5EF4-FFF2-40B4-BE49-F238E27FC236}">
              <a16:creationId xmlns:a16="http://schemas.microsoft.com/office/drawing/2014/main" id="{86579B89-3D02-4798-82BA-E2C95799F34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19" name="TextBox 4">
          <a:extLst>
            <a:ext uri="{FF2B5EF4-FFF2-40B4-BE49-F238E27FC236}">
              <a16:creationId xmlns:a16="http://schemas.microsoft.com/office/drawing/2014/main" id="{7FF7C176-D265-4FA5-B9A1-95465226179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0" name="TextBox 5">
          <a:extLst>
            <a:ext uri="{FF2B5EF4-FFF2-40B4-BE49-F238E27FC236}">
              <a16:creationId xmlns:a16="http://schemas.microsoft.com/office/drawing/2014/main" id="{9D23D517-9EF5-4628-AE82-914055F5002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1" name="TextBox 6">
          <a:extLst>
            <a:ext uri="{FF2B5EF4-FFF2-40B4-BE49-F238E27FC236}">
              <a16:creationId xmlns:a16="http://schemas.microsoft.com/office/drawing/2014/main" id="{C892E921-85BF-4174-8FD8-DBC61F4E4D7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2" name="TextBox 7">
          <a:extLst>
            <a:ext uri="{FF2B5EF4-FFF2-40B4-BE49-F238E27FC236}">
              <a16:creationId xmlns:a16="http://schemas.microsoft.com/office/drawing/2014/main" id="{5885DC5A-0741-4577-8766-7A31087DFBC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3" name="TextBox 8">
          <a:extLst>
            <a:ext uri="{FF2B5EF4-FFF2-40B4-BE49-F238E27FC236}">
              <a16:creationId xmlns:a16="http://schemas.microsoft.com/office/drawing/2014/main" id="{6E57F8D8-57BB-4624-BB33-B877DAE2D58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4" name="TextBox 2">
          <a:extLst>
            <a:ext uri="{FF2B5EF4-FFF2-40B4-BE49-F238E27FC236}">
              <a16:creationId xmlns:a16="http://schemas.microsoft.com/office/drawing/2014/main" id="{0427D860-CB58-44CB-9586-8A9FCDEE886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5" name="TextBox 4">
          <a:extLst>
            <a:ext uri="{FF2B5EF4-FFF2-40B4-BE49-F238E27FC236}">
              <a16:creationId xmlns:a16="http://schemas.microsoft.com/office/drawing/2014/main" id="{540B990F-B146-4C80-8411-F9574AC79CD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6" name="TextBox 5">
          <a:extLst>
            <a:ext uri="{FF2B5EF4-FFF2-40B4-BE49-F238E27FC236}">
              <a16:creationId xmlns:a16="http://schemas.microsoft.com/office/drawing/2014/main" id="{B2E268E5-D351-4DDE-84ED-AE6C9E6215D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7" name="TextBox 6">
          <a:extLst>
            <a:ext uri="{FF2B5EF4-FFF2-40B4-BE49-F238E27FC236}">
              <a16:creationId xmlns:a16="http://schemas.microsoft.com/office/drawing/2014/main" id="{3282FB36-1320-487A-8F30-22DA7AD1595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8" name="TextBox 7">
          <a:extLst>
            <a:ext uri="{FF2B5EF4-FFF2-40B4-BE49-F238E27FC236}">
              <a16:creationId xmlns:a16="http://schemas.microsoft.com/office/drawing/2014/main" id="{35121931-CEDC-420F-8D55-B17263C52E4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29" name="TextBox 8">
          <a:extLst>
            <a:ext uri="{FF2B5EF4-FFF2-40B4-BE49-F238E27FC236}">
              <a16:creationId xmlns:a16="http://schemas.microsoft.com/office/drawing/2014/main" id="{B3C7FFB5-FC5C-42DF-ABFE-9778D8739E9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0" name="TextBox 2">
          <a:extLst>
            <a:ext uri="{FF2B5EF4-FFF2-40B4-BE49-F238E27FC236}">
              <a16:creationId xmlns:a16="http://schemas.microsoft.com/office/drawing/2014/main" id="{D49776D8-7C2C-4B9A-9FB0-DCAE8D139B7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1" name="TextBox 4">
          <a:extLst>
            <a:ext uri="{FF2B5EF4-FFF2-40B4-BE49-F238E27FC236}">
              <a16:creationId xmlns:a16="http://schemas.microsoft.com/office/drawing/2014/main" id="{9C0C6437-4002-4864-90DD-D46676F3164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2" name="TextBox 5">
          <a:extLst>
            <a:ext uri="{FF2B5EF4-FFF2-40B4-BE49-F238E27FC236}">
              <a16:creationId xmlns:a16="http://schemas.microsoft.com/office/drawing/2014/main" id="{D84456D4-5CB7-4354-9622-1B1F3A04467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3" name="TextBox 6">
          <a:extLst>
            <a:ext uri="{FF2B5EF4-FFF2-40B4-BE49-F238E27FC236}">
              <a16:creationId xmlns:a16="http://schemas.microsoft.com/office/drawing/2014/main" id="{2D8458B5-BFDF-44EE-960F-AEEDC398C38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4" name="TextBox 7">
          <a:extLst>
            <a:ext uri="{FF2B5EF4-FFF2-40B4-BE49-F238E27FC236}">
              <a16:creationId xmlns:a16="http://schemas.microsoft.com/office/drawing/2014/main" id="{06B83034-FDF0-42C3-B222-AFA13607A6D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5" name="TextBox 8">
          <a:extLst>
            <a:ext uri="{FF2B5EF4-FFF2-40B4-BE49-F238E27FC236}">
              <a16:creationId xmlns:a16="http://schemas.microsoft.com/office/drawing/2014/main" id="{4E798A2B-970B-4D96-B129-5C38F0FE820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6" name="TextBox 2">
          <a:extLst>
            <a:ext uri="{FF2B5EF4-FFF2-40B4-BE49-F238E27FC236}">
              <a16:creationId xmlns:a16="http://schemas.microsoft.com/office/drawing/2014/main" id="{D8B18117-F99A-4127-8756-7FEFC641BE0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7" name="TextBox 4">
          <a:extLst>
            <a:ext uri="{FF2B5EF4-FFF2-40B4-BE49-F238E27FC236}">
              <a16:creationId xmlns:a16="http://schemas.microsoft.com/office/drawing/2014/main" id="{27EA9201-C495-40A5-BA8C-2CF5359DC42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8" name="TextBox 5">
          <a:extLst>
            <a:ext uri="{FF2B5EF4-FFF2-40B4-BE49-F238E27FC236}">
              <a16:creationId xmlns:a16="http://schemas.microsoft.com/office/drawing/2014/main" id="{CD102452-0655-416C-A3AD-7EC87E5B086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39" name="TextBox 6">
          <a:extLst>
            <a:ext uri="{FF2B5EF4-FFF2-40B4-BE49-F238E27FC236}">
              <a16:creationId xmlns:a16="http://schemas.microsoft.com/office/drawing/2014/main" id="{7C718B60-EFB6-4134-82F6-5FF3A4200E0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0" name="TextBox 7">
          <a:extLst>
            <a:ext uri="{FF2B5EF4-FFF2-40B4-BE49-F238E27FC236}">
              <a16:creationId xmlns:a16="http://schemas.microsoft.com/office/drawing/2014/main" id="{5C540F57-8270-4684-9FDA-23EF4FD8C31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1" name="TextBox 8">
          <a:extLst>
            <a:ext uri="{FF2B5EF4-FFF2-40B4-BE49-F238E27FC236}">
              <a16:creationId xmlns:a16="http://schemas.microsoft.com/office/drawing/2014/main" id="{30837E0D-4394-4971-9F5E-DA4A55F6834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2" name="TextBox 2">
          <a:extLst>
            <a:ext uri="{FF2B5EF4-FFF2-40B4-BE49-F238E27FC236}">
              <a16:creationId xmlns:a16="http://schemas.microsoft.com/office/drawing/2014/main" id="{F45A5497-8F92-46B7-9F2D-799A1F6A39C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3" name="TextBox 4">
          <a:extLst>
            <a:ext uri="{FF2B5EF4-FFF2-40B4-BE49-F238E27FC236}">
              <a16:creationId xmlns:a16="http://schemas.microsoft.com/office/drawing/2014/main" id="{70F00D8D-F622-4BE4-B6F7-D606104A92B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4" name="TextBox 5">
          <a:extLst>
            <a:ext uri="{FF2B5EF4-FFF2-40B4-BE49-F238E27FC236}">
              <a16:creationId xmlns:a16="http://schemas.microsoft.com/office/drawing/2014/main" id="{3DC61FA1-C1F2-4D33-A6B1-86B5185038A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5" name="TextBox 6">
          <a:extLst>
            <a:ext uri="{FF2B5EF4-FFF2-40B4-BE49-F238E27FC236}">
              <a16:creationId xmlns:a16="http://schemas.microsoft.com/office/drawing/2014/main" id="{84A0EFD9-192E-4E99-95CF-8B0D4E4133E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6" name="TextBox 7">
          <a:extLst>
            <a:ext uri="{FF2B5EF4-FFF2-40B4-BE49-F238E27FC236}">
              <a16:creationId xmlns:a16="http://schemas.microsoft.com/office/drawing/2014/main" id="{AC1558A4-1DAA-463A-B657-B6F49CA16D8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7" name="TextBox 8">
          <a:extLst>
            <a:ext uri="{FF2B5EF4-FFF2-40B4-BE49-F238E27FC236}">
              <a16:creationId xmlns:a16="http://schemas.microsoft.com/office/drawing/2014/main" id="{8D8881BB-AB6F-4F5F-B7BB-78182F4B489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8" name="TextBox 2">
          <a:extLst>
            <a:ext uri="{FF2B5EF4-FFF2-40B4-BE49-F238E27FC236}">
              <a16:creationId xmlns:a16="http://schemas.microsoft.com/office/drawing/2014/main" id="{BE50976C-6C0F-4D71-BA2E-FB269945BDF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49" name="TextBox 4">
          <a:extLst>
            <a:ext uri="{FF2B5EF4-FFF2-40B4-BE49-F238E27FC236}">
              <a16:creationId xmlns:a16="http://schemas.microsoft.com/office/drawing/2014/main" id="{4DE301E4-FDD4-4CCC-9CE3-C75027B6ADF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0" name="TextBox 5">
          <a:extLst>
            <a:ext uri="{FF2B5EF4-FFF2-40B4-BE49-F238E27FC236}">
              <a16:creationId xmlns:a16="http://schemas.microsoft.com/office/drawing/2014/main" id="{9989D220-49E5-41C3-B7A5-71207CA4391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1" name="TextBox 6">
          <a:extLst>
            <a:ext uri="{FF2B5EF4-FFF2-40B4-BE49-F238E27FC236}">
              <a16:creationId xmlns:a16="http://schemas.microsoft.com/office/drawing/2014/main" id="{7732ECC2-6112-4212-A313-8000A316F7C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2" name="TextBox 7">
          <a:extLst>
            <a:ext uri="{FF2B5EF4-FFF2-40B4-BE49-F238E27FC236}">
              <a16:creationId xmlns:a16="http://schemas.microsoft.com/office/drawing/2014/main" id="{85B7C050-6D64-48E4-96BF-5CE0B07394A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3" name="TextBox 8">
          <a:extLst>
            <a:ext uri="{FF2B5EF4-FFF2-40B4-BE49-F238E27FC236}">
              <a16:creationId xmlns:a16="http://schemas.microsoft.com/office/drawing/2014/main" id="{93AEE686-20B4-412D-830C-B23236EC651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4" name="TextBox 2">
          <a:extLst>
            <a:ext uri="{FF2B5EF4-FFF2-40B4-BE49-F238E27FC236}">
              <a16:creationId xmlns:a16="http://schemas.microsoft.com/office/drawing/2014/main" id="{B01EA0AD-EAE9-44D5-A76E-6ED2A5E7B63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5" name="TextBox 4">
          <a:extLst>
            <a:ext uri="{FF2B5EF4-FFF2-40B4-BE49-F238E27FC236}">
              <a16:creationId xmlns:a16="http://schemas.microsoft.com/office/drawing/2014/main" id="{82F8A742-B0D5-4E91-8376-55D85A03B73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6" name="TextBox 5">
          <a:extLst>
            <a:ext uri="{FF2B5EF4-FFF2-40B4-BE49-F238E27FC236}">
              <a16:creationId xmlns:a16="http://schemas.microsoft.com/office/drawing/2014/main" id="{0283FE88-C9E0-4D7C-8333-B1FCFC39282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7" name="TextBox 6">
          <a:extLst>
            <a:ext uri="{FF2B5EF4-FFF2-40B4-BE49-F238E27FC236}">
              <a16:creationId xmlns:a16="http://schemas.microsoft.com/office/drawing/2014/main" id="{E1D4C37B-0586-44DD-905D-7A3630098A9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8" name="TextBox 7">
          <a:extLst>
            <a:ext uri="{FF2B5EF4-FFF2-40B4-BE49-F238E27FC236}">
              <a16:creationId xmlns:a16="http://schemas.microsoft.com/office/drawing/2014/main" id="{C808847A-4238-4D84-842A-E9A0151A1D0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59" name="TextBox 8">
          <a:extLst>
            <a:ext uri="{FF2B5EF4-FFF2-40B4-BE49-F238E27FC236}">
              <a16:creationId xmlns:a16="http://schemas.microsoft.com/office/drawing/2014/main" id="{008F6A19-1588-40AC-88CE-94B44C3C4DB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0" name="TextBox 2">
          <a:extLst>
            <a:ext uri="{FF2B5EF4-FFF2-40B4-BE49-F238E27FC236}">
              <a16:creationId xmlns:a16="http://schemas.microsoft.com/office/drawing/2014/main" id="{0AB41B98-7E36-4382-814D-629FAB94F0B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1" name="TextBox 4">
          <a:extLst>
            <a:ext uri="{FF2B5EF4-FFF2-40B4-BE49-F238E27FC236}">
              <a16:creationId xmlns:a16="http://schemas.microsoft.com/office/drawing/2014/main" id="{3E21458E-A727-457A-9B34-428CF20B9D4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2" name="TextBox 5">
          <a:extLst>
            <a:ext uri="{FF2B5EF4-FFF2-40B4-BE49-F238E27FC236}">
              <a16:creationId xmlns:a16="http://schemas.microsoft.com/office/drawing/2014/main" id="{E77B253F-024D-4DEF-BBFF-60D9C369726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3" name="TextBox 6">
          <a:extLst>
            <a:ext uri="{FF2B5EF4-FFF2-40B4-BE49-F238E27FC236}">
              <a16:creationId xmlns:a16="http://schemas.microsoft.com/office/drawing/2014/main" id="{0E3F99C0-A63E-419E-90E0-34AF255024D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4" name="TextBox 7">
          <a:extLst>
            <a:ext uri="{FF2B5EF4-FFF2-40B4-BE49-F238E27FC236}">
              <a16:creationId xmlns:a16="http://schemas.microsoft.com/office/drawing/2014/main" id="{838F222B-9E74-49E1-9E47-0543FA5F30C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5" name="TextBox 8">
          <a:extLst>
            <a:ext uri="{FF2B5EF4-FFF2-40B4-BE49-F238E27FC236}">
              <a16:creationId xmlns:a16="http://schemas.microsoft.com/office/drawing/2014/main" id="{4CA435B7-AC7A-4261-8707-623792E8971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6" name="TextBox 2">
          <a:extLst>
            <a:ext uri="{FF2B5EF4-FFF2-40B4-BE49-F238E27FC236}">
              <a16:creationId xmlns:a16="http://schemas.microsoft.com/office/drawing/2014/main" id="{C539B3AE-206E-491D-8152-AA0FAAB2DE8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7" name="TextBox 4">
          <a:extLst>
            <a:ext uri="{FF2B5EF4-FFF2-40B4-BE49-F238E27FC236}">
              <a16:creationId xmlns:a16="http://schemas.microsoft.com/office/drawing/2014/main" id="{6F3A0C28-75AD-4B67-B3D3-79A493CF0F6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8" name="TextBox 5">
          <a:extLst>
            <a:ext uri="{FF2B5EF4-FFF2-40B4-BE49-F238E27FC236}">
              <a16:creationId xmlns:a16="http://schemas.microsoft.com/office/drawing/2014/main" id="{3487DC85-16D5-48AA-9051-7767D956128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69" name="TextBox 6">
          <a:extLst>
            <a:ext uri="{FF2B5EF4-FFF2-40B4-BE49-F238E27FC236}">
              <a16:creationId xmlns:a16="http://schemas.microsoft.com/office/drawing/2014/main" id="{95CDEB3D-FAC0-4BB9-A783-4096A4E8A50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0" name="TextBox 7">
          <a:extLst>
            <a:ext uri="{FF2B5EF4-FFF2-40B4-BE49-F238E27FC236}">
              <a16:creationId xmlns:a16="http://schemas.microsoft.com/office/drawing/2014/main" id="{C1BF8DCB-DEEF-4322-88EB-6650B6221ED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1" name="TextBox 8">
          <a:extLst>
            <a:ext uri="{FF2B5EF4-FFF2-40B4-BE49-F238E27FC236}">
              <a16:creationId xmlns:a16="http://schemas.microsoft.com/office/drawing/2014/main" id="{0F72CD8E-C208-4B9B-B394-E5A78C661FF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2" name="TextBox 2">
          <a:extLst>
            <a:ext uri="{FF2B5EF4-FFF2-40B4-BE49-F238E27FC236}">
              <a16:creationId xmlns:a16="http://schemas.microsoft.com/office/drawing/2014/main" id="{BA43822C-D312-45FE-B56A-7FDF48A60D0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3" name="TextBox 4">
          <a:extLst>
            <a:ext uri="{FF2B5EF4-FFF2-40B4-BE49-F238E27FC236}">
              <a16:creationId xmlns:a16="http://schemas.microsoft.com/office/drawing/2014/main" id="{1B21BE3E-18FB-4F83-B600-5719C0A37D3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4" name="TextBox 5">
          <a:extLst>
            <a:ext uri="{FF2B5EF4-FFF2-40B4-BE49-F238E27FC236}">
              <a16:creationId xmlns:a16="http://schemas.microsoft.com/office/drawing/2014/main" id="{B81D60F6-027F-4848-A617-9FAF1D323A4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5" name="TextBox 6">
          <a:extLst>
            <a:ext uri="{FF2B5EF4-FFF2-40B4-BE49-F238E27FC236}">
              <a16:creationId xmlns:a16="http://schemas.microsoft.com/office/drawing/2014/main" id="{EAD724AD-9C91-4038-9435-6A0D1785C1D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6" name="TextBox 7">
          <a:extLst>
            <a:ext uri="{FF2B5EF4-FFF2-40B4-BE49-F238E27FC236}">
              <a16:creationId xmlns:a16="http://schemas.microsoft.com/office/drawing/2014/main" id="{F9D75613-3AB1-4F2E-879E-E2EFE0DBBE2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7" name="TextBox 8">
          <a:extLst>
            <a:ext uri="{FF2B5EF4-FFF2-40B4-BE49-F238E27FC236}">
              <a16:creationId xmlns:a16="http://schemas.microsoft.com/office/drawing/2014/main" id="{4FF673C7-BE59-4C34-B865-7C9782F2F36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8" name="TextBox 2">
          <a:extLst>
            <a:ext uri="{FF2B5EF4-FFF2-40B4-BE49-F238E27FC236}">
              <a16:creationId xmlns:a16="http://schemas.microsoft.com/office/drawing/2014/main" id="{37F22D9D-3846-4322-B81B-7BDE2C841C1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79" name="TextBox 4">
          <a:extLst>
            <a:ext uri="{FF2B5EF4-FFF2-40B4-BE49-F238E27FC236}">
              <a16:creationId xmlns:a16="http://schemas.microsoft.com/office/drawing/2014/main" id="{5024B24F-0E5C-40F3-B13C-9E923412AFE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0" name="TextBox 5">
          <a:extLst>
            <a:ext uri="{FF2B5EF4-FFF2-40B4-BE49-F238E27FC236}">
              <a16:creationId xmlns:a16="http://schemas.microsoft.com/office/drawing/2014/main" id="{D9607588-79AC-411E-B8B1-07E593D95EC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1" name="TextBox 6">
          <a:extLst>
            <a:ext uri="{FF2B5EF4-FFF2-40B4-BE49-F238E27FC236}">
              <a16:creationId xmlns:a16="http://schemas.microsoft.com/office/drawing/2014/main" id="{493FEBDF-DE18-42A4-8BE7-810E7C48DE6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2" name="TextBox 7">
          <a:extLst>
            <a:ext uri="{FF2B5EF4-FFF2-40B4-BE49-F238E27FC236}">
              <a16:creationId xmlns:a16="http://schemas.microsoft.com/office/drawing/2014/main" id="{7981047C-AC12-43BD-A1B4-F0C5895AA5D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3" name="TextBox 8">
          <a:extLst>
            <a:ext uri="{FF2B5EF4-FFF2-40B4-BE49-F238E27FC236}">
              <a16:creationId xmlns:a16="http://schemas.microsoft.com/office/drawing/2014/main" id="{A50DCCE7-22FB-4565-AF63-DC71E78BFBE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4" name="TextBox 2">
          <a:extLst>
            <a:ext uri="{FF2B5EF4-FFF2-40B4-BE49-F238E27FC236}">
              <a16:creationId xmlns:a16="http://schemas.microsoft.com/office/drawing/2014/main" id="{221F950A-BD86-43ED-9DF2-E43301FE661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5" name="TextBox 4">
          <a:extLst>
            <a:ext uri="{FF2B5EF4-FFF2-40B4-BE49-F238E27FC236}">
              <a16:creationId xmlns:a16="http://schemas.microsoft.com/office/drawing/2014/main" id="{0363B7E8-F650-4F74-9B6A-2733CDDD671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6" name="TextBox 5">
          <a:extLst>
            <a:ext uri="{FF2B5EF4-FFF2-40B4-BE49-F238E27FC236}">
              <a16:creationId xmlns:a16="http://schemas.microsoft.com/office/drawing/2014/main" id="{43438339-D4EE-4B6A-809F-FCAE6CCFA7A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7" name="TextBox 6">
          <a:extLst>
            <a:ext uri="{FF2B5EF4-FFF2-40B4-BE49-F238E27FC236}">
              <a16:creationId xmlns:a16="http://schemas.microsoft.com/office/drawing/2014/main" id="{03414798-2A0B-487C-BA9C-5AFACC35977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8" name="TextBox 7">
          <a:extLst>
            <a:ext uri="{FF2B5EF4-FFF2-40B4-BE49-F238E27FC236}">
              <a16:creationId xmlns:a16="http://schemas.microsoft.com/office/drawing/2014/main" id="{E7159C4F-1985-4A36-8208-F373F3597C6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89" name="TextBox 8">
          <a:extLst>
            <a:ext uri="{FF2B5EF4-FFF2-40B4-BE49-F238E27FC236}">
              <a16:creationId xmlns:a16="http://schemas.microsoft.com/office/drawing/2014/main" id="{1732EF5F-9BC3-4049-AE86-6372F4D8B42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0" name="TextBox 2">
          <a:extLst>
            <a:ext uri="{FF2B5EF4-FFF2-40B4-BE49-F238E27FC236}">
              <a16:creationId xmlns:a16="http://schemas.microsoft.com/office/drawing/2014/main" id="{43BD7B0F-8F03-4756-918E-AE0A8DA77DF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1" name="TextBox 4">
          <a:extLst>
            <a:ext uri="{FF2B5EF4-FFF2-40B4-BE49-F238E27FC236}">
              <a16:creationId xmlns:a16="http://schemas.microsoft.com/office/drawing/2014/main" id="{566DD133-3274-41CA-A4DE-0445F2C6935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2" name="TextBox 5">
          <a:extLst>
            <a:ext uri="{FF2B5EF4-FFF2-40B4-BE49-F238E27FC236}">
              <a16:creationId xmlns:a16="http://schemas.microsoft.com/office/drawing/2014/main" id="{518A2A15-CDC5-424F-8F75-FECD529CAF1F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3" name="TextBox 6">
          <a:extLst>
            <a:ext uri="{FF2B5EF4-FFF2-40B4-BE49-F238E27FC236}">
              <a16:creationId xmlns:a16="http://schemas.microsoft.com/office/drawing/2014/main" id="{4A3D9B88-C822-4941-8C20-695BC93077D7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4" name="TextBox 7">
          <a:extLst>
            <a:ext uri="{FF2B5EF4-FFF2-40B4-BE49-F238E27FC236}">
              <a16:creationId xmlns:a16="http://schemas.microsoft.com/office/drawing/2014/main" id="{0A859175-0869-400B-836D-E0AB010AC97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5" name="TextBox 8">
          <a:extLst>
            <a:ext uri="{FF2B5EF4-FFF2-40B4-BE49-F238E27FC236}">
              <a16:creationId xmlns:a16="http://schemas.microsoft.com/office/drawing/2014/main" id="{A856ACC9-C46F-4A83-90CA-52A9A502260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6" name="TextBox 2">
          <a:extLst>
            <a:ext uri="{FF2B5EF4-FFF2-40B4-BE49-F238E27FC236}">
              <a16:creationId xmlns:a16="http://schemas.microsoft.com/office/drawing/2014/main" id="{D2F71160-4B57-470B-B1A6-36E7E200EE7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7" name="TextBox 4">
          <a:extLst>
            <a:ext uri="{FF2B5EF4-FFF2-40B4-BE49-F238E27FC236}">
              <a16:creationId xmlns:a16="http://schemas.microsoft.com/office/drawing/2014/main" id="{31AB3C73-AA9D-4319-853F-BB19368A016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8" name="TextBox 5">
          <a:extLst>
            <a:ext uri="{FF2B5EF4-FFF2-40B4-BE49-F238E27FC236}">
              <a16:creationId xmlns:a16="http://schemas.microsoft.com/office/drawing/2014/main" id="{239E54CE-71D4-4FB8-8BB1-DFCC4FDF55E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8999" name="TextBox 6">
          <a:extLst>
            <a:ext uri="{FF2B5EF4-FFF2-40B4-BE49-F238E27FC236}">
              <a16:creationId xmlns:a16="http://schemas.microsoft.com/office/drawing/2014/main" id="{DA48EBEE-F1CE-4A74-81D0-EF2E1700F5FD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0" name="TextBox 7">
          <a:extLst>
            <a:ext uri="{FF2B5EF4-FFF2-40B4-BE49-F238E27FC236}">
              <a16:creationId xmlns:a16="http://schemas.microsoft.com/office/drawing/2014/main" id="{935916C3-068A-4DD8-8985-6B230A6BE85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1" name="TextBox 8">
          <a:extLst>
            <a:ext uri="{FF2B5EF4-FFF2-40B4-BE49-F238E27FC236}">
              <a16:creationId xmlns:a16="http://schemas.microsoft.com/office/drawing/2014/main" id="{6482C241-8630-45E9-B5C2-0EDB923E100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2" name="TextBox 2">
          <a:extLst>
            <a:ext uri="{FF2B5EF4-FFF2-40B4-BE49-F238E27FC236}">
              <a16:creationId xmlns:a16="http://schemas.microsoft.com/office/drawing/2014/main" id="{27A42FA7-05FE-4D4B-AD33-71F8E79E7C7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3" name="TextBox 4">
          <a:extLst>
            <a:ext uri="{FF2B5EF4-FFF2-40B4-BE49-F238E27FC236}">
              <a16:creationId xmlns:a16="http://schemas.microsoft.com/office/drawing/2014/main" id="{A27AD44C-167C-4D47-B6AA-003EC53C043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4" name="TextBox 5">
          <a:extLst>
            <a:ext uri="{FF2B5EF4-FFF2-40B4-BE49-F238E27FC236}">
              <a16:creationId xmlns:a16="http://schemas.microsoft.com/office/drawing/2014/main" id="{084FAA5E-957F-45D6-805C-80B934659EA8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5" name="TextBox 6">
          <a:extLst>
            <a:ext uri="{FF2B5EF4-FFF2-40B4-BE49-F238E27FC236}">
              <a16:creationId xmlns:a16="http://schemas.microsoft.com/office/drawing/2014/main" id="{6BE6AFE9-0085-43D4-9051-1379038331D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6" name="TextBox 7">
          <a:extLst>
            <a:ext uri="{FF2B5EF4-FFF2-40B4-BE49-F238E27FC236}">
              <a16:creationId xmlns:a16="http://schemas.microsoft.com/office/drawing/2014/main" id="{009D6536-062E-495E-AFC1-B8A908BFE95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7" name="TextBox 8">
          <a:extLst>
            <a:ext uri="{FF2B5EF4-FFF2-40B4-BE49-F238E27FC236}">
              <a16:creationId xmlns:a16="http://schemas.microsoft.com/office/drawing/2014/main" id="{4103588A-172F-4229-AB93-48222CDE593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8" name="TextBox 2">
          <a:extLst>
            <a:ext uri="{FF2B5EF4-FFF2-40B4-BE49-F238E27FC236}">
              <a16:creationId xmlns:a16="http://schemas.microsoft.com/office/drawing/2014/main" id="{FE20A2BE-A76F-4BD5-88E5-C533992CE85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09" name="TextBox 4">
          <a:extLst>
            <a:ext uri="{FF2B5EF4-FFF2-40B4-BE49-F238E27FC236}">
              <a16:creationId xmlns:a16="http://schemas.microsoft.com/office/drawing/2014/main" id="{04263E75-F471-43DE-A7CF-222B5E2EA28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0" name="TextBox 5">
          <a:extLst>
            <a:ext uri="{FF2B5EF4-FFF2-40B4-BE49-F238E27FC236}">
              <a16:creationId xmlns:a16="http://schemas.microsoft.com/office/drawing/2014/main" id="{502FF031-D0A2-49D5-A047-F43A40A9942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1" name="TextBox 6">
          <a:extLst>
            <a:ext uri="{FF2B5EF4-FFF2-40B4-BE49-F238E27FC236}">
              <a16:creationId xmlns:a16="http://schemas.microsoft.com/office/drawing/2014/main" id="{13419C54-950A-4773-8074-DA0E68E97EE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2" name="TextBox 7">
          <a:extLst>
            <a:ext uri="{FF2B5EF4-FFF2-40B4-BE49-F238E27FC236}">
              <a16:creationId xmlns:a16="http://schemas.microsoft.com/office/drawing/2014/main" id="{C2385A71-5C4C-4854-90E4-C6FB6FDAF530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3" name="TextBox 8">
          <a:extLst>
            <a:ext uri="{FF2B5EF4-FFF2-40B4-BE49-F238E27FC236}">
              <a16:creationId xmlns:a16="http://schemas.microsoft.com/office/drawing/2014/main" id="{D7E2E965-1993-4E85-8E28-0914DCF8C28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4" name="TextBox 2">
          <a:extLst>
            <a:ext uri="{FF2B5EF4-FFF2-40B4-BE49-F238E27FC236}">
              <a16:creationId xmlns:a16="http://schemas.microsoft.com/office/drawing/2014/main" id="{1BE81818-839E-4851-BB83-5FDA967C801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5" name="TextBox 4">
          <a:extLst>
            <a:ext uri="{FF2B5EF4-FFF2-40B4-BE49-F238E27FC236}">
              <a16:creationId xmlns:a16="http://schemas.microsoft.com/office/drawing/2014/main" id="{60F359CD-A10E-4D86-8D59-17D620DAE7F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6" name="TextBox 5">
          <a:extLst>
            <a:ext uri="{FF2B5EF4-FFF2-40B4-BE49-F238E27FC236}">
              <a16:creationId xmlns:a16="http://schemas.microsoft.com/office/drawing/2014/main" id="{19D90E9A-0039-43D9-9BA2-259525D65B2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7" name="TextBox 6">
          <a:extLst>
            <a:ext uri="{FF2B5EF4-FFF2-40B4-BE49-F238E27FC236}">
              <a16:creationId xmlns:a16="http://schemas.microsoft.com/office/drawing/2014/main" id="{3E4D2564-165B-49D2-BB37-74545117A6E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8" name="TextBox 7">
          <a:extLst>
            <a:ext uri="{FF2B5EF4-FFF2-40B4-BE49-F238E27FC236}">
              <a16:creationId xmlns:a16="http://schemas.microsoft.com/office/drawing/2014/main" id="{106DC8C2-7345-4478-9759-073B5DC60891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19" name="TextBox 8">
          <a:extLst>
            <a:ext uri="{FF2B5EF4-FFF2-40B4-BE49-F238E27FC236}">
              <a16:creationId xmlns:a16="http://schemas.microsoft.com/office/drawing/2014/main" id="{6ED59F8D-3D8E-4524-B2DA-9CA98ED0C76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0" name="TextBox 2">
          <a:extLst>
            <a:ext uri="{FF2B5EF4-FFF2-40B4-BE49-F238E27FC236}">
              <a16:creationId xmlns:a16="http://schemas.microsoft.com/office/drawing/2014/main" id="{A4BC4902-C61C-4764-858A-26CEDB03A9A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1" name="TextBox 4">
          <a:extLst>
            <a:ext uri="{FF2B5EF4-FFF2-40B4-BE49-F238E27FC236}">
              <a16:creationId xmlns:a16="http://schemas.microsoft.com/office/drawing/2014/main" id="{D6DD93CD-4E0F-43DB-8AE2-D6AE2F62BD0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2" name="TextBox 5">
          <a:extLst>
            <a:ext uri="{FF2B5EF4-FFF2-40B4-BE49-F238E27FC236}">
              <a16:creationId xmlns:a16="http://schemas.microsoft.com/office/drawing/2014/main" id="{50FE08F5-C624-4350-A61A-D8920CB90C9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3" name="TextBox 6">
          <a:extLst>
            <a:ext uri="{FF2B5EF4-FFF2-40B4-BE49-F238E27FC236}">
              <a16:creationId xmlns:a16="http://schemas.microsoft.com/office/drawing/2014/main" id="{D208E929-AC22-4A2D-AE58-B2AD5B607959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4" name="TextBox 7">
          <a:extLst>
            <a:ext uri="{FF2B5EF4-FFF2-40B4-BE49-F238E27FC236}">
              <a16:creationId xmlns:a16="http://schemas.microsoft.com/office/drawing/2014/main" id="{E4010942-0E36-4FF5-8A53-750E43BCE81C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5" name="TextBox 8">
          <a:extLst>
            <a:ext uri="{FF2B5EF4-FFF2-40B4-BE49-F238E27FC236}">
              <a16:creationId xmlns:a16="http://schemas.microsoft.com/office/drawing/2014/main" id="{2DBA49E2-4D24-4A85-9AEC-EE9DC81CCC2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6" name="TextBox 2">
          <a:extLst>
            <a:ext uri="{FF2B5EF4-FFF2-40B4-BE49-F238E27FC236}">
              <a16:creationId xmlns:a16="http://schemas.microsoft.com/office/drawing/2014/main" id="{983335A5-F791-4BF5-888C-0D119B5A839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7" name="TextBox 4">
          <a:extLst>
            <a:ext uri="{FF2B5EF4-FFF2-40B4-BE49-F238E27FC236}">
              <a16:creationId xmlns:a16="http://schemas.microsoft.com/office/drawing/2014/main" id="{8AB927A5-3FA7-49E4-9462-64F57A7C5395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8" name="TextBox 5">
          <a:extLst>
            <a:ext uri="{FF2B5EF4-FFF2-40B4-BE49-F238E27FC236}">
              <a16:creationId xmlns:a16="http://schemas.microsoft.com/office/drawing/2014/main" id="{2B0FA93B-A174-4E6A-8E64-93A3F78CC87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29" name="TextBox 6">
          <a:extLst>
            <a:ext uri="{FF2B5EF4-FFF2-40B4-BE49-F238E27FC236}">
              <a16:creationId xmlns:a16="http://schemas.microsoft.com/office/drawing/2014/main" id="{3441610D-1158-434C-9245-8CA5BE141724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0" name="TextBox 7">
          <a:extLst>
            <a:ext uri="{FF2B5EF4-FFF2-40B4-BE49-F238E27FC236}">
              <a16:creationId xmlns:a16="http://schemas.microsoft.com/office/drawing/2014/main" id="{CE71901D-86F9-4AFC-A946-03EA9C0458CB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1" name="TextBox 8">
          <a:extLst>
            <a:ext uri="{FF2B5EF4-FFF2-40B4-BE49-F238E27FC236}">
              <a16:creationId xmlns:a16="http://schemas.microsoft.com/office/drawing/2014/main" id="{B7829898-9F84-41A3-BC09-9EED9A7A7BB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2" name="TextBox 2">
          <a:extLst>
            <a:ext uri="{FF2B5EF4-FFF2-40B4-BE49-F238E27FC236}">
              <a16:creationId xmlns:a16="http://schemas.microsoft.com/office/drawing/2014/main" id="{D3A8ACBB-6752-4DCA-BE30-B1C12B66FD9E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3" name="TextBox 4">
          <a:extLst>
            <a:ext uri="{FF2B5EF4-FFF2-40B4-BE49-F238E27FC236}">
              <a16:creationId xmlns:a16="http://schemas.microsoft.com/office/drawing/2014/main" id="{5EBAB4AF-A596-4B96-B04B-47AF3522C032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4" name="TextBox 5">
          <a:extLst>
            <a:ext uri="{FF2B5EF4-FFF2-40B4-BE49-F238E27FC236}">
              <a16:creationId xmlns:a16="http://schemas.microsoft.com/office/drawing/2014/main" id="{A86DDA2D-5834-4E72-A1D9-79E8F38130AA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5" name="TextBox 6">
          <a:extLst>
            <a:ext uri="{FF2B5EF4-FFF2-40B4-BE49-F238E27FC236}">
              <a16:creationId xmlns:a16="http://schemas.microsoft.com/office/drawing/2014/main" id="{01AD54E5-F955-4E0A-B2B2-C3081DCF8DF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6" name="TextBox 7">
          <a:extLst>
            <a:ext uri="{FF2B5EF4-FFF2-40B4-BE49-F238E27FC236}">
              <a16:creationId xmlns:a16="http://schemas.microsoft.com/office/drawing/2014/main" id="{A3D5124F-15F1-4F42-82DD-4D4E63779D86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7" name="TextBox 8">
          <a:extLst>
            <a:ext uri="{FF2B5EF4-FFF2-40B4-BE49-F238E27FC236}">
              <a16:creationId xmlns:a16="http://schemas.microsoft.com/office/drawing/2014/main" id="{D0B052FD-7CE1-4C4F-8365-6252BD3D8D03}"/>
            </a:ext>
          </a:extLst>
        </xdr:cNvPr>
        <xdr:cNvSpPr txBox="1"/>
      </xdr:nvSpPr>
      <xdr:spPr>
        <a:xfrm flipH="1">
          <a:off x="1909762" y="4238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8" name="TextBox 2">
          <a:extLst>
            <a:ext uri="{FF2B5EF4-FFF2-40B4-BE49-F238E27FC236}">
              <a16:creationId xmlns:a16="http://schemas.microsoft.com/office/drawing/2014/main" id="{0C5B1465-FC1B-46B6-BAA9-FE0D8F43E9F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39" name="TextBox 4">
          <a:extLst>
            <a:ext uri="{FF2B5EF4-FFF2-40B4-BE49-F238E27FC236}">
              <a16:creationId xmlns:a16="http://schemas.microsoft.com/office/drawing/2014/main" id="{5FE86FEC-2C94-4194-B39E-2461C6A0B2F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0" name="TextBox 5">
          <a:extLst>
            <a:ext uri="{FF2B5EF4-FFF2-40B4-BE49-F238E27FC236}">
              <a16:creationId xmlns:a16="http://schemas.microsoft.com/office/drawing/2014/main" id="{53BC5BD0-C81D-442E-AE1E-DF6D6E0A615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1" name="TextBox 6">
          <a:extLst>
            <a:ext uri="{FF2B5EF4-FFF2-40B4-BE49-F238E27FC236}">
              <a16:creationId xmlns:a16="http://schemas.microsoft.com/office/drawing/2014/main" id="{A6C75939-4F9C-482D-96CF-8080FC60483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2" name="TextBox 7">
          <a:extLst>
            <a:ext uri="{FF2B5EF4-FFF2-40B4-BE49-F238E27FC236}">
              <a16:creationId xmlns:a16="http://schemas.microsoft.com/office/drawing/2014/main" id="{6BEF479B-F945-42A0-A7BB-B4B96C2E925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3" name="TextBox 8">
          <a:extLst>
            <a:ext uri="{FF2B5EF4-FFF2-40B4-BE49-F238E27FC236}">
              <a16:creationId xmlns:a16="http://schemas.microsoft.com/office/drawing/2014/main" id="{20BB6BF7-1895-4FB2-B21A-7150C508C24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4" name="TextBox 2">
          <a:extLst>
            <a:ext uri="{FF2B5EF4-FFF2-40B4-BE49-F238E27FC236}">
              <a16:creationId xmlns:a16="http://schemas.microsoft.com/office/drawing/2014/main" id="{744EE65B-F30E-49E2-BDDF-55AEFD147FC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5" name="TextBox 4">
          <a:extLst>
            <a:ext uri="{FF2B5EF4-FFF2-40B4-BE49-F238E27FC236}">
              <a16:creationId xmlns:a16="http://schemas.microsoft.com/office/drawing/2014/main" id="{68CD7CD2-D4B2-4F1C-BB8A-B2E0BAC1C5D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6" name="TextBox 5">
          <a:extLst>
            <a:ext uri="{FF2B5EF4-FFF2-40B4-BE49-F238E27FC236}">
              <a16:creationId xmlns:a16="http://schemas.microsoft.com/office/drawing/2014/main" id="{B9875641-DFA5-48F2-9E70-2ADE0BA390F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7" name="TextBox 6">
          <a:extLst>
            <a:ext uri="{FF2B5EF4-FFF2-40B4-BE49-F238E27FC236}">
              <a16:creationId xmlns:a16="http://schemas.microsoft.com/office/drawing/2014/main" id="{E76A7E44-1838-476A-A995-7D8C1A5F6FC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8" name="TextBox 7">
          <a:extLst>
            <a:ext uri="{FF2B5EF4-FFF2-40B4-BE49-F238E27FC236}">
              <a16:creationId xmlns:a16="http://schemas.microsoft.com/office/drawing/2014/main" id="{A28471A4-19FC-4D2E-AEC2-54C160A86DA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49" name="TextBox 8">
          <a:extLst>
            <a:ext uri="{FF2B5EF4-FFF2-40B4-BE49-F238E27FC236}">
              <a16:creationId xmlns:a16="http://schemas.microsoft.com/office/drawing/2014/main" id="{6DA8DD93-8CC9-4C5F-85F3-8A24FFBDE14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0" name="TextBox 2">
          <a:extLst>
            <a:ext uri="{FF2B5EF4-FFF2-40B4-BE49-F238E27FC236}">
              <a16:creationId xmlns:a16="http://schemas.microsoft.com/office/drawing/2014/main" id="{EE00AC83-4820-40EE-AF35-4C1A47CC837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1" name="TextBox 4">
          <a:extLst>
            <a:ext uri="{FF2B5EF4-FFF2-40B4-BE49-F238E27FC236}">
              <a16:creationId xmlns:a16="http://schemas.microsoft.com/office/drawing/2014/main" id="{16D2ACFF-E0B2-4C2C-8FDE-DA7A98C8666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2" name="TextBox 5">
          <a:extLst>
            <a:ext uri="{FF2B5EF4-FFF2-40B4-BE49-F238E27FC236}">
              <a16:creationId xmlns:a16="http://schemas.microsoft.com/office/drawing/2014/main" id="{F41DEAE3-945F-4D38-8A6F-9905B462FFAC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3" name="TextBox 6">
          <a:extLst>
            <a:ext uri="{FF2B5EF4-FFF2-40B4-BE49-F238E27FC236}">
              <a16:creationId xmlns:a16="http://schemas.microsoft.com/office/drawing/2014/main" id="{B92014A0-5661-4E06-9A25-72B4712C95B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4" name="TextBox 7">
          <a:extLst>
            <a:ext uri="{FF2B5EF4-FFF2-40B4-BE49-F238E27FC236}">
              <a16:creationId xmlns:a16="http://schemas.microsoft.com/office/drawing/2014/main" id="{689F38C6-F779-4D73-8DB9-97BE71A2AE5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5" name="TextBox 8">
          <a:extLst>
            <a:ext uri="{FF2B5EF4-FFF2-40B4-BE49-F238E27FC236}">
              <a16:creationId xmlns:a16="http://schemas.microsoft.com/office/drawing/2014/main" id="{9B5530C9-C1F2-4479-BBC7-9F45686C3E6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6" name="TextBox 2">
          <a:extLst>
            <a:ext uri="{FF2B5EF4-FFF2-40B4-BE49-F238E27FC236}">
              <a16:creationId xmlns:a16="http://schemas.microsoft.com/office/drawing/2014/main" id="{45EBAB0B-3A0C-424A-810B-5F590EEDC7D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7" name="TextBox 4">
          <a:extLst>
            <a:ext uri="{FF2B5EF4-FFF2-40B4-BE49-F238E27FC236}">
              <a16:creationId xmlns:a16="http://schemas.microsoft.com/office/drawing/2014/main" id="{E29E058A-CEEF-4FB2-8705-2385FB03A82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8" name="TextBox 5">
          <a:extLst>
            <a:ext uri="{FF2B5EF4-FFF2-40B4-BE49-F238E27FC236}">
              <a16:creationId xmlns:a16="http://schemas.microsoft.com/office/drawing/2014/main" id="{6EC513F6-32C6-4DC9-BCD4-7CDA7F4EEC4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59" name="TextBox 6">
          <a:extLst>
            <a:ext uri="{FF2B5EF4-FFF2-40B4-BE49-F238E27FC236}">
              <a16:creationId xmlns:a16="http://schemas.microsoft.com/office/drawing/2014/main" id="{46B814DB-FC9E-48DB-B07E-18FB9522512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0" name="TextBox 7">
          <a:extLst>
            <a:ext uri="{FF2B5EF4-FFF2-40B4-BE49-F238E27FC236}">
              <a16:creationId xmlns:a16="http://schemas.microsoft.com/office/drawing/2014/main" id="{A3506068-49C9-418E-B752-B56FBFE96DA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1" name="TextBox 8">
          <a:extLst>
            <a:ext uri="{FF2B5EF4-FFF2-40B4-BE49-F238E27FC236}">
              <a16:creationId xmlns:a16="http://schemas.microsoft.com/office/drawing/2014/main" id="{66563FFB-8907-4D3F-9C78-645CA07F4A5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2" name="TextBox 2">
          <a:extLst>
            <a:ext uri="{FF2B5EF4-FFF2-40B4-BE49-F238E27FC236}">
              <a16:creationId xmlns:a16="http://schemas.microsoft.com/office/drawing/2014/main" id="{FF449351-7F98-4C93-97F1-045505EA3DC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3" name="TextBox 4">
          <a:extLst>
            <a:ext uri="{FF2B5EF4-FFF2-40B4-BE49-F238E27FC236}">
              <a16:creationId xmlns:a16="http://schemas.microsoft.com/office/drawing/2014/main" id="{86BBE340-9E53-4044-9634-EE922BCCE7C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4" name="TextBox 5">
          <a:extLst>
            <a:ext uri="{FF2B5EF4-FFF2-40B4-BE49-F238E27FC236}">
              <a16:creationId xmlns:a16="http://schemas.microsoft.com/office/drawing/2014/main" id="{14057B10-3760-4AE6-B520-61C1D9B7C5B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5" name="TextBox 6">
          <a:extLst>
            <a:ext uri="{FF2B5EF4-FFF2-40B4-BE49-F238E27FC236}">
              <a16:creationId xmlns:a16="http://schemas.microsoft.com/office/drawing/2014/main" id="{92D42C04-6D8E-4E83-8AC4-1651E4C3993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6" name="TextBox 7">
          <a:extLst>
            <a:ext uri="{FF2B5EF4-FFF2-40B4-BE49-F238E27FC236}">
              <a16:creationId xmlns:a16="http://schemas.microsoft.com/office/drawing/2014/main" id="{89F9C11E-135E-49E8-96E6-99B61AFC8C4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7" name="TextBox 8">
          <a:extLst>
            <a:ext uri="{FF2B5EF4-FFF2-40B4-BE49-F238E27FC236}">
              <a16:creationId xmlns:a16="http://schemas.microsoft.com/office/drawing/2014/main" id="{D8D81ADE-C638-487F-AB27-57B83AB5463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8" name="TextBox 2">
          <a:extLst>
            <a:ext uri="{FF2B5EF4-FFF2-40B4-BE49-F238E27FC236}">
              <a16:creationId xmlns:a16="http://schemas.microsoft.com/office/drawing/2014/main" id="{3400E793-0163-4D79-A1C8-A9713427E82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69" name="TextBox 4">
          <a:extLst>
            <a:ext uri="{FF2B5EF4-FFF2-40B4-BE49-F238E27FC236}">
              <a16:creationId xmlns:a16="http://schemas.microsoft.com/office/drawing/2014/main" id="{1C6D0A79-23F8-4CFD-AB93-35CFBA81210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0" name="TextBox 5">
          <a:extLst>
            <a:ext uri="{FF2B5EF4-FFF2-40B4-BE49-F238E27FC236}">
              <a16:creationId xmlns:a16="http://schemas.microsoft.com/office/drawing/2014/main" id="{7F605D84-3121-4487-BD7A-F75DF5AD33F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1" name="TextBox 6">
          <a:extLst>
            <a:ext uri="{FF2B5EF4-FFF2-40B4-BE49-F238E27FC236}">
              <a16:creationId xmlns:a16="http://schemas.microsoft.com/office/drawing/2014/main" id="{4B51DFAC-E3B1-4282-AD28-6290D4C867A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2" name="TextBox 7">
          <a:extLst>
            <a:ext uri="{FF2B5EF4-FFF2-40B4-BE49-F238E27FC236}">
              <a16:creationId xmlns:a16="http://schemas.microsoft.com/office/drawing/2014/main" id="{0F5C52D9-52B4-4520-82A1-930FECB735D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3" name="TextBox 8">
          <a:extLst>
            <a:ext uri="{FF2B5EF4-FFF2-40B4-BE49-F238E27FC236}">
              <a16:creationId xmlns:a16="http://schemas.microsoft.com/office/drawing/2014/main" id="{58D2AFA4-8765-4512-B76D-D2AB61EF976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4" name="TextBox 2">
          <a:extLst>
            <a:ext uri="{FF2B5EF4-FFF2-40B4-BE49-F238E27FC236}">
              <a16:creationId xmlns:a16="http://schemas.microsoft.com/office/drawing/2014/main" id="{9508661F-63FC-412F-8D8A-4FE6E7680BC3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5" name="TextBox 4">
          <a:extLst>
            <a:ext uri="{FF2B5EF4-FFF2-40B4-BE49-F238E27FC236}">
              <a16:creationId xmlns:a16="http://schemas.microsoft.com/office/drawing/2014/main" id="{472415E4-276F-432B-AF1D-1068158B1052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6" name="TextBox 5">
          <a:extLst>
            <a:ext uri="{FF2B5EF4-FFF2-40B4-BE49-F238E27FC236}">
              <a16:creationId xmlns:a16="http://schemas.microsoft.com/office/drawing/2014/main" id="{5E1A1239-BD40-439E-B276-EC97745628C5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7" name="TextBox 6">
          <a:extLst>
            <a:ext uri="{FF2B5EF4-FFF2-40B4-BE49-F238E27FC236}">
              <a16:creationId xmlns:a16="http://schemas.microsoft.com/office/drawing/2014/main" id="{4B9212F1-5F93-469F-B589-1D710A333FD7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8" name="TextBox 7">
          <a:extLst>
            <a:ext uri="{FF2B5EF4-FFF2-40B4-BE49-F238E27FC236}">
              <a16:creationId xmlns:a16="http://schemas.microsoft.com/office/drawing/2014/main" id="{F9EC4EC7-10BC-421C-B8AC-481BDCD53383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79" name="TextBox 8">
          <a:extLst>
            <a:ext uri="{FF2B5EF4-FFF2-40B4-BE49-F238E27FC236}">
              <a16:creationId xmlns:a16="http://schemas.microsoft.com/office/drawing/2014/main" id="{FC8BCD70-0D30-4955-B568-C73CCB162F84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0" name="TextBox 2">
          <a:extLst>
            <a:ext uri="{FF2B5EF4-FFF2-40B4-BE49-F238E27FC236}">
              <a16:creationId xmlns:a16="http://schemas.microsoft.com/office/drawing/2014/main" id="{8CA40C97-3A6F-4C4D-9261-D2BC2E0B1F22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1" name="TextBox 4">
          <a:extLst>
            <a:ext uri="{FF2B5EF4-FFF2-40B4-BE49-F238E27FC236}">
              <a16:creationId xmlns:a16="http://schemas.microsoft.com/office/drawing/2014/main" id="{B038C683-5892-46A2-BF0E-78DFB4D833D3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2" name="TextBox 5">
          <a:extLst>
            <a:ext uri="{FF2B5EF4-FFF2-40B4-BE49-F238E27FC236}">
              <a16:creationId xmlns:a16="http://schemas.microsoft.com/office/drawing/2014/main" id="{E4C6E55A-D42A-41E9-B20E-E329B71C7E7C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3" name="TextBox 6">
          <a:extLst>
            <a:ext uri="{FF2B5EF4-FFF2-40B4-BE49-F238E27FC236}">
              <a16:creationId xmlns:a16="http://schemas.microsoft.com/office/drawing/2014/main" id="{A98453AC-90D2-4D1B-92A5-7257795BDF8C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4" name="TextBox 7">
          <a:extLst>
            <a:ext uri="{FF2B5EF4-FFF2-40B4-BE49-F238E27FC236}">
              <a16:creationId xmlns:a16="http://schemas.microsoft.com/office/drawing/2014/main" id="{C1AC83A6-4BFC-43A8-AB41-16BADC5B06ED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5" name="TextBox 8">
          <a:extLst>
            <a:ext uri="{FF2B5EF4-FFF2-40B4-BE49-F238E27FC236}">
              <a16:creationId xmlns:a16="http://schemas.microsoft.com/office/drawing/2014/main" id="{BF0C2A92-4E1F-46D9-A083-7D117A4D0321}"/>
            </a:ext>
          </a:extLst>
        </xdr:cNvPr>
        <xdr:cNvSpPr txBox="1"/>
      </xdr:nvSpPr>
      <xdr:spPr>
        <a:xfrm flipH="1">
          <a:off x="1909762" y="5410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6" name="TextBox 2">
          <a:extLst>
            <a:ext uri="{FF2B5EF4-FFF2-40B4-BE49-F238E27FC236}">
              <a16:creationId xmlns:a16="http://schemas.microsoft.com/office/drawing/2014/main" id="{4AED48B8-612A-4139-B2FB-B322E2BAAB7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7" name="TextBox 4">
          <a:extLst>
            <a:ext uri="{FF2B5EF4-FFF2-40B4-BE49-F238E27FC236}">
              <a16:creationId xmlns:a16="http://schemas.microsoft.com/office/drawing/2014/main" id="{74FB9A8F-7F6F-4136-BF46-511F6A83D2F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8" name="TextBox 5">
          <a:extLst>
            <a:ext uri="{FF2B5EF4-FFF2-40B4-BE49-F238E27FC236}">
              <a16:creationId xmlns:a16="http://schemas.microsoft.com/office/drawing/2014/main" id="{F6CB6A17-AC54-4CEB-95F4-B81DB48A4E8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89" name="TextBox 6">
          <a:extLst>
            <a:ext uri="{FF2B5EF4-FFF2-40B4-BE49-F238E27FC236}">
              <a16:creationId xmlns:a16="http://schemas.microsoft.com/office/drawing/2014/main" id="{2FED9317-CA09-47D3-B93F-67F9B1E3DBB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0" name="TextBox 7">
          <a:extLst>
            <a:ext uri="{FF2B5EF4-FFF2-40B4-BE49-F238E27FC236}">
              <a16:creationId xmlns:a16="http://schemas.microsoft.com/office/drawing/2014/main" id="{DC58499E-AB7B-4B2A-9C23-144F2136B42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1" name="TextBox 8">
          <a:extLst>
            <a:ext uri="{FF2B5EF4-FFF2-40B4-BE49-F238E27FC236}">
              <a16:creationId xmlns:a16="http://schemas.microsoft.com/office/drawing/2014/main" id="{A3763F1E-96F5-4402-8316-6A8A0437CB5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2" name="TextBox 2">
          <a:extLst>
            <a:ext uri="{FF2B5EF4-FFF2-40B4-BE49-F238E27FC236}">
              <a16:creationId xmlns:a16="http://schemas.microsoft.com/office/drawing/2014/main" id="{5805563A-FF23-46F3-B0A8-7E8D6AE15A7E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3" name="TextBox 4">
          <a:extLst>
            <a:ext uri="{FF2B5EF4-FFF2-40B4-BE49-F238E27FC236}">
              <a16:creationId xmlns:a16="http://schemas.microsoft.com/office/drawing/2014/main" id="{10253862-DA2A-4E44-B45A-1C69A3C4AFBD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4" name="TextBox 5">
          <a:extLst>
            <a:ext uri="{FF2B5EF4-FFF2-40B4-BE49-F238E27FC236}">
              <a16:creationId xmlns:a16="http://schemas.microsoft.com/office/drawing/2014/main" id="{05DE247A-D55C-4AFA-A819-8C352E20DFF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5" name="TextBox 6">
          <a:extLst>
            <a:ext uri="{FF2B5EF4-FFF2-40B4-BE49-F238E27FC236}">
              <a16:creationId xmlns:a16="http://schemas.microsoft.com/office/drawing/2014/main" id="{1FC16B1B-3D18-49A8-881A-24CA4753C77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6" name="TextBox 7">
          <a:extLst>
            <a:ext uri="{FF2B5EF4-FFF2-40B4-BE49-F238E27FC236}">
              <a16:creationId xmlns:a16="http://schemas.microsoft.com/office/drawing/2014/main" id="{CF1946F5-8ADE-45A2-9B05-BC84FFB47F79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7" name="TextBox 8">
          <a:extLst>
            <a:ext uri="{FF2B5EF4-FFF2-40B4-BE49-F238E27FC236}">
              <a16:creationId xmlns:a16="http://schemas.microsoft.com/office/drawing/2014/main" id="{1AFD14FE-39BF-45C0-A609-1A2D24095A6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8" name="TextBox 2">
          <a:extLst>
            <a:ext uri="{FF2B5EF4-FFF2-40B4-BE49-F238E27FC236}">
              <a16:creationId xmlns:a16="http://schemas.microsoft.com/office/drawing/2014/main" id="{60D2CFA6-AB12-485F-9405-87880B7B7382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099" name="TextBox 4">
          <a:extLst>
            <a:ext uri="{FF2B5EF4-FFF2-40B4-BE49-F238E27FC236}">
              <a16:creationId xmlns:a16="http://schemas.microsoft.com/office/drawing/2014/main" id="{0374F2CD-9B05-4BE9-9D85-B86230225375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0" name="TextBox 5">
          <a:extLst>
            <a:ext uri="{FF2B5EF4-FFF2-40B4-BE49-F238E27FC236}">
              <a16:creationId xmlns:a16="http://schemas.microsoft.com/office/drawing/2014/main" id="{2248DE63-1191-45B4-A3A3-2C8AAC3797A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1" name="TextBox 6">
          <a:extLst>
            <a:ext uri="{FF2B5EF4-FFF2-40B4-BE49-F238E27FC236}">
              <a16:creationId xmlns:a16="http://schemas.microsoft.com/office/drawing/2014/main" id="{A513ACD6-3A87-4609-9CBF-0E9012AB2AC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2" name="TextBox 7">
          <a:extLst>
            <a:ext uri="{FF2B5EF4-FFF2-40B4-BE49-F238E27FC236}">
              <a16:creationId xmlns:a16="http://schemas.microsoft.com/office/drawing/2014/main" id="{8BD5D182-FA18-4B66-9C06-EA31451EB76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3" name="TextBox 8">
          <a:extLst>
            <a:ext uri="{FF2B5EF4-FFF2-40B4-BE49-F238E27FC236}">
              <a16:creationId xmlns:a16="http://schemas.microsoft.com/office/drawing/2014/main" id="{10A9EC66-3A41-47D8-844A-78D2FA921F22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4" name="TextBox 2">
          <a:extLst>
            <a:ext uri="{FF2B5EF4-FFF2-40B4-BE49-F238E27FC236}">
              <a16:creationId xmlns:a16="http://schemas.microsoft.com/office/drawing/2014/main" id="{29EB508B-4935-418D-AFED-3759A3C9E0BB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5" name="TextBox 4">
          <a:extLst>
            <a:ext uri="{FF2B5EF4-FFF2-40B4-BE49-F238E27FC236}">
              <a16:creationId xmlns:a16="http://schemas.microsoft.com/office/drawing/2014/main" id="{280A3DFD-6B5D-42FC-AE53-C0406657083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6" name="TextBox 5">
          <a:extLst>
            <a:ext uri="{FF2B5EF4-FFF2-40B4-BE49-F238E27FC236}">
              <a16:creationId xmlns:a16="http://schemas.microsoft.com/office/drawing/2014/main" id="{24D825A3-117F-48EA-8585-5F88523CEC8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7" name="TextBox 6">
          <a:extLst>
            <a:ext uri="{FF2B5EF4-FFF2-40B4-BE49-F238E27FC236}">
              <a16:creationId xmlns:a16="http://schemas.microsoft.com/office/drawing/2014/main" id="{3384C839-B432-4D8D-B7BF-D9769303D68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8" name="TextBox 7">
          <a:extLst>
            <a:ext uri="{FF2B5EF4-FFF2-40B4-BE49-F238E27FC236}">
              <a16:creationId xmlns:a16="http://schemas.microsoft.com/office/drawing/2014/main" id="{6F74B220-AFB8-4A65-9D09-E9B654C03581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09" name="TextBox 8">
          <a:extLst>
            <a:ext uri="{FF2B5EF4-FFF2-40B4-BE49-F238E27FC236}">
              <a16:creationId xmlns:a16="http://schemas.microsoft.com/office/drawing/2014/main" id="{CBEAE6F1-4632-4774-9D45-7FE369BE6D95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0" name="TextBox 2">
          <a:extLst>
            <a:ext uri="{FF2B5EF4-FFF2-40B4-BE49-F238E27FC236}">
              <a16:creationId xmlns:a16="http://schemas.microsoft.com/office/drawing/2014/main" id="{5DD3E6F4-F6FB-452B-A8EA-A84364E9ED5E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1" name="TextBox 4">
          <a:extLst>
            <a:ext uri="{FF2B5EF4-FFF2-40B4-BE49-F238E27FC236}">
              <a16:creationId xmlns:a16="http://schemas.microsoft.com/office/drawing/2014/main" id="{557B6974-89B4-4990-B21C-396A8B5B6368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2" name="TextBox 5">
          <a:extLst>
            <a:ext uri="{FF2B5EF4-FFF2-40B4-BE49-F238E27FC236}">
              <a16:creationId xmlns:a16="http://schemas.microsoft.com/office/drawing/2014/main" id="{675D29EA-35C9-4B7B-8737-75E381D4BD61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3" name="TextBox 6">
          <a:extLst>
            <a:ext uri="{FF2B5EF4-FFF2-40B4-BE49-F238E27FC236}">
              <a16:creationId xmlns:a16="http://schemas.microsoft.com/office/drawing/2014/main" id="{534B1B85-07F2-45D9-BA70-3EE014956510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4" name="TextBox 7">
          <a:extLst>
            <a:ext uri="{FF2B5EF4-FFF2-40B4-BE49-F238E27FC236}">
              <a16:creationId xmlns:a16="http://schemas.microsoft.com/office/drawing/2014/main" id="{CF81A114-01CD-471F-8EB6-0574E56D5A57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5" name="TextBox 8">
          <a:extLst>
            <a:ext uri="{FF2B5EF4-FFF2-40B4-BE49-F238E27FC236}">
              <a16:creationId xmlns:a16="http://schemas.microsoft.com/office/drawing/2014/main" id="{468B962B-F8CD-4143-B983-55581FC122E7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6" name="TextBox 2">
          <a:extLst>
            <a:ext uri="{FF2B5EF4-FFF2-40B4-BE49-F238E27FC236}">
              <a16:creationId xmlns:a16="http://schemas.microsoft.com/office/drawing/2014/main" id="{84A298B6-3E79-46DD-83C2-B2D4EDFF1BE2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7" name="TextBox 4">
          <a:extLst>
            <a:ext uri="{FF2B5EF4-FFF2-40B4-BE49-F238E27FC236}">
              <a16:creationId xmlns:a16="http://schemas.microsoft.com/office/drawing/2014/main" id="{C53E2762-78C3-49A2-A961-55B7FC6555F3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8" name="TextBox 5">
          <a:extLst>
            <a:ext uri="{FF2B5EF4-FFF2-40B4-BE49-F238E27FC236}">
              <a16:creationId xmlns:a16="http://schemas.microsoft.com/office/drawing/2014/main" id="{D63C3E25-CDFB-49B0-80CF-4926CFC09CBA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19" name="TextBox 6">
          <a:extLst>
            <a:ext uri="{FF2B5EF4-FFF2-40B4-BE49-F238E27FC236}">
              <a16:creationId xmlns:a16="http://schemas.microsoft.com/office/drawing/2014/main" id="{86470506-7ED3-485A-8E3B-A4ADD9424344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0" name="TextBox 7">
          <a:extLst>
            <a:ext uri="{FF2B5EF4-FFF2-40B4-BE49-F238E27FC236}">
              <a16:creationId xmlns:a16="http://schemas.microsoft.com/office/drawing/2014/main" id="{FD0CC9B4-A477-469D-B50E-36308FC21118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1" name="TextBox 8">
          <a:extLst>
            <a:ext uri="{FF2B5EF4-FFF2-40B4-BE49-F238E27FC236}">
              <a16:creationId xmlns:a16="http://schemas.microsoft.com/office/drawing/2014/main" id="{239DA37F-6166-4AB8-82E9-0DC5F05D59F6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2" name="TextBox 2">
          <a:extLst>
            <a:ext uri="{FF2B5EF4-FFF2-40B4-BE49-F238E27FC236}">
              <a16:creationId xmlns:a16="http://schemas.microsoft.com/office/drawing/2014/main" id="{77114CE5-238B-4F36-810E-DAFE3B9758A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3" name="TextBox 4">
          <a:extLst>
            <a:ext uri="{FF2B5EF4-FFF2-40B4-BE49-F238E27FC236}">
              <a16:creationId xmlns:a16="http://schemas.microsoft.com/office/drawing/2014/main" id="{06C9E73B-E036-482E-8CC9-C2701E45D7B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4" name="TextBox 5">
          <a:extLst>
            <a:ext uri="{FF2B5EF4-FFF2-40B4-BE49-F238E27FC236}">
              <a16:creationId xmlns:a16="http://schemas.microsoft.com/office/drawing/2014/main" id="{529D8B16-26A2-4BEE-9FE7-7BDC1355431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5" name="TextBox 6">
          <a:extLst>
            <a:ext uri="{FF2B5EF4-FFF2-40B4-BE49-F238E27FC236}">
              <a16:creationId xmlns:a16="http://schemas.microsoft.com/office/drawing/2014/main" id="{2E3DC5AE-2FC1-403F-999B-8A07DDEFF061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6" name="TextBox 7">
          <a:extLst>
            <a:ext uri="{FF2B5EF4-FFF2-40B4-BE49-F238E27FC236}">
              <a16:creationId xmlns:a16="http://schemas.microsoft.com/office/drawing/2014/main" id="{802E4F55-A395-4066-B0B7-37BAF06C9B31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7" name="TextBox 8">
          <a:extLst>
            <a:ext uri="{FF2B5EF4-FFF2-40B4-BE49-F238E27FC236}">
              <a16:creationId xmlns:a16="http://schemas.microsoft.com/office/drawing/2014/main" id="{80663DB4-9472-4C89-8AEF-B0A5EEEF36E2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8" name="TextBox 2">
          <a:extLst>
            <a:ext uri="{FF2B5EF4-FFF2-40B4-BE49-F238E27FC236}">
              <a16:creationId xmlns:a16="http://schemas.microsoft.com/office/drawing/2014/main" id="{3796BEA9-A50B-4C64-BDCF-822275784EF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29" name="TextBox 4">
          <a:extLst>
            <a:ext uri="{FF2B5EF4-FFF2-40B4-BE49-F238E27FC236}">
              <a16:creationId xmlns:a16="http://schemas.microsoft.com/office/drawing/2014/main" id="{EA9283E4-78AA-49DC-AE35-ED346BEC479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0" name="TextBox 5">
          <a:extLst>
            <a:ext uri="{FF2B5EF4-FFF2-40B4-BE49-F238E27FC236}">
              <a16:creationId xmlns:a16="http://schemas.microsoft.com/office/drawing/2014/main" id="{46D8B584-8A1D-410F-B9BE-1855C001DD15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1" name="TextBox 6">
          <a:extLst>
            <a:ext uri="{FF2B5EF4-FFF2-40B4-BE49-F238E27FC236}">
              <a16:creationId xmlns:a16="http://schemas.microsoft.com/office/drawing/2014/main" id="{710A228B-8644-45A6-812E-A1CA563D9CF6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2" name="TextBox 7">
          <a:extLst>
            <a:ext uri="{FF2B5EF4-FFF2-40B4-BE49-F238E27FC236}">
              <a16:creationId xmlns:a16="http://schemas.microsoft.com/office/drawing/2014/main" id="{10A6607F-D1BA-4C46-80E2-A1337CC0D51B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3" name="TextBox 8">
          <a:extLst>
            <a:ext uri="{FF2B5EF4-FFF2-40B4-BE49-F238E27FC236}">
              <a16:creationId xmlns:a16="http://schemas.microsoft.com/office/drawing/2014/main" id="{DB034760-4716-4974-8268-F4F95952B6D4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4" name="TextBox 2">
          <a:extLst>
            <a:ext uri="{FF2B5EF4-FFF2-40B4-BE49-F238E27FC236}">
              <a16:creationId xmlns:a16="http://schemas.microsoft.com/office/drawing/2014/main" id="{41720D3D-F3E9-4B97-AEC3-F0D5A3744794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5" name="TextBox 4">
          <a:extLst>
            <a:ext uri="{FF2B5EF4-FFF2-40B4-BE49-F238E27FC236}">
              <a16:creationId xmlns:a16="http://schemas.microsoft.com/office/drawing/2014/main" id="{DEEEF374-A5A7-42E0-8EF3-920BBEB5E724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6" name="TextBox 5">
          <a:extLst>
            <a:ext uri="{FF2B5EF4-FFF2-40B4-BE49-F238E27FC236}">
              <a16:creationId xmlns:a16="http://schemas.microsoft.com/office/drawing/2014/main" id="{CA3C5515-0CCE-4E20-A87A-7A9DD90DF263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7" name="TextBox 6">
          <a:extLst>
            <a:ext uri="{FF2B5EF4-FFF2-40B4-BE49-F238E27FC236}">
              <a16:creationId xmlns:a16="http://schemas.microsoft.com/office/drawing/2014/main" id="{63F18EA9-0806-48B0-AD05-B7D782BAB6D6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8" name="TextBox 7">
          <a:extLst>
            <a:ext uri="{FF2B5EF4-FFF2-40B4-BE49-F238E27FC236}">
              <a16:creationId xmlns:a16="http://schemas.microsoft.com/office/drawing/2014/main" id="{DDEDB39F-1E46-4DF5-8787-974211D072BE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39" name="TextBox 8">
          <a:extLst>
            <a:ext uri="{FF2B5EF4-FFF2-40B4-BE49-F238E27FC236}">
              <a16:creationId xmlns:a16="http://schemas.microsoft.com/office/drawing/2014/main" id="{C5E36F34-F122-4092-B8EA-28E8B6CC8426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0" name="TextBox 2">
          <a:extLst>
            <a:ext uri="{FF2B5EF4-FFF2-40B4-BE49-F238E27FC236}">
              <a16:creationId xmlns:a16="http://schemas.microsoft.com/office/drawing/2014/main" id="{17C87B65-0DF4-4261-B542-137A8144306F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1" name="TextBox 4">
          <a:extLst>
            <a:ext uri="{FF2B5EF4-FFF2-40B4-BE49-F238E27FC236}">
              <a16:creationId xmlns:a16="http://schemas.microsoft.com/office/drawing/2014/main" id="{A9A15A38-7E85-4506-B87F-9102EA09D376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2" name="TextBox 5">
          <a:extLst>
            <a:ext uri="{FF2B5EF4-FFF2-40B4-BE49-F238E27FC236}">
              <a16:creationId xmlns:a16="http://schemas.microsoft.com/office/drawing/2014/main" id="{8BCC2FBD-D0C7-4A43-8319-E2428FC3BE22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3" name="TextBox 6">
          <a:extLst>
            <a:ext uri="{FF2B5EF4-FFF2-40B4-BE49-F238E27FC236}">
              <a16:creationId xmlns:a16="http://schemas.microsoft.com/office/drawing/2014/main" id="{046A8C83-FA48-40BC-86BC-3D86EB11577A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4" name="TextBox 7">
          <a:extLst>
            <a:ext uri="{FF2B5EF4-FFF2-40B4-BE49-F238E27FC236}">
              <a16:creationId xmlns:a16="http://schemas.microsoft.com/office/drawing/2014/main" id="{E7973EA4-DD17-4838-8BB1-5221207C6EAA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5" name="TextBox 8">
          <a:extLst>
            <a:ext uri="{FF2B5EF4-FFF2-40B4-BE49-F238E27FC236}">
              <a16:creationId xmlns:a16="http://schemas.microsoft.com/office/drawing/2014/main" id="{5C42D6FF-A7F8-46D8-9939-E8811DA6ABB8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6" name="TextBox 2">
          <a:extLst>
            <a:ext uri="{FF2B5EF4-FFF2-40B4-BE49-F238E27FC236}">
              <a16:creationId xmlns:a16="http://schemas.microsoft.com/office/drawing/2014/main" id="{CF34E4D2-FC25-4310-B499-99AC00D2AB2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7" name="TextBox 4">
          <a:extLst>
            <a:ext uri="{FF2B5EF4-FFF2-40B4-BE49-F238E27FC236}">
              <a16:creationId xmlns:a16="http://schemas.microsoft.com/office/drawing/2014/main" id="{8996C56C-B52A-44A5-9DFB-90CB1AA0D11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8" name="TextBox 5">
          <a:extLst>
            <a:ext uri="{FF2B5EF4-FFF2-40B4-BE49-F238E27FC236}">
              <a16:creationId xmlns:a16="http://schemas.microsoft.com/office/drawing/2014/main" id="{A0907E28-5F3C-49B4-A24D-F548D7A8283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49" name="TextBox 6">
          <a:extLst>
            <a:ext uri="{FF2B5EF4-FFF2-40B4-BE49-F238E27FC236}">
              <a16:creationId xmlns:a16="http://schemas.microsoft.com/office/drawing/2014/main" id="{2F0B8EDA-46EF-4DDE-BAFF-D893269D220B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0" name="TextBox 7">
          <a:extLst>
            <a:ext uri="{FF2B5EF4-FFF2-40B4-BE49-F238E27FC236}">
              <a16:creationId xmlns:a16="http://schemas.microsoft.com/office/drawing/2014/main" id="{24D12D71-39DC-4B4B-AA52-D8773E992324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1" name="TextBox 8">
          <a:extLst>
            <a:ext uri="{FF2B5EF4-FFF2-40B4-BE49-F238E27FC236}">
              <a16:creationId xmlns:a16="http://schemas.microsoft.com/office/drawing/2014/main" id="{4319584E-3DD7-4A6A-8FAC-9DC67EAC3E3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2" name="TextBox 2">
          <a:extLst>
            <a:ext uri="{FF2B5EF4-FFF2-40B4-BE49-F238E27FC236}">
              <a16:creationId xmlns:a16="http://schemas.microsoft.com/office/drawing/2014/main" id="{5F71969F-C2A8-4D4A-9BAA-44E5BE52A8D1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3" name="TextBox 4">
          <a:extLst>
            <a:ext uri="{FF2B5EF4-FFF2-40B4-BE49-F238E27FC236}">
              <a16:creationId xmlns:a16="http://schemas.microsoft.com/office/drawing/2014/main" id="{E84F2AFA-902F-4094-AAAE-F7E05937C7C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4" name="TextBox 5">
          <a:extLst>
            <a:ext uri="{FF2B5EF4-FFF2-40B4-BE49-F238E27FC236}">
              <a16:creationId xmlns:a16="http://schemas.microsoft.com/office/drawing/2014/main" id="{08746AD7-4742-4543-B983-EAE2D7AFF6C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5" name="TextBox 6">
          <a:extLst>
            <a:ext uri="{FF2B5EF4-FFF2-40B4-BE49-F238E27FC236}">
              <a16:creationId xmlns:a16="http://schemas.microsoft.com/office/drawing/2014/main" id="{F2C56CCC-C6FF-43D8-A927-E4980C6F509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6" name="TextBox 7">
          <a:extLst>
            <a:ext uri="{FF2B5EF4-FFF2-40B4-BE49-F238E27FC236}">
              <a16:creationId xmlns:a16="http://schemas.microsoft.com/office/drawing/2014/main" id="{C71BE0B0-25EB-4502-956F-19A763FF18B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7" name="TextBox 8">
          <a:extLst>
            <a:ext uri="{FF2B5EF4-FFF2-40B4-BE49-F238E27FC236}">
              <a16:creationId xmlns:a16="http://schemas.microsoft.com/office/drawing/2014/main" id="{3555AC0E-F3B8-444D-9AE3-6F594A865451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8" name="TextBox 2">
          <a:extLst>
            <a:ext uri="{FF2B5EF4-FFF2-40B4-BE49-F238E27FC236}">
              <a16:creationId xmlns:a16="http://schemas.microsoft.com/office/drawing/2014/main" id="{0BDEDE8C-F3BE-4F14-B1E6-9667766BA305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59" name="TextBox 4">
          <a:extLst>
            <a:ext uri="{FF2B5EF4-FFF2-40B4-BE49-F238E27FC236}">
              <a16:creationId xmlns:a16="http://schemas.microsoft.com/office/drawing/2014/main" id="{AF1379C5-D41E-4F9D-8615-1811C43588DA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0" name="TextBox 5">
          <a:extLst>
            <a:ext uri="{FF2B5EF4-FFF2-40B4-BE49-F238E27FC236}">
              <a16:creationId xmlns:a16="http://schemas.microsoft.com/office/drawing/2014/main" id="{F7E490F9-A621-4D5F-BCAF-E35967B95553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1" name="TextBox 6">
          <a:extLst>
            <a:ext uri="{FF2B5EF4-FFF2-40B4-BE49-F238E27FC236}">
              <a16:creationId xmlns:a16="http://schemas.microsoft.com/office/drawing/2014/main" id="{D10B6A02-6EF0-4F02-8A20-7E19DDDBB4BB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2" name="TextBox 7">
          <a:extLst>
            <a:ext uri="{FF2B5EF4-FFF2-40B4-BE49-F238E27FC236}">
              <a16:creationId xmlns:a16="http://schemas.microsoft.com/office/drawing/2014/main" id="{9788052D-2DFF-479D-8D3E-B4E8029FC6FB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3" name="TextBox 8">
          <a:extLst>
            <a:ext uri="{FF2B5EF4-FFF2-40B4-BE49-F238E27FC236}">
              <a16:creationId xmlns:a16="http://schemas.microsoft.com/office/drawing/2014/main" id="{E2DE49FA-8D03-4B71-8F3B-1B7AF1548187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4" name="TextBox 2">
          <a:extLst>
            <a:ext uri="{FF2B5EF4-FFF2-40B4-BE49-F238E27FC236}">
              <a16:creationId xmlns:a16="http://schemas.microsoft.com/office/drawing/2014/main" id="{925D5114-72FF-4F8F-BB70-7BE4459E59C2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5" name="TextBox 4">
          <a:extLst>
            <a:ext uri="{FF2B5EF4-FFF2-40B4-BE49-F238E27FC236}">
              <a16:creationId xmlns:a16="http://schemas.microsoft.com/office/drawing/2014/main" id="{9ACB95EF-41E0-47ED-B80E-F554BBABED98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6" name="TextBox 5">
          <a:extLst>
            <a:ext uri="{FF2B5EF4-FFF2-40B4-BE49-F238E27FC236}">
              <a16:creationId xmlns:a16="http://schemas.microsoft.com/office/drawing/2014/main" id="{19F88200-3C72-4595-B9EF-524E2502E0AE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7" name="TextBox 6">
          <a:extLst>
            <a:ext uri="{FF2B5EF4-FFF2-40B4-BE49-F238E27FC236}">
              <a16:creationId xmlns:a16="http://schemas.microsoft.com/office/drawing/2014/main" id="{0E46AEDC-D03E-4DE4-A137-7368470EAA95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8" name="TextBox 7">
          <a:extLst>
            <a:ext uri="{FF2B5EF4-FFF2-40B4-BE49-F238E27FC236}">
              <a16:creationId xmlns:a16="http://schemas.microsoft.com/office/drawing/2014/main" id="{D6D693A9-E341-433F-BAE9-C8668FA5E202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69" name="TextBox 8">
          <a:extLst>
            <a:ext uri="{FF2B5EF4-FFF2-40B4-BE49-F238E27FC236}">
              <a16:creationId xmlns:a16="http://schemas.microsoft.com/office/drawing/2014/main" id="{34DF202E-BCEF-4E93-BC25-F98FF7C6E5F8}"/>
            </a:ext>
          </a:extLst>
        </xdr:cNvPr>
        <xdr:cNvSpPr txBox="1"/>
      </xdr:nvSpPr>
      <xdr:spPr>
        <a:xfrm flipH="1">
          <a:off x="1909762" y="6191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0" name="TextBox 2">
          <a:extLst>
            <a:ext uri="{FF2B5EF4-FFF2-40B4-BE49-F238E27FC236}">
              <a16:creationId xmlns:a16="http://schemas.microsoft.com/office/drawing/2014/main" id="{18E1DA98-0E1B-4F41-A59D-B70772BE03E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1" name="TextBox 4">
          <a:extLst>
            <a:ext uri="{FF2B5EF4-FFF2-40B4-BE49-F238E27FC236}">
              <a16:creationId xmlns:a16="http://schemas.microsoft.com/office/drawing/2014/main" id="{813888A2-CD5A-4FC2-91D3-2EEB506E3D8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2" name="TextBox 5">
          <a:extLst>
            <a:ext uri="{FF2B5EF4-FFF2-40B4-BE49-F238E27FC236}">
              <a16:creationId xmlns:a16="http://schemas.microsoft.com/office/drawing/2014/main" id="{A8D467CB-53DD-4A7E-93F9-BC57A61E1326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3" name="TextBox 6">
          <a:extLst>
            <a:ext uri="{FF2B5EF4-FFF2-40B4-BE49-F238E27FC236}">
              <a16:creationId xmlns:a16="http://schemas.microsoft.com/office/drawing/2014/main" id="{35D835C6-9C4E-4129-ACCD-7B0E57826D3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4" name="TextBox 7">
          <a:extLst>
            <a:ext uri="{FF2B5EF4-FFF2-40B4-BE49-F238E27FC236}">
              <a16:creationId xmlns:a16="http://schemas.microsoft.com/office/drawing/2014/main" id="{4A4ED457-83B3-402F-85DE-E131CA4EED1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5" name="TextBox 8">
          <a:extLst>
            <a:ext uri="{FF2B5EF4-FFF2-40B4-BE49-F238E27FC236}">
              <a16:creationId xmlns:a16="http://schemas.microsoft.com/office/drawing/2014/main" id="{F2503CF7-BA16-4B47-8FAA-9DF05CDD7D0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6" name="TextBox 2">
          <a:extLst>
            <a:ext uri="{FF2B5EF4-FFF2-40B4-BE49-F238E27FC236}">
              <a16:creationId xmlns:a16="http://schemas.microsoft.com/office/drawing/2014/main" id="{3C15DDC2-1B6D-4115-9F6D-AB06BEC48ED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7" name="TextBox 4">
          <a:extLst>
            <a:ext uri="{FF2B5EF4-FFF2-40B4-BE49-F238E27FC236}">
              <a16:creationId xmlns:a16="http://schemas.microsoft.com/office/drawing/2014/main" id="{51DA12E3-529F-4D9B-95DE-DF71B49448F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8" name="TextBox 5">
          <a:extLst>
            <a:ext uri="{FF2B5EF4-FFF2-40B4-BE49-F238E27FC236}">
              <a16:creationId xmlns:a16="http://schemas.microsoft.com/office/drawing/2014/main" id="{50442C6C-01BC-45DE-89D1-9ADBC3C7F9B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79" name="TextBox 6">
          <a:extLst>
            <a:ext uri="{FF2B5EF4-FFF2-40B4-BE49-F238E27FC236}">
              <a16:creationId xmlns:a16="http://schemas.microsoft.com/office/drawing/2014/main" id="{25527E84-88BC-4275-A078-AB93A0DDD8A7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0" name="TextBox 7">
          <a:extLst>
            <a:ext uri="{FF2B5EF4-FFF2-40B4-BE49-F238E27FC236}">
              <a16:creationId xmlns:a16="http://schemas.microsoft.com/office/drawing/2014/main" id="{9DE0DB0A-A4EF-48CE-824E-A5D1705A0175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1" name="TextBox 8">
          <a:extLst>
            <a:ext uri="{FF2B5EF4-FFF2-40B4-BE49-F238E27FC236}">
              <a16:creationId xmlns:a16="http://schemas.microsoft.com/office/drawing/2014/main" id="{CD4F7ED7-D654-49B8-93BC-E672B5040D1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2" name="TextBox 2">
          <a:extLst>
            <a:ext uri="{FF2B5EF4-FFF2-40B4-BE49-F238E27FC236}">
              <a16:creationId xmlns:a16="http://schemas.microsoft.com/office/drawing/2014/main" id="{BEAFBC27-A70B-4743-9F10-F48B922FA4DA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3" name="TextBox 4">
          <a:extLst>
            <a:ext uri="{FF2B5EF4-FFF2-40B4-BE49-F238E27FC236}">
              <a16:creationId xmlns:a16="http://schemas.microsoft.com/office/drawing/2014/main" id="{7478DFBB-7C12-4E01-9528-936278448EFE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4" name="TextBox 5">
          <a:extLst>
            <a:ext uri="{FF2B5EF4-FFF2-40B4-BE49-F238E27FC236}">
              <a16:creationId xmlns:a16="http://schemas.microsoft.com/office/drawing/2014/main" id="{C0683F93-6E1D-4DD1-8585-E7EB4A238420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5" name="TextBox 6">
          <a:extLst>
            <a:ext uri="{FF2B5EF4-FFF2-40B4-BE49-F238E27FC236}">
              <a16:creationId xmlns:a16="http://schemas.microsoft.com/office/drawing/2014/main" id="{9DEE4B41-5FD3-4782-ADA1-4BF67B99AC23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6" name="TextBox 7">
          <a:extLst>
            <a:ext uri="{FF2B5EF4-FFF2-40B4-BE49-F238E27FC236}">
              <a16:creationId xmlns:a16="http://schemas.microsoft.com/office/drawing/2014/main" id="{1EA3F5BB-7CE8-484D-8848-D334B455BEB8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7" name="TextBox 8">
          <a:extLst>
            <a:ext uri="{FF2B5EF4-FFF2-40B4-BE49-F238E27FC236}">
              <a16:creationId xmlns:a16="http://schemas.microsoft.com/office/drawing/2014/main" id="{39B8ADBF-BF2B-469F-96F9-C3AEFF8B680D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8" name="TextBox 2">
          <a:extLst>
            <a:ext uri="{FF2B5EF4-FFF2-40B4-BE49-F238E27FC236}">
              <a16:creationId xmlns:a16="http://schemas.microsoft.com/office/drawing/2014/main" id="{96A92FBB-6C55-42DE-8B67-C68B6E7799EF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89" name="TextBox 4">
          <a:extLst>
            <a:ext uri="{FF2B5EF4-FFF2-40B4-BE49-F238E27FC236}">
              <a16:creationId xmlns:a16="http://schemas.microsoft.com/office/drawing/2014/main" id="{531E97E3-29FC-4BFD-B4DE-C50705957AAE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0" name="TextBox 5">
          <a:extLst>
            <a:ext uri="{FF2B5EF4-FFF2-40B4-BE49-F238E27FC236}">
              <a16:creationId xmlns:a16="http://schemas.microsoft.com/office/drawing/2014/main" id="{1BB0D6AE-891F-42BA-8930-16E23542907F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1" name="TextBox 6">
          <a:extLst>
            <a:ext uri="{FF2B5EF4-FFF2-40B4-BE49-F238E27FC236}">
              <a16:creationId xmlns:a16="http://schemas.microsoft.com/office/drawing/2014/main" id="{642FEA34-B462-4794-9FC2-2CB2B3302167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2" name="TextBox 7">
          <a:extLst>
            <a:ext uri="{FF2B5EF4-FFF2-40B4-BE49-F238E27FC236}">
              <a16:creationId xmlns:a16="http://schemas.microsoft.com/office/drawing/2014/main" id="{665E145F-7D4B-41AC-B950-2E2A26170C93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3" name="TextBox 8">
          <a:extLst>
            <a:ext uri="{FF2B5EF4-FFF2-40B4-BE49-F238E27FC236}">
              <a16:creationId xmlns:a16="http://schemas.microsoft.com/office/drawing/2014/main" id="{96FD82AF-5401-463C-A150-A0C734EC181C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4" name="TextBox 2">
          <a:extLst>
            <a:ext uri="{FF2B5EF4-FFF2-40B4-BE49-F238E27FC236}">
              <a16:creationId xmlns:a16="http://schemas.microsoft.com/office/drawing/2014/main" id="{EEC55676-0C40-4EBF-9614-26D16ABC4599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5" name="TextBox 4">
          <a:extLst>
            <a:ext uri="{FF2B5EF4-FFF2-40B4-BE49-F238E27FC236}">
              <a16:creationId xmlns:a16="http://schemas.microsoft.com/office/drawing/2014/main" id="{D1EC0BE9-E649-47B7-AA6F-C25F4558AC4F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6" name="TextBox 5">
          <a:extLst>
            <a:ext uri="{FF2B5EF4-FFF2-40B4-BE49-F238E27FC236}">
              <a16:creationId xmlns:a16="http://schemas.microsoft.com/office/drawing/2014/main" id="{C050A676-5299-45A2-A971-3C8FE446773E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7" name="TextBox 6">
          <a:extLst>
            <a:ext uri="{FF2B5EF4-FFF2-40B4-BE49-F238E27FC236}">
              <a16:creationId xmlns:a16="http://schemas.microsoft.com/office/drawing/2014/main" id="{FBF45F48-D690-46E0-80E6-382600578F8C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8" name="TextBox 7">
          <a:extLst>
            <a:ext uri="{FF2B5EF4-FFF2-40B4-BE49-F238E27FC236}">
              <a16:creationId xmlns:a16="http://schemas.microsoft.com/office/drawing/2014/main" id="{DCAA4E3D-EBC5-4F7C-8E55-4BBE60D2C358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199" name="TextBox 8">
          <a:extLst>
            <a:ext uri="{FF2B5EF4-FFF2-40B4-BE49-F238E27FC236}">
              <a16:creationId xmlns:a16="http://schemas.microsoft.com/office/drawing/2014/main" id="{22DA33CF-1E3D-4305-B7B1-A7F85D9A50DB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0" name="TextBox 2">
          <a:extLst>
            <a:ext uri="{FF2B5EF4-FFF2-40B4-BE49-F238E27FC236}">
              <a16:creationId xmlns:a16="http://schemas.microsoft.com/office/drawing/2014/main" id="{A1A53631-5882-440B-A8D6-B7DC0F81C141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1" name="TextBox 4">
          <a:extLst>
            <a:ext uri="{FF2B5EF4-FFF2-40B4-BE49-F238E27FC236}">
              <a16:creationId xmlns:a16="http://schemas.microsoft.com/office/drawing/2014/main" id="{40C3E63D-A14D-4207-976B-A8C5ADD9D1C6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2" name="TextBox 5">
          <a:extLst>
            <a:ext uri="{FF2B5EF4-FFF2-40B4-BE49-F238E27FC236}">
              <a16:creationId xmlns:a16="http://schemas.microsoft.com/office/drawing/2014/main" id="{09C25EB9-E1DE-4F91-877F-321C41EC438D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3" name="TextBox 6">
          <a:extLst>
            <a:ext uri="{FF2B5EF4-FFF2-40B4-BE49-F238E27FC236}">
              <a16:creationId xmlns:a16="http://schemas.microsoft.com/office/drawing/2014/main" id="{EFC91FEA-C2CE-4AA8-915A-518802DF9204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4" name="TextBox 7">
          <a:extLst>
            <a:ext uri="{FF2B5EF4-FFF2-40B4-BE49-F238E27FC236}">
              <a16:creationId xmlns:a16="http://schemas.microsoft.com/office/drawing/2014/main" id="{71B4FD23-7BF3-4D7D-BCF0-4CCF7B211724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5" name="TextBox 8">
          <a:extLst>
            <a:ext uri="{FF2B5EF4-FFF2-40B4-BE49-F238E27FC236}">
              <a16:creationId xmlns:a16="http://schemas.microsoft.com/office/drawing/2014/main" id="{2ACF255B-667A-4158-AB09-41B7298801BB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6" name="TextBox 2">
          <a:extLst>
            <a:ext uri="{FF2B5EF4-FFF2-40B4-BE49-F238E27FC236}">
              <a16:creationId xmlns:a16="http://schemas.microsoft.com/office/drawing/2014/main" id="{B08944D7-D443-43E5-9ECB-54B99E4781E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7" name="TextBox 4">
          <a:extLst>
            <a:ext uri="{FF2B5EF4-FFF2-40B4-BE49-F238E27FC236}">
              <a16:creationId xmlns:a16="http://schemas.microsoft.com/office/drawing/2014/main" id="{EFCC448D-F9CD-44FF-840E-D80712A9423B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8" name="TextBox 5">
          <a:extLst>
            <a:ext uri="{FF2B5EF4-FFF2-40B4-BE49-F238E27FC236}">
              <a16:creationId xmlns:a16="http://schemas.microsoft.com/office/drawing/2014/main" id="{9368176C-D0E9-40C2-A781-1CFDF4E6E2D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09" name="TextBox 6">
          <a:extLst>
            <a:ext uri="{FF2B5EF4-FFF2-40B4-BE49-F238E27FC236}">
              <a16:creationId xmlns:a16="http://schemas.microsoft.com/office/drawing/2014/main" id="{73E9024E-B4A7-4244-BD53-FD34F87B1E7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0" name="TextBox 7">
          <a:extLst>
            <a:ext uri="{FF2B5EF4-FFF2-40B4-BE49-F238E27FC236}">
              <a16:creationId xmlns:a16="http://schemas.microsoft.com/office/drawing/2014/main" id="{9FB88433-CFF1-4F10-A5D0-B1D892197F7B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1" name="TextBox 8">
          <a:extLst>
            <a:ext uri="{FF2B5EF4-FFF2-40B4-BE49-F238E27FC236}">
              <a16:creationId xmlns:a16="http://schemas.microsoft.com/office/drawing/2014/main" id="{E91AF4AC-383D-485A-A47B-AE1A8D8EF77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2" name="TextBox 2">
          <a:extLst>
            <a:ext uri="{FF2B5EF4-FFF2-40B4-BE49-F238E27FC236}">
              <a16:creationId xmlns:a16="http://schemas.microsoft.com/office/drawing/2014/main" id="{F75A27FC-A89E-4859-85E7-3B6DFAC740F1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3" name="TextBox 4">
          <a:extLst>
            <a:ext uri="{FF2B5EF4-FFF2-40B4-BE49-F238E27FC236}">
              <a16:creationId xmlns:a16="http://schemas.microsoft.com/office/drawing/2014/main" id="{EEB7D255-005E-45E2-A0E2-E10FA683057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4" name="TextBox 5">
          <a:extLst>
            <a:ext uri="{FF2B5EF4-FFF2-40B4-BE49-F238E27FC236}">
              <a16:creationId xmlns:a16="http://schemas.microsoft.com/office/drawing/2014/main" id="{2AA8CA82-4F48-4211-BD5E-2A49579B4937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5" name="TextBox 6">
          <a:extLst>
            <a:ext uri="{FF2B5EF4-FFF2-40B4-BE49-F238E27FC236}">
              <a16:creationId xmlns:a16="http://schemas.microsoft.com/office/drawing/2014/main" id="{7486C562-962D-4E83-B51B-AA6E14EEAFE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6" name="TextBox 7">
          <a:extLst>
            <a:ext uri="{FF2B5EF4-FFF2-40B4-BE49-F238E27FC236}">
              <a16:creationId xmlns:a16="http://schemas.microsoft.com/office/drawing/2014/main" id="{FFF3CD18-EE51-436C-B493-72806866D126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7" name="TextBox 8">
          <a:extLst>
            <a:ext uri="{FF2B5EF4-FFF2-40B4-BE49-F238E27FC236}">
              <a16:creationId xmlns:a16="http://schemas.microsoft.com/office/drawing/2014/main" id="{D652F5A1-5C11-4690-B10B-64C695A9FA2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8" name="TextBox 2">
          <a:extLst>
            <a:ext uri="{FF2B5EF4-FFF2-40B4-BE49-F238E27FC236}">
              <a16:creationId xmlns:a16="http://schemas.microsoft.com/office/drawing/2014/main" id="{B4C76D1E-B7B2-4AE5-8608-807FB21133AA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19" name="TextBox 4">
          <a:extLst>
            <a:ext uri="{FF2B5EF4-FFF2-40B4-BE49-F238E27FC236}">
              <a16:creationId xmlns:a16="http://schemas.microsoft.com/office/drawing/2014/main" id="{A261533D-65C3-476E-9C1A-4EF413E963FD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0" name="TextBox 5">
          <a:extLst>
            <a:ext uri="{FF2B5EF4-FFF2-40B4-BE49-F238E27FC236}">
              <a16:creationId xmlns:a16="http://schemas.microsoft.com/office/drawing/2014/main" id="{FDD61D7D-82A5-4211-9B01-1537085CF7A6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1" name="TextBox 6">
          <a:extLst>
            <a:ext uri="{FF2B5EF4-FFF2-40B4-BE49-F238E27FC236}">
              <a16:creationId xmlns:a16="http://schemas.microsoft.com/office/drawing/2014/main" id="{C5649A6B-EA62-4A3B-952D-F59E2F8737AB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2" name="TextBox 7">
          <a:extLst>
            <a:ext uri="{FF2B5EF4-FFF2-40B4-BE49-F238E27FC236}">
              <a16:creationId xmlns:a16="http://schemas.microsoft.com/office/drawing/2014/main" id="{DC1556DD-6EC0-4E7F-87EA-1B7D2EE2C88D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3" name="TextBox 8">
          <a:extLst>
            <a:ext uri="{FF2B5EF4-FFF2-40B4-BE49-F238E27FC236}">
              <a16:creationId xmlns:a16="http://schemas.microsoft.com/office/drawing/2014/main" id="{227B20DF-7861-4D79-B06D-FF3CA603B27A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4" name="TextBox 2">
          <a:extLst>
            <a:ext uri="{FF2B5EF4-FFF2-40B4-BE49-F238E27FC236}">
              <a16:creationId xmlns:a16="http://schemas.microsoft.com/office/drawing/2014/main" id="{F658F644-8D23-4182-B129-C2DFD51B72FD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5" name="TextBox 4">
          <a:extLst>
            <a:ext uri="{FF2B5EF4-FFF2-40B4-BE49-F238E27FC236}">
              <a16:creationId xmlns:a16="http://schemas.microsoft.com/office/drawing/2014/main" id="{D7F3462B-59BE-45AD-B854-D40AD54573D7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6" name="TextBox 5">
          <a:extLst>
            <a:ext uri="{FF2B5EF4-FFF2-40B4-BE49-F238E27FC236}">
              <a16:creationId xmlns:a16="http://schemas.microsoft.com/office/drawing/2014/main" id="{9B2DD0A5-6A15-41EC-B853-2035790A1642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7" name="TextBox 6">
          <a:extLst>
            <a:ext uri="{FF2B5EF4-FFF2-40B4-BE49-F238E27FC236}">
              <a16:creationId xmlns:a16="http://schemas.microsoft.com/office/drawing/2014/main" id="{4B7D9860-47F4-472F-8CE3-708B4CC648EE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8" name="TextBox 7">
          <a:extLst>
            <a:ext uri="{FF2B5EF4-FFF2-40B4-BE49-F238E27FC236}">
              <a16:creationId xmlns:a16="http://schemas.microsoft.com/office/drawing/2014/main" id="{7F376D60-BEFE-4A18-BFA3-8BE2D00A0F90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29" name="TextBox 8">
          <a:extLst>
            <a:ext uri="{FF2B5EF4-FFF2-40B4-BE49-F238E27FC236}">
              <a16:creationId xmlns:a16="http://schemas.microsoft.com/office/drawing/2014/main" id="{0C968E26-E0A0-450A-A2BC-AE705AEE6E2F}"/>
            </a:ext>
          </a:extLst>
        </xdr:cNvPr>
        <xdr:cNvSpPr txBox="1"/>
      </xdr:nvSpPr>
      <xdr:spPr>
        <a:xfrm flipH="1">
          <a:off x="1909762" y="8534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0" name="TextBox 2">
          <a:extLst>
            <a:ext uri="{FF2B5EF4-FFF2-40B4-BE49-F238E27FC236}">
              <a16:creationId xmlns:a16="http://schemas.microsoft.com/office/drawing/2014/main" id="{4E6904A8-34C4-4D09-B9C8-E5AB9C69582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1" name="TextBox 4">
          <a:extLst>
            <a:ext uri="{FF2B5EF4-FFF2-40B4-BE49-F238E27FC236}">
              <a16:creationId xmlns:a16="http://schemas.microsoft.com/office/drawing/2014/main" id="{00691ACB-5A7B-429A-9D6C-45129B1D0E0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2" name="TextBox 5">
          <a:extLst>
            <a:ext uri="{FF2B5EF4-FFF2-40B4-BE49-F238E27FC236}">
              <a16:creationId xmlns:a16="http://schemas.microsoft.com/office/drawing/2014/main" id="{D6B0BF15-D7A5-4681-93BA-033857F7D2DB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3" name="TextBox 6">
          <a:extLst>
            <a:ext uri="{FF2B5EF4-FFF2-40B4-BE49-F238E27FC236}">
              <a16:creationId xmlns:a16="http://schemas.microsoft.com/office/drawing/2014/main" id="{F46D4E1B-0851-410F-AA65-BD3FBB9939A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4" name="TextBox 7">
          <a:extLst>
            <a:ext uri="{FF2B5EF4-FFF2-40B4-BE49-F238E27FC236}">
              <a16:creationId xmlns:a16="http://schemas.microsoft.com/office/drawing/2014/main" id="{EE617FE4-D5DC-4C9E-BF7B-C56CAB4DDC3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5" name="TextBox 8">
          <a:extLst>
            <a:ext uri="{FF2B5EF4-FFF2-40B4-BE49-F238E27FC236}">
              <a16:creationId xmlns:a16="http://schemas.microsoft.com/office/drawing/2014/main" id="{7507F9AE-A13A-4F5F-A474-65EA2AB203C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6" name="TextBox 2">
          <a:extLst>
            <a:ext uri="{FF2B5EF4-FFF2-40B4-BE49-F238E27FC236}">
              <a16:creationId xmlns:a16="http://schemas.microsoft.com/office/drawing/2014/main" id="{519F5E1D-352E-4F17-B121-4B02EBCDE3B2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7" name="TextBox 4">
          <a:extLst>
            <a:ext uri="{FF2B5EF4-FFF2-40B4-BE49-F238E27FC236}">
              <a16:creationId xmlns:a16="http://schemas.microsoft.com/office/drawing/2014/main" id="{FD5187F8-CE8A-4EB5-B956-A65B4B7B67E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8" name="TextBox 5">
          <a:extLst>
            <a:ext uri="{FF2B5EF4-FFF2-40B4-BE49-F238E27FC236}">
              <a16:creationId xmlns:a16="http://schemas.microsoft.com/office/drawing/2014/main" id="{2E498DD0-C2C3-4FA2-A9E3-735F9E60D18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39" name="TextBox 6">
          <a:extLst>
            <a:ext uri="{FF2B5EF4-FFF2-40B4-BE49-F238E27FC236}">
              <a16:creationId xmlns:a16="http://schemas.microsoft.com/office/drawing/2014/main" id="{BE99A916-00B1-477B-9136-1E493E20BA92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0" name="TextBox 7">
          <a:extLst>
            <a:ext uri="{FF2B5EF4-FFF2-40B4-BE49-F238E27FC236}">
              <a16:creationId xmlns:a16="http://schemas.microsoft.com/office/drawing/2014/main" id="{559161AC-9BBF-4384-9044-9FDB597F65C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1" name="TextBox 8">
          <a:extLst>
            <a:ext uri="{FF2B5EF4-FFF2-40B4-BE49-F238E27FC236}">
              <a16:creationId xmlns:a16="http://schemas.microsoft.com/office/drawing/2014/main" id="{372CC38D-4AEA-4FBB-9D48-589167A7C0C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2" name="TextBox 2">
          <a:extLst>
            <a:ext uri="{FF2B5EF4-FFF2-40B4-BE49-F238E27FC236}">
              <a16:creationId xmlns:a16="http://schemas.microsoft.com/office/drawing/2014/main" id="{7D5DCA33-C295-4226-A82C-68F5BEFE663B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3" name="TextBox 4">
          <a:extLst>
            <a:ext uri="{FF2B5EF4-FFF2-40B4-BE49-F238E27FC236}">
              <a16:creationId xmlns:a16="http://schemas.microsoft.com/office/drawing/2014/main" id="{C586783F-008A-4D86-825C-109CD108CD9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4" name="TextBox 5">
          <a:extLst>
            <a:ext uri="{FF2B5EF4-FFF2-40B4-BE49-F238E27FC236}">
              <a16:creationId xmlns:a16="http://schemas.microsoft.com/office/drawing/2014/main" id="{0618EC91-93C0-4EAA-B4FC-FC5302434F4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5" name="TextBox 6">
          <a:extLst>
            <a:ext uri="{FF2B5EF4-FFF2-40B4-BE49-F238E27FC236}">
              <a16:creationId xmlns:a16="http://schemas.microsoft.com/office/drawing/2014/main" id="{BF529A78-1B88-4DBB-A22D-70218D6234F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6" name="TextBox 7">
          <a:extLst>
            <a:ext uri="{FF2B5EF4-FFF2-40B4-BE49-F238E27FC236}">
              <a16:creationId xmlns:a16="http://schemas.microsoft.com/office/drawing/2014/main" id="{4550E0ED-F3D3-4DA1-8694-7E7314447F2D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7" name="TextBox 8">
          <a:extLst>
            <a:ext uri="{FF2B5EF4-FFF2-40B4-BE49-F238E27FC236}">
              <a16:creationId xmlns:a16="http://schemas.microsoft.com/office/drawing/2014/main" id="{9E0A394E-E404-4FA9-96AB-52261B802D8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8" name="TextBox 2">
          <a:extLst>
            <a:ext uri="{FF2B5EF4-FFF2-40B4-BE49-F238E27FC236}">
              <a16:creationId xmlns:a16="http://schemas.microsoft.com/office/drawing/2014/main" id="{E89A9474-7EC8-4F8F-B381-9E3A93B6C045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49" name="TextBox 4">
          <a:extLst>
            <a:ext uri="{FF2B5EF4-FFF2-40B4-BE49-F238E27FC236}">
              <a16:creationId xmlns:a16="http://schemas.microsoft.com/office/drawing/2014/main" id="{7FCC7F9E-4645-4716-83DB-C5A07EFE845B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0" name="TextBox 5">
          <a:extLst>
            <a:ext uri="{FF2B5EF4-FFF2-40B4-BE49-F238E27FC236}">
              <a16:creationId xmlns:a16="http://schemas.microsoft.com/office/drawing/2014/main" id="{919B0CB2-4207-4C9A-BA4A-39566707FA2E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1" name="TextBox 6">
          <a:extLst>
            <a:ext uri="{FF2B5EF4-FFF2-40B4-BE49-F238E27FC236}">
              <a16:creationId xmlns:a16="http://schemas.microsoft.com/office/drawing/2014/main" id="{8060997F-1569-4BBC-8CBC-49B50C462D1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2" name="TextBox 7">
          <a:extLst>
            <a:ext uri="{FF2B5EF4-FFF2-40B4-BE49-F238E27FC236}">
              <a16:creationId xmlns:a16="http://schemas.microsoft.com/office/drawing/2014/main" id="{0248D0AE-7BE6-4FCF-B149-D11039795EC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3" name="TextBox 8">
          <a:extLst>
            <a:ext uri="{FF2B5EF4-FFF2-40B4-BE49-F238E27FC236}">
              <a16:creationId xmlns:a16="http://schemas.microsoft.com/office/drawing/2014/main" id="{A9234FE3-08E5-4072-8EBA-5A3FCB63EA64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4" name="TextBox 2">
          <a:extLst>
            <a:ext uri="{FF2B5EF4-FFF2-40B4-BE49-F238E27FC236}">
              <a16:creationId xmlns:a16="http://schemas.microsoft.com/office/drawing/2014/main" id="{7376F93C-1E83-43C6-8607-EC5F156DD5E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5" name="TextBox 4">
          <a:extLst>
            <a:ext uri="{FF2B5EF4-FFF2-40B4-BE49-F238E27FC236}">
              <a16:creationId xmlns:a16="http://schemas.microsoft.com/office/drawing/2014/main" id="{3AAEA381-E02A-4EB5-89B6-8A528811A6A6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6" name="TextBox 5">
          <a:extLst>
            <a:ext uri="{FF2B5EF4-FFF2-40B4-BE49-F238E27FC236}">
              <a16:creationId xmlns:a16="http://schemas.microsoft.com/office/drawing/2014/main" id="{450FBCE9-2D3E-4630-B541-CD2927CF692D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7" name="TextBox 6">
          <a:extLst>
            <a:ext uri="{FF2B5EF4-FFF2-40B4-BE49-F238E27FC236}">
              <a16:creationId xmlns:a16="http://schemas.microsoft.com/office/drawing/2014/main" id="{527E9869-B32B-445D-B479-D44E67FDE41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8" name="TextBox 7">
          <a:extLst>
            <a:ext uri="{FF2B5EF4-FFF2-40B4-BE49-F238E27FC236}">
              <a16:creationId xmlns:a16="http://schemas.microsoft.com/office/drawing/2014/main" id="{C3AEBE73-2A8B-439F-9BB7-CBAE5B7437A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59" name="TextBox 8">
          <a:extLst>
            <a:ext uri="{FF2B5EF4-FFF2-40B4-BE49-F238E27FC236}">
              <a16:creationId xmlns:a16="http://schemas.microsoft.com/office/drawing/2014/main" id="{BD6AEF47-C6D8-45C1-A23C-D9D1D3DD3B1E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0" name="TextBox 2">
          <a:extLst>
            <a:ext uri="{FF2B5EF4-FFF2-40B4-BE49-F238E27FC236}">
              <a16:creationId xmlns:a16="http://schemas.microsoft.com/office/drawing/2014/main" id="{0594F897-6788-4C58-8D11-4237FEC429C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1" name="TextBox 4">
          <a:extLst>
            <a:ext uri="{FF2B5EF4-FFF2-40B4-BE49-F238E27FC236}">
              <a16:creationId xmlns:a16="http://schemas.microsoft.com/office/drawing/2014/main" id="{B3AF0FCA-50DD-44F5-83F5-97CEF8B37B8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2" name="TextBox 5">
          <a:extLst>
            <a:ext uri="{FF2B5EF4-FFF2-40B4-BE49-F238E27FC236}">
              <a16:creationId xmlns:a16="http://schemas.microsoft.com/office/drawing/2014/main" id="{6A509B91-740E-4CFF-84EB-EA146F15E66D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3" name="TextBox 6">
          <a:extLst>
            <a:ext uri="{FF2B5EF4-FFF2-40B4-BE49-F238E27FC236}">
              <a16:creationId xmlns:a16="http://schemas.microsoft.com/office/drawing/2014/main" id="{335A0CA6-8340-4AC9-A63F-26DEDAEBABCB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4" name="TextBox 7">
          <a:extLst>
            <a:ext uri="{FF2B5EF4-FFF2-40B4-BE49-F238E27FC236}">
              <a16:creationId xmlns:a16="http://schemas.microsoft.com/office/drawing/2014/main" id="{2C7858B5-CF30-41BD-B484-E22E0874585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5" name="TextBox 8">
          <a:extLst>
            <a:ext uri="{FF2B5EF4-FFF2-40B4-BE49-F238E27FC236}">
              <a16:creationId xmlns:a16="http://schemas.microsoft.com/office/drawing/2014/main" id="{5888F122-DD9E-40F2-BF4D-FC41133F4D45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6" name="TextBox 2">
          <a:extLst>
            <a:ext uri="{FF2B5EF4-FFF2-40B4-BE49-F238E27FC236}">
              <a16:creationId xmlns:a16="http://schemas.microsoft.com/office/drawing/2014/main" id="{8242BCE1-8F3A-468D-8340-D51EA2AA25D4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7" name="TextBox 4">
          <a:extLst>
            <a:ext uri="{FF2B5EF4-FFF2-40B4-BE49-F238E27FC236}">
              <a16:creationId xmlns:a16="http://schemas.microsoft.com/office/drawing/2014/main" id="{30F54500-ACAB-481C-BDCC-D770FC4F8BD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8" name="TextBox 5">
          <a:extLst>
            <a:ext uri="{FF2B5EF4-FFF2-40B4-BE49-F238E27FC236}">
              <a16:creationId xmlns:a16="http://schemas.microsoft.com/office/drawing/2014/main" id="{8D16C9B9-8A08-412E-BBD7-9C0A1420250C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69" name="TextBox 6">
          <a:extLst>
            <a:ext uri="{FF2B5EF4-FFF2-40B4-BE49-F238E27FC236}">
              <a16:creationId xmlns:a16="http://schemas.microsoft.com/office/drawing/2014/main" id="{F063091D-EB42-44AC-A9AF-B91C8187C1BA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0" name="TextBox 7">
          <a:extLst>
            <a:ext uri="{FF2B5EF4-FFF2-40B4-BE49-F238E27FC236}">
              <a16:creationId xmlns:a16="http://schemas.microsoft.com/office/drawing/2014/main" id="{B21132EE-27EB-4158-84A6-B51B1384E53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1" name="TextBox 8">
          <a:extLst>
            <a:ext uri="{FF2B5EF4-FFF2-40B4-BE49-F238E27FC236}">
              <a16:creationId xmlns:a16="http://schemas.microsoft.com/office/drawing/2014/main" id="{C7EA7D90-BDBE-48C9-BF76-0E1DF30C924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2" name="TextBox 2">
          <a:extLst>
            <a:ext uri="{FF2B5EF4-FFF2-40B4-BE49-F238E27FC236}">
              <a16:creationId xmlns:a16="http://schemas.microsoft.com/office/drawing/2014/main" id="{8DEBD905-E11D-4E73-9161-91969995D098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3" name="TextBox 4">
          <a:extLst>
            <a:ext uri="{FF2B5EF4-FFF2-40B4-BE49-F238E27FC236}">
              <a16:creationId xmlns:a16="http://schemas.microsoft.com/office/drawing/2014/main" id="{14A859C4-0E17-4451-B2BB-8C83179F546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4" name="TextBox 5">
          <a:extLst>
            <a:ext uri="{FF2B5EF4-FFF2-40B4-BE49-F238E27FC236}">
              <a16:creationId xmlns:a16="http://schemas.microsoft.com/office/drawing/2014/main" id="{37AD707A-EEBE-4BA1-AC4B-69C01AB2AED5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5" name="TextBox 6">
          <a:extLst>
            <a:ext uri="{FF2B5EF4-FFF2-40B4-BE49-F238E27FC236}">
              <a16:creationId xmlns:a16="http://schemas.microsoft.com/office/drawing/2014/main" id="{7CEB6950-4076-40B5-9455-F107AA7E6080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6" name="TextBox 7">
          <a:extLst>
            <a:ext uri="{FF2B5EF4-FFF2-40B4-BE49-F238E27FC236}">
              <a16:creationId xmlns:a16="http://schemas.microsoft.com/office/drawing/2014/main" id="{9A1A5D6A-93E9-40E4-901A-62B7A0B567A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7" name="TextBox 8">
          <a:extLst>
            <a:ext uri="{FF2B5EF4-FFF2-40B4-BE49-F238E27FC236}">
              <a16:creationId xmlns:a16="http://schemas.microsoft.com/office/drawing/2014/main" id="{A633019C-A7B3-4B42-9B88-BCE702AED858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8" name="TextBox 2">
          <a:extLst>
            <a:ext uri="{FF2B5EF4-FFF2-40B4-BE49-F238E27FC236}">
              <a16:creationId xmlns:a16="http://schemas.microsoft.com/office/drawing/2014/main" id="{0F07E8BE-39D3-4952-8EC6-4E7CB577E0D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79" name="TextBox 4">
          <a:extLst>
            <a:ext uri="{FF2B5EF4-FFF2-40B4-BE49-F238E27FC236}">
              <a16:creationId xmlns:a16="http://schemas.microsoft.com/office/drawing/2014/main" id="{C922E9AE-21CC-49EA-8D05-591963917414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0" name="TextBox 5">
          <a:extLst>
            <a:ext uri="{FF2B5EF4-FFF2-40B4-BE49-F238E27FC236}">
              <a16:creationId xmlns:a16="http://schemas.microsoft.com/office/drawing/2014/main" id="{C2E4DB26-B13D-4F5F-A74D-A4E1C3CF429D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1" name="TextBox 6">
          <a:extLst>
            <a:ext uri="{FF2B5EF4-FFF2-40B4-BE49-F238E27FC236}">
              <a16:creationId xmlns:a16="http://schemas.microsoft.com/office/drawing/2014/main" id="{DBF26CE3-72BC-4CCF-9A90-7C0EE6E961BC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2" name="TextBox 7">
          <a:extLst>
            <a:ext uri="{FF2B5EF4-FFF2-40B4-BE49-F238E27FC236}">
              <a16:creationId xmlns:a16="http://schemas.microsoft.com/office/drawing/2014/main" id="{EBBE31E7-9D1C-4E86-A8B1-A9359FEECDA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3" name="TextBox 8">
          <a:extLst>
            <a:ext uri="{FF2B5EF4-FFF2-40B4-BE49-F238E27FC236}">
              <a16:creationId xmlns:a16="http://schemas.microsoft.com/office/drawing/2014/main" id="{E536C520-371D-4EA1-946B-1B730DA6F39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4" name="TextBox 2">
          <a:extLst>
            <a:ext uri="{FF2B5EF4-FFF2-40B4-BE49-F238E27FC236}">
              <a16:creationId xmlns:a16="http://schemas.microsoft.com/office/drawing/2014/main" id="{D4A559F9-6E78-4CF3-A81C-0FEA831FDDE0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5" name="TextBox 4">
          <a:extLst>
            <a:ext uri="{FF2B5EF4-FFF2-40B4-BE49-F238E27FC236}">
              <a16:creationId xmlns:a16="http://schemas.microsoft.com/office/drawing/2014/main" id="{761EA185-21BF-4930-8573-E44F4E8F7A80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6" name="TextBox 5">
          <a:extLst>
            <a:ext uri="{FF2B5EF4-FFF2-40B4-BE49-F238E27FC236}">
              <a16:creationId xmlns:a16="http://schemas.microsoft.com/office/drawing/2014/main" id="{1F068C79-02C0-4627-ABF0-66AF9E357BDE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7" name="TextBox 6">
          <a:extLst>
            <a:ext uri="{FF2B5EF4-FFF2-40B4-BE49-F238E27FC236}">
              <a16:creationId xmlns:a16="http://schemas.microsoft.com/office/drawing/2014/main" id="{6311438B-0A51-4B21-9381-12EBDC616E9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8" name="TextBox 7">
          <a:extLst>
            <a:ext uri="{FF2B5EF4-FFF2-40B4-BE49-F238E27FC236}">
              <a16:creationId xmlns:a16="http://schemas.microsoft.com/office/drawing/2014/main" id="{9D36B0FF-1C19-4419-9DF9-1CE984EBD533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89" name="TextBox 8">
          <a:extLst>
            <a:ext uri="{FF2B5EF4-FFF2-40B4-BE49-F238E27FC236}">
              <a16:creationId xmlns:a16="http://schemas.microsoft.com/office/drawing/2014/main" id="{AE9E79D4-579A-4C0F-AE52-7147393DED42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0" name="TextBox 2">
          <a:extLst>
            <a:ext uri="{FF2B5EF4-FFF2-40B4-BE49-F238E27FC236}">
              <a16:creationId xmlns:a16="http://schemas.microsoft.com/office/drawing/2014/main" id="{4B2C051F-3ECF-4E98-B4FE-C9B12CF6E53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1" name="TextBox 4">
          <a:extLst>
            <a:ext uri="{FF2B5EF4-FFF2-40B4-BE49-F238E27FC236}">
              <a16:creationId xmlns:a16="http://schemas.microsoft.com/office/drawing/2014/main" id="{84B2759F-C42F-47A7-888F-AFB2FC8BFEA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2" name="TextBox 5">
          <a:extLst>
            <a:ext uri="{FF2B5EF4-FFF2-40B4-BE49-F238E27FC236}">
              <a16:creationId xmlns:a16="http://schemas.microsoft.com/office/drawing/2014/main" id="{7F9D74BD-06D0-4A63-AB86-A35D619A8E9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3" name="TextBox 6">
          <a:extLst>
            <a:ext uri="{FF2B5EF4-FFF2-40B4-BE49-F238E27FC236}">
              <a16:creationId xmlns:a16="http://schemas.microsoft.com/office/drawing/2014/main" id="{56E71D11-4120-44AC-AABE-E27E5A5D23A8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4" name="TextBox 7">
          <a:extLst>
            <a:ext uri="{FF2B5EF4-FFF2-40B4-BE49-F238E27FC236}">
              <a16:creationId xmlns:a16="http://schemas.microsoft.com/office/drawing/2014/main" id="{90FD83AE-A540-4638-9802-79E5E95F1E8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5" name="TextBox 8">
          <a:extLst>
            <a:ext uri="{FF2B5EF4-FFF2-40B4-BE49-F238E27FC236}">
              <a16:creationId xmlns:a16="http://schemas.microsoft.com/office/drawing/2014/main" id="{CA352650-8DAD-48FD-B106-CC8A329ED5CD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6" name="TextBox 2">
          <a:extLst>
            <a:ext uri="{FF2B5EF4-FFF2-40B4-BE49-F238E27FC236}">
              <a16:creationId xmlns:a16="http://schemas.microsoft.com/office/drawing/2014/main" id="{8F57C26B-28CC-47D8-BE02-9FA0D6E6F03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7" name="TextBox 4">
          <a:extLst>
            <a:ext uri="{FF2B5EF4-FFF2-40B4-BE49-F238E27FC236}">
              <a16:creationId xmlns:a16="http://schemas.microsoft.com/office/drawing/2014/main" id="{84481210-F50B-4007-92E0-96D5A3D7A04A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8" name="TextBox 5">
          <a:extLst>
            <a:ext uri="{FF2B5EF4-FFF2-40B4-BE49-F238E27FC236}">
              <a16:creationId xmlns:a16="http://schemas.microsoft.com/office/drawing/2014/main" id="{B8F995B3-F5E8-456E-9D07-2E48BE89A88D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299" name="TextBox 6">
          <a:extLst>
            <a:ext uri="{FF2B5EF4-FFF2-40B4-BE49-F238E27FC236}">
              <a16:creationId xmlns:a16="http://schemas.microsoft.com/office/drawing/2014/main" id="{B0E4EF62-69AE-4C64-BFAE-87C09191E4D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0" name="TextBox 7">
          <a:extLst>
            <a:ext uri="{FF2B5EF4-FFF2-40B4-BE49-F238E27FC236}">
              <a16:creationId xmlns:a16="http://schemas.microsoft.com/office/drawing/2014/main" id="{B2BF3657-25DC-4945-B4BE-0B66D699BD3E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1" name="TextBox 8">
          <a:extLst>
            <a:ext uri="{FF2B5EF4-FFF2-40B4-BE49-F238E27FC236}">
              <a16:creationId xmlns:a16="http://schemas.microsoft.com/office/drawing/2014/main" id="{634C8C25-70F5-443A-A4D1-1E7F497D3C38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2" name="TextBox 2">
          <a:extLst>
            <a:ext uri="{FF2B5EF4-FFF2-40B4-BE49-F238E27FC236}">
              <a16:creationId xmlns:a16="http://schemas.microsoft.com/office/drawing/2014/main" id="{5E05218B-1FFD-4367-BECB-EA2E025FAABD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3" name="TextBox 4">
          <a:extLst>
            <a:ext uri="{FF2B5EF4-FFF2-40B4-BE49-F238E27FC236}">
              <a16:creationId xmlns:a16="http://schemas.microsoft.com/office/drawing/2014/main" id="{C6D961D3-C454-4808-A2AD-86286BC6B0B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4" name="TextBox 5">
          <a:extLst>
            <a:ext uri="{FF2B5EF4-FFF2-40B4-BE49-F238E27FC236}">
              <a16:creationId xmlns:a16="http://schemas.microsoft.com/office/drawing/2014/main" id="{00CAD302-1B4E-4479-A3E0-6B7206C00D1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5" name="TextBox 6">
          <a:extLst>
            <a:ext uri="{FF2B5EF4-FFF2-40B4-BE49-F238E27FC236}">
              <a16:creationId xmlns:a16="http://schemas.microsoft.com/office/drawing/2014/main" id="{F2D18776-6FC7-4C8B-95BD-BB4E37B2F911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6" name="TextBox 7">
          <a:extLst>
            <a:ext uri="{FF2B5EF4-FFF2-40B4-BE49-F238E27FC236}">
              <a16:creationId xmlns:a16="http://schemas.microsoft.com/office/drawing/2014/main" id="{388B0971-21FD-4A7E-ACEA-B2D7C8ED952E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7" name="TextBox 8">
          <a:extLst>
            <a:ext uri="{FF2B5EF4-FFF2-40B4-BE49-F238E27FC236}">
              <a16:creationId xmlns:a16="http://schemas.microsoft.com/office/drawing/2014/main" id="{C37B9412-3B53-4AAE-B3E3-227F68112C24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8" name="TextBox 2">
          <a:extLst>
            <a:ext uri="{FF2B5EF4-FFF2-40B4-BE49-F238E27FC236}">
              <a16:creationId xmlns:a16="http://schemas.microsoft.com/office/drawing/2014/main" id="{92FFABBD-8695-4E8D-A813-DAC577257440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09" name="TextBox 4">
          <a:extLst>
            <a:ext uri="{FF2B5EF4-FFF2-40B4-BE49-F238E27FC236}">
              <a16:creationId xmlns:a16="http://schemas.microsoft.com/office/drawing/2014/main" id="{67D6DF0F-133F-4356-ACDF-68194F2488D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0" name="TextBox 5">
          <a:extLst>
            <a:ext uri="{FF2B5EF4-FFF2-40B4-BE49-F238E27FC236}">
              <a16:creationId xmlns:a16="http://schemas.microsoft.com/office/drawing/2014/main" id="{6DC014F6-EC34-4E30-AEFE-B86DCF8C9348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1" name="TextBox 6">
          <a:extLst>
            <a:ext uri="{FF2B5EF4-FFF2-40B4-BE49-F238E27FC236}">
              <a16:creationId xmlns:a16="http://schemas.microsoft.com/office/drawing/2014/main" id="{5F5ECF70-55E9-4C52-B21A-752E6A7924D3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2" name="TextBox 7">
          <a:extLst>
            <a:ext uri="{FF2B5EF4-FFF2-40B4-BE49-F238E27FC236}">
              <a16:creationId xmlns:a16="http://schemas.microsoft.com/office/drawing/2014/main" id="{571A1B50-F33C-4D20-A83B-424F63EC8999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3" name="TextBox 8">
          <a:extLst>
            <a:ext uri="{FF2B5EF4-FFF2-40B4-BE49-F238E27FC236}">
              <a16:creationId xmlns:a16="http://schemas.microsoft.com/office/drawing/2014/main" id="{FFE060ED-A282-4792-8500-0F0BA7CC9C69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4" name="TextBox 2">
          <a:extLst>
            <a:ext uri="{FF2B5EF4-FFF2-40B4-BE49-F238E27FC236}">
              <a16:creationId xmlns:a16="http://schemas.microsoft.com/office/drawing/2014/main" id="{F0E285CB-9FA3-46A8-B6AE-835ADC14D8B6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5" name="TextBox 4">
          <a:extLst>
            <a:ext uri="{FF2B5EF4-FFF2-40B4-BE49-F238E27FC236}">
              <a16:creationId xmlns:a16="http://schemas.microsoft.com/office/drawing/2014/main" id="{9C70039E-977E-4D8E-BB52-5FF2FA15929A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6" name="TextBox 5">
          <a:extLst>
            <a:ext uri="{FF2B5EF4-FFF2-40B4-BE49-F238E27FC236}">
              <a16:creationId xmlns:a16="http://schemas.microsoft.com/office/drawing/2014/main" id="{46850A67-4002-49E3-9D75-23F06D4ECD1A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7" name="TextBox 6">
          <a:extLst>
            <a:ext uri="{FF2B5EF4-FFF2-40B4-BE49-F238E27FC236}">
              <a16:creationId xmlns:a16="http://schemas.microsoft.com/office/drawing/2014/main" id="{73FB0C9F-1A24-45D5-8703-BBB3654B9E3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8" name="TextBox 7">
          <a:extLst>
            <a:ext uri="{FF2B5EF4-FFF2-40B4-BE49-F238E27FC236}">
              <a16:creationId xmlns:a16="http://schemas.microsoft.com/office/drawing/2014/main" id="{366EA1A5-FD29-47D6-BD69-C13F30CBB0E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19" name="TextBox 8">
          <a:extLst>
            <a:ext uri="{FF2B5EF4-FFF2-40B4-BE49-F238E27FC236}">
              <a16:creationId xmlns:a16="http://schemas.microsoft.com/office/drawing/2014/main" id="{20CCFC6F-FFA4-412E-B8B2-C078817C54C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0" name="TextBox 2">
          <a:extLst>
            <a:ext uri="{FF2B5EF4-FFF2-40B4-BE49-F238E27FC236}">
              <a16:creationId xmlns:a16="http://schemas.microsoft.com/office/drawing/2014/main" id="{9E35F335-3E6C-4859-BEFB-BC2F65C8AC5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1" name="TextBox 4">
          <a:extLst>
            <a:ext uri="{FF2B5EF4-FFF2-40B4-BE49-F238E27FC236}">
              <a16:creationId xmlns:a16="http://schemas.microsoft.com/office/drawing/2014/main" id="{19934199-70CD-4AC0-B34A-6C96917393B4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2" name="TextBox 5">
          <a:extLst>
            <a:ext uri="{FF2B5EF4-FFF2-40B4-BE49-F238E27FC236}">
              <a16:creationId xmlns:a16="http://schemas.microsoft.com/office/drawing/2014/main" id="{9E9F8F12-EF46-4DC2-AAD7-EB2EAD7E9690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3" name="TextBox 6">
          <a:extLst>
            <a:ext uri="{FF2B5EF4-FFF2-40B4-BE49-F238E27FC236}">
              <a16:creationId xmlns:a16="http://schemas.microsoft.com/office/drawing/2014/main" id="{B7413E1A-A703-463A-9AFF-BD93772D4DFC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4" name="TextBox 7">
          <a:extLst>
            <a:ext uri="{FF2B5EF4-FFF2-40B4-BE49-F238E27FC236}">
              <a16:creationId xmlns:a16="http://schemas.microsoft.com/office/drawing/2014/main" id="{2AE0850B-9B02-49DB-B43B-D0DF25123927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5" name="TextBox 8">
          <a:extLst>
            <a:ext uri="{FF2B5EF4-FFF2-40B4-BE49-F238E27FC236}">
              <a16:creationId xmlns:a16="http://schemas.microsoft.com/office/drawing/2014/main" id="{13BE0A19-B6DD-43D0-8C61-D31DF970DBEB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6" name="TextBox 2">
          <a:extLst>
            <a:ext uri="{FF2B5EF4-FFF2-40B4-BE49-F238E27FC236}">
              <a16:creationId xmlns:a16="http://schemas.microsoft.com/office/drawing/2014/main" id="{AAD05549-FA5D-4ED2-9D75-BD3CDAB4041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7" name="TextBox 4">
          <a:extLst>
            <a:ext uri="{FF2B5EF4-FFF2-40B4-BE49-F238E27FC236}">
              <a16:creationId xmlns:a16="http://schemas.microsoft.com/office/drawing/2014/main" id="{B441CAF7-EDD9-4710-B887-02A07B8F211E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8" name="TextBox 5">
          <a:extLst>
            <a:ext uri="{FF2B5EF4-FFF2-40B4-BE49-F238E27FC236}">
              <a16:creationId xmlns:a16="http://schemas.microsoft.com/office/drawing/2014/main" id="{D2569325-6542-4BEE-9971-694C44772CA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29" name="TextBox 6">
          <a:extLst>
            <a:ext uri="{FF2B5EF4-FFF2-40B4-BE49-F238E27FC236}">
              <a16:creationId xmlns:a16="http://schemas.microsoft.com/office/drawing/2014/main" id="{8169B28C-DD92-4DEE-9509-9EFBCE1753BE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0" name="TextBox 7">
          <a:extLst>
            <a:ext uri="{FF2B5EF4-FFF2-40B4-BE49-F238E27FC236}">
              <a16:creationId xmlns:a16="http://schemas.microsoft.com/office/drawing/2014/main" id="{EA6BBBF5-5811-4C91-B35D-7C755E9B1F4E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1" name="TextBox 8">
          <a:extLst>
            <a:ext uri="{FF2B5EF4-FFF2-40B4-BE49-F238E27FC236}">
              <a16:creationId xmlns:a16="http://schemas.microsoft.com/office/drawing/2014/main" id="{CE02A478-3CAA-4F5F-9EFE-BCE25DDDBBE7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2" name="TextBox 2">
          <a:extLst>
            <a:ext uri="{FF2B5EF4-FFF2-40B4-BE49-F238E27FC236}">
              <a16:creationId xmlns:a16="http://schemas.microsoft.com/office/drawing/2014/main" id="{7F97F5F3-98D3-4B39-ABF3-569DCC86D0D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3" name="TextBox 4">
          <a:extLst>
            <a:ext uri="{FF2B5EF4-FFF2-40B4-BE49-F238E27FC236}">
              <a16:creationId xmlns:a16="http://schemas.microsoft.com/office/drawing/2014/main" id="{5B63E84E-14E7-4E31-BBA8-748C04698C4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4" name="TextBox 5">
          <a:extLst>
            <a:ext uri="{FF2B5EF4-FFF2-40B4-BE49-F238E27FC236}">
              <a16:creationId xmlns:a16="http://schemas.microsoft.com/office/drawing/2014/main" id="{0A729B77-D24F-4684-A071-7D9FE4D7F3DB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5" name="TextBox 6">
          <a:extLst>
            <a:ext uri="{FF2B5EF4-FFF2-40B4-BE49-F238E27FC236}">
              <a16:creationId xmlns:a16="http://schemas.microsoft.com/office/drawing/2014/main" id="{C8AD1194-0CD0-4CC5-8D74-96B3010A4F9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6" name="TextBox 7">
          <a:extLst>
            <a:ext uri="{FF2B5EF4-FFF2-40B4-BE49-F238E27FC236}">
              <a16:creationId xmlns:a16="http://schemas.microsoft.com/office/drawing/2014/main" id="{2B6B5033-25F4-411B-9959-9CACAB3BBFD0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7" name="TextBox 8">
          <a:extLst>
            <a:ext uri="{FF2B5EF4-FFF2-40B4-BE49-F238E27FC236}">
              <a16:creationId xmlns:a16="http://schemas.microsoft.com/office/drawing/2014/main" id="{AF34C270-3348-4EAE-8AC6-F9F38698ED57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8" name="TextBox 2">
          <a:extLst>
            <a:ext uri="{FF2B5EF4-FFF2-40B4-BE49-F238E27FC236}">
              <a16:creationId xmlns:a16="http://schemas.microsoft.com/office/drawing/2014/main" id="{6000DD2D-00F0-46C3-8AD5-35CDD913428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39" name="TextBox 4">
          <a:extLst>
            <a:ext uri="{FF2B5EF4-FFF2-40B4-BE49-F238E27FC236}">
              <a16:creationId xmlns:a16="http://schemas.microsoft.com/office/drawing/2014/main" id="{8F920A66-D69F-4578-A969-1AD8F6036DC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0" name="TextBox 5">
          <a:extLst>
            <a:ext uri="{FF2B5EF4-FFF2-40B4-BE49-F238E27FC236}">
              <a16:creationId xmlns:a16="http://schemas.microsoft.com/office/drawing/2014/main" id="{F7620EC9-6D26-4CAC-BE74-BEF6A5C8897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1" name="TextBox 6">
          <a:extLst>
            <a:ext uri="{FF2B5EF4-FFF2-40B4-BE49-F238E27FC236}">
              <a16:creationId xmlns:a16="http://schemas.microsoft.com/office/drawing/2014/main" id="{B8DC7159-D099-4D70-9785-C8B557A1890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2" name="TextBox 7">
          <a:extLst>
            <a:ext uri="{FF2B5EF4-FFF2-40B4-BE49-F238E27FC236}">
              <a16:creationId xmlns:a16="http://schemas.microsoft.com/office/drawing/2014/main" id="{79F6839B-25DC-4F70-AC9D-3517E0DE85A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3" name="TextBox 8">
          <a:extLst>
            <a:ext uri="{FF2B5EF4-FFF2-40B4-BE49-F238E27FC236}">
              <a16:creationId xmlns:a16="http://schemas.microsoft.com/office/drawing/2014/main" id="{B1D16D4D-378D-4B9E-82CC-BD104B27F0D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4" name="TextBox 2">
          <a:extLst>
            <a:ext uri="{FF2B5EF4-FFF2-40B4-BE49-F238E27FC236}">
              <a16:creationId xmlns:a16="http://schemas.microsoft.com/office/drawing/2014/main" id="{3CD0CFD4-C723-470B-8B18-6660EA61405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5" name="TextBox 4">
          <a:extLst>
            <a:ext uri="{FF2B5EF4-FFF2-40B4-BE49-F238E27FC236}">
              <a16:creationId xmlns:a16="http://schemas.microsoft.com/office/drawing/2014/main" id="{8F1D3CEF-15D7-4BE0-900A-7A5359702B1F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6" name="TextBox 5">
          <a:extLst>
            <a:ext uri="{FF2B5EF4-FFF2-40B4-BE49-F238E27FC236}">
              <a16:creationId xmlns:a16="http://schemas.microsoft.com/office/drawing/2014/main" id="{1592A50B-14BC-46D1-A398-B0FC5A0E98B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7" name="TextBox 6">
          <a:extLst>
            <a:ext uri="{FF2B5EF4-FFF2-40B4-BE49-F238E27FC236}">
              <a16:creationId xmlns:a16="http://schemas.microsoft.com/office/drawing/2014/main" id="{77D52037-CF75-4D38-9B88-0F3F50E2D041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8" name="TextBox 7">
          <a:extLst>
            <a:ext uri="{FF2B5EF4-FFF2-40B4-BE49-F238E27FC236}">
              <a16:creationId xmlns:a16="http://schemas.microsoft.com/office/drawing/2014/main" id="{FA122F89-57EF-49D2-8E80-365FA0BBD93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49" name="TextBox 8">
          <a:extLst>
            <a:ext uri="{FF2B5EF4-FFF2-40B4-BE49-F238E27FC236}">
              <a16:creationId xmlns:a16="http://schemas.microsoft.com/office/drawing/2014/main" id="{E54B2FB6-5785-4399-A9A8-C154428B83C6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0" name="TextBox 2">
          <a:extLst>
            <a:ext uri="{FF2B5EF4-FFF2-40B4-BE49-F238E27FC236}">
              <a16:creationId xmlns:a16="http://schemas.microsoft.com/office/drawing/2014/main" id="{64129F76-7FEE-4796-B2D9-81FB6C1595B1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1" name="TextBox 4">
          <a:extLst>
            <a:ext uri="{FF2B5EF4-FFF2-40B4-BE49-F238E27FC236}">
              <a16:creationId xmlns:a16="http://schemas.microsoft.com/office/drawing/2014/main" id="{94D05E2A-BF76-4629-9BC3-77FFECD48774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2" name="TextBox 5">
          <a:extLst>
            <a:ext uri="{FF2B5EF4-FFF2-40B4-BE49-F238E27FC236}">
              <a16:creationId xmlns:a16="http://schemas.microsoft.com/office/drawing/2014/main" id="{93166CF0-5047-4F2B-BC6C-70339ACBD6A3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3" name="TextBox 6">
          <a:extLst>
            <a:ext uri="{FF2B5EF4-FFF2-40B4-BE49-F238E27FC236}">
              <a16:creationId xmlns:a16="http://schemas.microsoft.com/office/drawing/2014/main" id="{8BEF7A98-A483-4E1D-B3C7-D08FECFB37B7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4" name="TextBox 7">
          <a:extLst>
            <a:ext uri="{FF2B5EF4-FFF2-40B4-BE49-F238E27FC236}">
              <a16:creationId xmlns:a16="http://schemas.microsoft.com/office/drawing/2014/main" id="{25085AAA-3289-4446-BE4C-0BDE94D23260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5" name="TextBox 8">
          <a:extLst>
            <a:ext uri="{FF2B5EF4-FFF2-40B4-BE49-F238E27FC236}">
              <a16:creationId xmlns:a16="http://schemas.microsoft.com/office/drawing/2014/main" id="{99C45147-9161-4C0B-A0AE-9649F25E1484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6" name="TextBox 2">
          <a:extLst>
            <a:ext uri="{FF2B5EF4-FFF2-40B4-BE49-F238E27FC236}">
              <a16:creationId xmlns:a16="http://schemas.microsoft.com/office/drawing/2014/main" id="{240F44CA-1C6B-4E2B-BE41-4CF4ECF7C1D4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7" name="TextBox 4">
          <a:extLst>
            <a:ext uri="{FF2B5EF4-FFF2-40B4-BE49-F238E27FC236}">
              <a16:creationId xmlns:a16="http://schemas.microsoft.com/office/drawing/2014/main" id="{248881AB-18EF-4A99-A272-1DC6A18AE412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8" name="TextBox 5">
          <a:extLst>
            <a:ext uri="{FF2B5EF4-FFF2-40B4-BE49-F238E27FC236}">
              <a16:creationId xmlns:a16="http://schemas.microsoft.com/office/drawing/2014/main" id="{B7DB22F9-B7EF-4B86-A379-85E24C1B6BBD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59" name="TextBox 6">
          <a:extLst>
            <a:ext uri="{FF2B5EF4-FFF2-40B4-BE49-F238E27FC236}">
              <a16:creationId xmlns:a16="http://schemas.microsoft.com/office/drawing/2014/main" id="{51691536-234A-4420-8F7C-9EE34795370F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0" name="TextBox 7">
          <a:extLst>
            <a:ext uri="{FF2B5EF4-FFF2-40B4-BE49-F238E27FC236}">
              <a16:creationId xmlns:a16="http://schemas.microsoft.com/office/drawing/2014/main" id="{B67BFC52-D3DE-4A69-8F22-BA618F8ADA5F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1" name="TextBox 8">
          <a:extLst>
            <a:ext uri="{FF2B5EF4-FFF2-40B4-BE49-F238E27FC236}">
              <a16:creationId xmlns:a16="http://schemas.microsoft.com/office/drawing/2014/main" id="{C5859338-F2A9-49D8-AEF4-BC6DB0329B26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2" name="TextBox 2">
          <a:extLst>
            <a:ext uri="{FF2B5EF4-FFF2-40B4-BE49-F238E27FC236}">
              <a16:creationId xmlns:a16="http://schemas.microsoft.com/office/drawing/2014/main" id="{F6DAC4FD-49A8-40A1-B853-4BAC2A30660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3" name="TextBox 4">
          <a:extLst>
            <a:ext uri="{FF2B5EF4-FFF2-40B4-BE49-F238E27FC236}">
              <a16:creationId xmlns:a16="http://schemas.microsoft.com/office/drawing/2014/main" id="{34A3E92F-4BD6-44B5-8DF9-1835E4E5500C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4" name="TextBox 5">
          <a:extLst>
            <a:ext uri="{FF2B5EF4-FFF2-40B4-BE49-F238E27FC236}">
              <a16:creationId xmlns:a16="http://schemas.microsoft.com/office/drawing/2014/main" id="{9ED66574-DDF0-46CB-BCE3-A3D25A633F2C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5" name="TextBox 6">
          <a:extLst>
            <a:ext uri="{FF2B5EF4-FFF2-40B4-BE49-F238E27FC236}">
              <a16:creationId xmlns:a16="http://schemas.microsoft.com/office/drawing/2014/main" id="{AA1D414F-DFD0-49D5-8368-264167A1A1E7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6" name="TextBox 7">
          <a:extLst>
            <a:ext uri="{FF2B5EF4-FFF2-40B4-BE49-F238E27FC236}">
              <a16:creationId xmlns:a16="http://schemas.microsoft.com/office/drawing/2014/main" id="{84A6DA0B-F51F-46C5-AD48-8417EE18EFC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7" name="TextBox 8">
          <a:extLst>
            <a:ext uri="{FF2B5EF4-FFF2-40B4-BE49-F238E27FC236}">
              <a16:creationId xmlns:a16="http://schemas.microsoft.com/office/drawing/2014/main" id="{BDE82980-48CC-4DD3-847B-B3DF4D7CEA9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8" name="TextBox 2">
          <a:extLst>
            <a:ext uri="{FF2B5EF4-FFF2-40B4-BE49-F238E27FC236}">
              <a16:creationId xmlns:a16="http://schemas.microsoft.com/office/drawing/2014/main" id="{BA54F414-E294-44B8-85DA-4A94B061C543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69" name="TextBox 4">
          <a:extLst>
            <a:ext uri="{FF2B5EF4-FFF2-40B4-BE49-F238E27FC236}">
              <a16:creationId xmlns:a16="http://schemas.microsoft.com/office/drawing/2014/main" id="{C89AD685-AFDD-465C-B37B-44F44FC49EF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0" name="TextBox 5">
          <a:extLst>
            <a:ext uri="{FF2B5EF4-FFF2-40B4-BE49-F238E27FC236}">
              <a16:creationId xmlns:a16="http://schemas.microsoft.com/office/drawing/2014/main" id="{CE2787A8-8870-4550-9DE6-EC5344ED0340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1" name="TextBox 6">
          <a:extLst>
            <a:ext uri="{FF2B5EF4-FFF2-40B4-BE49-F238E27FC236}">
              <a16:creationId xmlns:a16="http://schemas.microsoft.com/office/drawing/2014/main" id="{5765FCCF-0F54-4B54-B501-CAF4B36557B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2" name="TextBox 7">
          <a:extLst>
            <a:ext uri="{FF2B5EF4-FFF2-40B4-BE49-F238E27FC236}">
              <a16:creationId xmlns:a16="http://schemas.microsoft.com/office/drawing/2014/main" id="{E3ED7D51-BAA1-419A-AC08-503B682A354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3" name="TextBox 8">
          <a:extLst>
            <a:ext uri="{FF2B5EF4-FFF2-40B4-BE49-F238E27FC236}">
              <a16:creationId xmlns:a16="http://schemas.microsoft.com/office/drawing/2014/main" id="{8F82BE1C-1A3C-454F-AD9C-04396566C7C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4" name="TextBox 2">
          <a:extLst>
            <a:ext uri="{FF2B5EF4-FFF2-40B4-BE49-F238E27FC236}">
              <a16:creationId xmlns:a16="http://schemas.microsoft.com/office/drawing/2014/main" id="{22AFEB11-3112-485A-915A-640A95654689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5" name="TextBox 4">
          <a:extLst>
            <a:ext uri="{FF2B5EF4-FFF2-40B4-BE49-F238E27FC236}">
              <a16:creationId xmlns:a16="http://schemas.microsoft.com/office/drawing/2014/main" id="{E3841D29-73BA-4F18-A5FE-0847E12C0FC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6" name="TextBox 5">
          <a:extLst>
            <a:ext uri="{FF2B5EF4-FFF2-40B4-BE49-F238E27FC236}">
              <a16:creationId xmlns:a16="http://schemas.microsoft.com/office/drawing/2014/main" id="{DDBDC3DE-CB84-4E06-A208-D41F889DC1B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7" name="TextBox 6">
          <a:extLst>
            <a:ext uri="{FF2B5EF4-FFF2-40B4-BE49-F238E27FC236}">
              <a16:creationId xmlns:a16="http://schemas.microsoft.com/office/drawing/2014/main" id="{4882193E-B960-4BCC-92AA-E0F76DFC8AB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8" name="TextBox 7">
          <a:extLst>
            <a:ext uri="{FF2B5EF4-FFF2-40B4-BE49-F238E27FC236}">
              <a16:creationId xmlns:a16="http://schemas.microsoft.com/office/drawing/2014/main" id="{F216F664-6A12-42FC-A706-9A83AB255DE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79" name="TextBox 8">
          <a:extLst>
            <a:ext uri="{FF2B5EF4-FFF2-40B4-BE49-F238E27FC236}">
              <a16:creationId xmlns:a16="http://schemas.microsoft.com/office/drawing/2014/main" id="{68F816B6-F34F-4CB0-B40B-8FD863AED13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0" name="TextBox 2">
          <a:extLst>
            <a:ext uri="{FF2B5EF4-FFF2-40B4-BE49-F238E27FC236}">
              <a16:creationId xmlns:a16="http://schemas.microsoft.com/office/drawing/2014/main" id="{FD500CB8-D288-46AE-B9FD-C5B5A7A9417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1" name="TextBox 4">
          <a:extLst>
            <a:ext uri="{FF2B5EF4-FFF2-40B4-BE49-F238E27FC236}">
              <a16:creationId xmlns:a16="http://schemas.microsoft.com/office/drawing/2014/main" id="{F32B1A6F-B4D7-4388-927C-09CA6E8193A0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2" name="TextBox 5">
          <a:extLst>
            <a:ext uri="{FF2B5EF4-FFF2-40B4-BE49-F238E27FC236}">
              <a16:creationId xmlns:a16="http://schemas.microsoft.com/office/drawing/2014/main" id="{C8D9B0A8-6B73-4609-BC40-BC00FF6BAB73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3" name="TextBox 6">
          <a:extLst>
            <a:ext uri="{FF2B5EF4-FFF2-40B4-BE49-F238E27FC236}">
              <a16:creationId xmlns:a16="http://schemas.microsoft.com/office/drawing/2014/main" id="{257A2CAB-6245-40B4-87BA-E9119526872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4" name="TextBox 7">
          <a:extLst>
            <a:ext uri="{FF2B5EF4-FFF2-40B4-BE49-F238E27FC236}">
              <a16:creationId xmlns:a16="http://schemas.microsoft.com/office/drawing/2014/main" id="{0215A8B0-481E-4F6C-9462-3AE233272037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5" name="TextBox 8">
          <a:extLst>
            <a:ext uri="{FF2B5EF4-FFF2-40B4-BE49-F238E27FC236}">
              <a16:creationId xmlns:a16="http://schemas.microsoft.com/office/drawing/2014/main" id="{24E38ADE-226C-4BC9-8C6A-B4F23E1A87E0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6" name="TextBox 2">
          <a:extLst>
            <a:ext uri="{FF2B5EF4-FFF2-40B4-BE49-F238E27FC236}">
              <a16:creationId xmlns:a16="http://schemas.microsoft.com/office/drawing/2014/main" id="{3A9AFB14-9660-413A-9EAB-15EE5C330B7D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7" name="TextBox 4">
          <a:extLst>
            <a:ext uri="{FF2B5EF4-FFF2-40B4-BE49-F238E27FC236}">
              <a16:creationId xmlns:a16="http://schemas.microsoft.com/office/drawing/2014/main" id="{2F61AE21-7BB4-44D6-B12B-4070EE1C4AE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8" name="TextBox 5">
          <a:extLst>
            <a:ext uri="{FF2B5EF4-FFF2-40B4-BE49-F238E27FC236}">
              <a16:creationId xmlns:a16="http://schemas.microsoft.com/office/drawing/2014/main" id="{800539EF-2C58-435F-81BA-6AC49BC0CB51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89" name="TextBox 6">
          <a:extLst>
            <a:ext uri="{FF2B5EF4-FFF2-40B4-BE49-F238E27FC236}">
              <a16:creationId xmlns:a16="http://schemas.microsoft.com/office/drawing/2014/main" id="{857A08BD-8575-4C14-9DFF-51FE4DF5A93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0" name="TextBox 7">
          <a:extLst>
            <a:ext uri="{FF2B5EF4-FFF2-40B4-BE49-F238E27FC236}">
              <a16:creationId xmlns:a16="http://schemas.microsoft.com/office/drawing/2014/main" id="{A7D9DDFE-4CF1-473E-9232-77831600A851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1" name="TextBox 8">
          <a:extLst>
            <a:ext uri="{FF2B5EF4-FFF2-40B4-BE49-F238E27FC236}">
              <a16:creationId xmlns:a16="http://schemas.microsoft.com/office/drawing/2014/main" id="{DD1729FC-2D49-4FCD-8F66-CDDE2C02B059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2" name="TextBox 2">
          <a:extLst>
            <a:ext uri="{FF2B5EF4-FFF2-40B4-BE49-F238E27FC236}">
              <a16:creationId xmlns:a16="http://schemas.microsoft.com/office/drawing/2014/main" id="{679B18DA-D02D-4147-8D34-857AA326F1E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3" name="TextBox 4">
          <a:extLst>
            <a:ext uri="{FF2B5EF4-FFF2-40B4-BE49-F238E27FC236}">
              <a16:creationId xmlns:a16="http://schemas.microsoft.com/office/drawing/2014/main" id="{FB017529-3859-4F76-881E-727E6774B8D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4" name="TextBox 5">
          <a:extLst>
            <a:ext uri="{FF2B5EF4-FFF2-40B4-BE49-F238E27FC236}">
              <a16:creationId xmlns:a16="http://schemas.microsoft.com/office/drawing/2014/main" id="{5B2DDF96-D0DA-49B9-A6BD-629CAB993DD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5" name="TextBox 6">
          <a:extLst>
            <a:ext uri="{FF2B5EF4-FFF2-40B4-BE49-F238E27FC236}">
              <a16:creationId xmlns:a16="http://schemas.microsoft.com/office/drawing/2014/main" id="{EAAB3B52-FAE6-421E-A07A-872809A7B4A0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6" name="TextBox 7">
          <a:extLst>
            <a:ext uri="{FF2B5EF4-FFF2-40B4-BE49-F238E27FC236}">
              <a16:creationId xmlns:a16="http://schemas.microsoft.com/office/drawing/2014/main" id="{8B0D07D3-2E8A-476C-B2E1-175E0C9C28E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7" name="TextBox 8">
          <a:extLst>
            <a:ext uri="{FF2B5EF4-FFF2-40B4-BE49-F238E27FC236}">
              <a16:creationId xmlns:a16="http://schemas.microsoft.com/office/drawing/2014/main" id="{C5EAFC45-2A75-4652-ACDA-12D8E9F93B33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8" name="TextBox 2">
          <a:extLst>
            <a:ext uri="{FF2B5EF4-FFF2-40B4-BE49-F238E27FC236}">
              <a16:creationId xmlns:a16="http://schemas.microsoft.com/office/drawing/2014/main" id="{70561C7F-1C2E-4830-8CB6-2A169A69C64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399" name="TextBox 4">
          <a:extLst>
            <a:ext uri="{FF2B5EF4-FFF2-40B4-BE49-F238E27FC236}">
              <a16:creationId xmlns:a16="http://schemas.microsoft.com/office/drawing/2014/main" id="{567300C6-634F-4C6F-8480-66C32B965FD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0" name="TextBox 5">
          <a:extLst>
            <a:ext uri="{FF2B5EF4-FFF2-40B4-BE49-F238E27FC236}">
              <a16:creationId xmlns:a16="http://schemas.microsoft.com/office/drawing/2014/main" id="{37803924-C826-4305-89F2-B0DF42085966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1" name="TextBox 6">
          <a:extLst>
            <a:ext uri="{FF2B5EF4-FFF2-40B4-BE49-F238E27FC236}">
              <a16:creationId xmlns:a16="http://schemas.microsoft.com/office/drawing/2014/main" id="{B23824D0-BD68-4D43-A4BC-9E5B1CB12858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2" name="TextBox 7">
          <a:extLst>
            <a:ext uri="{FF2B5EF4-FFF2-40B4-BE49-F238E27FC236}">
              <a16:creationId xmlns:a16="http://schemas.microsoft.com/office/drawing/2014/main" id="{43F3FEB8-F244-44B1-AEBD-1395C86EA13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3" name="TextBox 8">
          <a:extLst>
            <a:ext uri="{FF2B5EF4-FFF2-40B4-BE49-F238E27FC236}">
              <a16:creationId xmlns:a16="http://schemas.microsoft.com/office/drawing/2014/main" id="{AA286A7C-7B57-4F99-88CF-74966F901A0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4" name="TextBox 2">
          <a:extLst>
            <a:ext uri="{FF2B5EF4-FFF2-40B4-BE49-F238E27FC236}">
              <a16:creationId xmlns:a16="http://schemas.microsoft.com/office/drawing/2014/main" id="{A73F2BF6-04A5-45CE-A856-2016260E43CC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5" name="TextBox 4">
          <a:extLst>
            <a:ext uri="{FF2B5EF4-FFF2-40B4-BE49-F238E27FC236}">
              <a16:creationId xmlns:a16="http://schemas.microsoft.com/office/drawing/2014/main" id="{3B750BA9-8A8B-48BF-AAD9-55C599476DC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6" name="TextBox 5">
          <a:extLst>
            <a:ext uri="{FF2B5EF4-FFF2-40B4-BE49-F238E27FC236}">
              <a16:creationId xmlns:a16="http://schemas.microsoft.com/office/drawing/2014/main" id="{942ECB55-81F1-42B6-B37A-27442FF8FBE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7" name="TextBox 6">
          <a:extLst>
            <a:ext uri="{FF2B5EF4-FFF2-40B4-BE49-F238E27FC236}">
              <a16:creationId xmlns:a16="http://schemas.microsoft.com/office/drawing/2014/main" id="{10B24261-002D-4423-9172-785393347063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8" name="TextBox 7">
          <a:extLst>
            <a:ext uri="{FF2B5EF4-FFF2-40B4-BE49-F238E27FC236}">
              <a16:creationId xmlns:a16="http://schemas.microsoft.com/office/drawing/2014/main" id="{AD711884-B85D-4EB1-AFDA-6EEC264A8A84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09" name="TextBox 8">
          <a:extLst>
            <a:ext uri="{FF2B5EF4-FFF2-40B4-BE49-F238E27FC236}">
              <a16:creationId xmlns:a16="http://schemas.microsoft.com/office/drawing/2014/main" id="{8B9BAFD2-83E1-4DDD-96AE-451938567643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0" name="TextBox 2">
          <a:extLst>
            <a:ext uri="{FF2B5EF4-FFF2-40B4-BE49-F238E27FC236}">
              <a16:creationId xmlns:a16="http://schemas.microsoft.com/office/drawing/2014/main" id="{F34142FE-DA27-47A0-B3FB-F65981566835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1" name="TextBox 4">
          <a:extLst>
            <a:ext uri="{FF2B5EF4-FFF2-40B4-BE49-F238E27FC236}">
              <a16:creationId xmlns:a16="http://schemas.microsoft.com/office/drawing/2014/main" id="{18B0AEA0-EB32-4E49-B844-0251B722BAC8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2" name="TextBox 5">
          <a:extLst>
            <a:ext uri="{FF2B5EF4-FFF2-40B4-BE49-F238E27FC236}">
              <a16:creationId xmlns:a16="http://schemas.microsoft.com/office/drawing/2014/main" id="{B9E303C4-D197-4E1B-AEC3-59DE167989C7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3" name="TextBox 6">
          <a:extLst>
            <a:ext uri="{FF2B5EF4-FFF2-40B4-BE49-F238E27FC236}">
              <a16:creationId xmlns:a16="http://schemas.microsoft.com/office/drawing/2014/main" id="{DF22998C-CE94-4B6D-A7CA-913D111A9F10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4" name="TextBox 7">
          <a:extLst>
            <a:ext uri="{FF2B5EF4-FFF2-40B4-BE49-F238E27FC236}">
              <a16:creationId xmlns:a16="http://schemas.microsoft.com/office/drawing/2014/main" id="{F035B9D1-F575-4911-84F7-C6B5BAA6F323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5" name="TextBox 8">
          <a:extLst>
            <a:ext uri="{FF2B5EF4-FFF2-40B4-BE49-F238E27FC236}">
              <a16:creationId xmlns:a16="http://schemas.microsoft.com/office/drawing/2014/main" id="{962D63A1-7154-437E-8AE4-C0593752BA4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6" name="TextBox 2">
          <a:extLst>
            <a:ext uri="{FF2B5EF4-FFF2-40B4-BE49-F238E27FC236}">
              <a16:creationId xmlns:a16="http://schemas.microsoft.com/office/drawing/2014/main" id="{66C2D840-2C87-4DFA-AA8E-1C78C34EC6EB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7" name="TextBox 4">
          <a:extLst>
            <a:ext uri="{FF2B5EF4-FFF2-40B4-BE49-F238E27FC236}">
              <a16:creationId xmlns:a16="http://schemas.microsoft.com/office/drawing/2014/main" id="{1A1A95A4-7890-48E9-B9FA-3AAC260EED7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8" name="TextBox 5">
          <a:extLst>
            <a:ext uri="{FF2B5EF4-FFF2-40B4-BE49-F238E27FC236}">
              <a16:creationId xmlns:a16="http://schemas.microsoft.com/office/drawing/2014/main" id="{548FB677-FBEC-4CBB-8B84-9DD69E0B0C6A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19" name="TextBox 6">
          <a:extLst>
            <a:ext uri="{FF2B5EF4-FFF2-40B4-BE49-F238E27FC236}">
              <a16:creationId xmlns:a16="http://schemas.microsoft.com/office/drawing/2014/main" id="{7289C775-5760-491A-9F34-62536AD16722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0" name="TextBox 7">
          <a:extLst>
            <a:ext uri="{FF2B5EF4-FFF2-40B4-BE49-F238E27FC236}">
              <a16:creationId xmlns:a16="http://schemas.microsoft.com/office/drawing/2014/main" id="{A0EAE3F6-B821-4128-8E3D-CDE74AD6844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1" name="TextBox 8">
          <a:extLst>
            <a:ext uri="{FF2B5EF4-FFF2-40B4-BE49-F238E27FC236}">
              <a16:creationId xmlns:a16="http://schemas.microsoft.com/office/drawing/2014/main" id="{FA1F9308-3E0F-4956-9FF8-4D7D26688774}"/>
            </a:ext>
          </a:extLst>
        </xdr:cNvPr>
        <xdr:cNvSpPr txBox="1"/>
      </xdr:nvSpPr>
      <xdr:spPr>
        <a:xfrm flipH="1">
          <a:off x="1909762" y="3457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2" name="TextBox 2">
          <a:extLst>
            <a:ext uri="{FF2B5EF4-FFF2-40B4-BE49-F238E27FC236}">
              <a16:creationId xmlns:a16="http://schemas.microsoft.com/office/drawing/2014/main" id="{CDE4285F-DEEC-4496-8020-0C6DD7B3F598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3" name="TextBox 4">
          <a:extLst>
            <a:ext uri="{FF2B5EF4-FFF2-40B4-BE49-F238E27FC236}">
              <a16:creationId xmlns:a16="http://schemas.microsoft.com/office/drawing/2014/main" id="{5A752C03-A9B5-442C-AE8F-C69F5759B8F4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4" name="TextBox 5">
          <a:extLst>
            <a:ext uri="{FF2B5EF4-FFF2-40B4-BE49-F238E27FC236}">
              <a16:creationId xmlns:a16="http://schemas.microsoft.com/office/drawing/2014/main" id="{14DA8CCA-7B9C-4376-9433-7B8A2944419A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5" name="TextBox 6">
          <a:extLst>
            <a:ext uri="{FF2B5EF4-FFF2-40B4-BE49-F238E27FC236}">
              <a16:creationId xmlns:a16="http://schemas.microsoft.com/office/drawing/2014/main" id="{DA722DDE-432A-49B5-9D94-9229C79D3590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6" name="TextBox 7">
          <a:extLst>
            <a:ext uri="{FF2B5EF4-FFF2-40B4-BE49-F238E27FC236}">
              <a16:creationId xmlns:a16="http://schemas.microsoft.com/office/drawing/2014/main" id="{DF09A28A-FCFC-4DCB-98AD-B7C685D6A47C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7" name="TextBox 8">
          <a:extLst>
            <a:ext uri="{FF2B5EF4-FFF2-40B4-BE49-F238E27FC236}">
              <a16:creationId xmlns:a16="http://schemas.microsoft.com/office/drawing/2014/main" id="{D1FE64EF-2CD7-49DA-8258-E01697077A0F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8" name="TextBox 2">
          <a:extLst>
            <a:ext uri="{FF2B5EF4-FFF2-40B4-BE49-F238E27FC236}">
              <a16:creationId xmlns:a16="http://schemas.microsoft.com/office/drawing/2014/main" id="{C2EA6733-71CA-4164-986C-9C5F72B2D962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29" name="TextBox 4">
          <a:extLst>
            <a:ext uri="{FF2B5EF4-FFF2-40B4-BE49-F238E27FC236}">
              <a16:creationId xmlns:a16="http://schemas.microsoft.com/office/drawing/2014/main" id="{A3A816E5-5C21-49C3-AA8B-02C059E30C5A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0" name="TextBox 5">
          <a:extLst>
            <a:ext uri="{FF2B5EF4-FFF2-40B4-BE49-F238E27FC236}">
              <a16:creationId xmlns:a16="http://schemas.microsoft.com/office/drawing/2014/main" id="{B579BC28-2E43-464A-9635-E95383E052B3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1" name="TextBox 6">
          <a:extLst>
            <a:ext uri="{FF2B5EF4-FFF2-40B4-BE49-F238E27FC236}">
              <a16:creationId xmlns:a16="http://schemas.microsoft.com/office/drawing/2014/main" id="{1E2C4395-35E0-4B86-99A6-645A3E6D3869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2" name="TextBox 7">
          <a:extLst>
            <a:ext uri="{FF2B5EF4-FFF2-40B4-BE49-F238E27FC236}">
              <a16:creationId xmlns:a16="http://schemas.microsoft.com/office/drawing/2014/main" id="{A831CE95-81A4-462B-8DB4-4564579E5405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3" name="TextBox 8">
          <a:extLst>
            <a:ext uri="{FF2B5EF4-FFF2-40B4-BE49-F238E27FC236}">
              <a16:creationId xmlns:a16="http://schemas.microsoft.com/office/drawing/2014/main" id="{D818E8B5-4FB4-4868-A1E6-CDBACE13EDA6}"/>
            </a:ext>
          </a:extLst>
        </xdr:cNvPr>
        <xdr:cNvSpPr txBox="1"/>
      </xdr:nvSpPr>
      <xdr:spPr>
        <a:xfrm flipH="1">
          <a:off x="1909762" y="10487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4" name="TextBox 2">
          <a:extLst>
            <a:ext uri="{FF2B5EF4-FFF2-40B4-BE49-F238E27FC236}">
              <a16:creationId xmlns:a16="http://schemas.microsoft.com/office/drawing/2014/main" id="{7F593D4D-8E49-4BEF-A3EE-EEACA43296C7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5" name="TextBox 4">
          <a:extLst>
            <a:ext uri="{FF2B5EF4-FFF2-40B4-BE49-F238E27FC236}">
              <a16:creationId xmlns:a16="http://schemas.microsoft.com/office/drawing/2014/main" id="{2BB97CE2-7A8D-4050-89EC-4FA69A81D8C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6" name="TextBox 5">
          <a:extLst>
            <a:ext uri="{FF2B5EF4-FFF2-40B4-BE49-F238E27FC236}">
              <a16:creationId xmlns:a16="http://schemas.microsoft.com/office/drawing/2014/main" id="{A635CBA5-8222-432E-9030-737A0E9B5CC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7" name="TextBox 6">
          <a:extLst>
            <a:ext uri="{FF2B5EF4-FFF2-40B4-BE49-F238E27FC236}">
              <a16:creationId xmlns:a16="http://schemas.microsoft.com/office/drawing/2014/main" id="{905FB995-4FA2-4FEA-BE26-255DAE27C86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8" name="TextBox 7">
          <a:extLst>
            <a:ext uri="{FF2B5EF4-FFF2-40B4-BE49-F238E27FC236}">
              <a16:creationId xmlns:a16="http://schemas.microsoft.com/office/drawing/2014/main" id="{41F73B5A-C35B-46FB-9590-8B9E320C8214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39" name="TextBox 8">
          <a:extLst>
            <a:ext uri="{FF2B5EF4-FFF2-40B4-BE49-F238E27FC236}">
              <a16:creationId xmlns:a16="http://schemas.microsoft.com/office/drawing/2014/main" id="{12E7D284-E988-4E21-9C2A-FAC21D51FEB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0" name="TextBox 2">
          <a:extLst>
            <a:ext uri="{FF2B5EF4-FFF2-40B4-BE49-F238E27FC236}">
              <a16:creationId xmlns:a16="http://schemas.microsoft.com/office/drawing/2014/main" id="{5957D4CA-B361-4947-9DC3-DF2CBA5123C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1" name="TextBox 4">
          <a:extLst>
            <a:ext uri="{FF2B5EF4-FFF2-40B4-BE49-F238E27FC236}">
              <a16:creationId xmlns:a16="http://schemas.microsoft.com/office/drawing/2014/main" id="{F3F987B9-07AB-4FD1-8C62-9F6C87A8E4D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2" name="TextBox 5">
          <a:extLst>
            <a:ext uri="{FF2B5EF4-FFF2-40B4-BE49-F238E27FC236}">
              <a16:creationId xmlns:a16="http://schemas.microsoft.com/office/drawing/2014/main" id="{82550EDA-E9CB-48BA-900D-4E633D00DE18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3" name="TextBox 6">
          <a:extLst>
            <a:ext uri="{FF2B5EF4-FFF2-40B4-BE49-F238E27FC236}">
              <a16:creationId xmlns:a16="http://schemas.microsoft.com/office/drawing/2014/main" id="{B65918F3-9E7F-4963-A507-671F7DAB0DEC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4" name="TextBox 7">
          <a:extLst>
            <a:ext uri="{FF2B5EF4-FFF2-40B4-BE49-F238E27FC236}">
              <a16:creationId xmlns:a16="http://schemas.microsoft.com/office/drawing/2014/main" id="{65F70838-5A68-4342-8B6C-08FC44A81161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5" name="TextBox 8">
          <a:extLst>
            <a:ext uri="{FF2B5EF4-FFF2-40B4-BE49-F238E27FC236}">
              <a16:creationId xmlns:a16="http://schemas.microsoft.com/office/drawing/2014/main" id="{5E023822-68C8-4354-B5D6-98C960D1A9DD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6" name="TextBox 2">
          <a:extLst>
            <a:ext uri="{FF2B5EF4-FFF2-40B4-BE49-F238E27FC236}">
              <a16:creationId xmlns:a16="http://schemas.microsoft.com/office/drawing/2014/main" id="{35788D05-7F8C-40E1-9710-14DB5954DBF8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7" name="TextBox 4">
          <a:extLst>
            <a:ext uri="{FF2B5EF4-FFF2-40B4-BE49-F238E27FC236}">
              <a16:creationId xmlns:a16="http://schemas.microsoft.com/office/drawing/2014/main" id="{F055BBB2-F726-4A12-94B6-B65436E7AB77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8" name="TextBox 5">
          <a:extLst>
            <a:ext uri="{FF2B5EF4-FFF2-40B4-BE49-F238E27FC236}">
              <a16:creationId xmlns:a16="http://schemas.microsoft.com/office/drawing/2014/main" id="{EF09B3F4-7A76-4A57-8F42-FB8C475F8AF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49" name="TextBox 6">
          <a:extLst>
            <a:ext uri="{FF2B5EF4-FFF2-40B4-BE49-F238E27FC236}">
              <a16:creationId xmlns:a16="http://schemas.microsoft.com/office/drawing/2014/main" id="{EE3B8F98-1EFF-4B77-85D0-7A32A4F6CE31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0" name="TextBox 7">
          <a:extLst>
            <a:ext uri="{FF2B5EF4-FFF2-40B4-BE49-F238E27FC236}">
              <a16:creationId xmlns:a16="http://schemas.microsoft.com/office/drawing/2014/main" id="{F8925391-7EAF-40ED-BA33-F10B5DE3E81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1" name="TextBox 8">
          <a:extLst>
            <a:ext uri="{FF2B5EF4-FFF2-40B4-BE49-F238E27FC236}">
              <a16:creationId xmlns:a16="http://schemas.microsoft.com/office/drawing/2014/main" id="{3644A353-C636-4B4D-98A7-7F9D47F28BD8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2" name="TextBox 2">
          <a:extLst>
            <a:ext uri="{FF2B5EF4-FFF2-40B4-BE49-F238E27FC236}">
              <a16:creationId xmlns:a16="http://schemas.microsoft.com/office/drawing/2014/main" id="{80B5274B-894E-480D-9FB9-892BF6E9AB4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3" name="TextBox 4">
          <a:extLst>
            <a:ext uri="{FF2B5EF4-FFF2-40B4-BE49-F238E27FC236}">
              <a16:creationId xmlns:a16="http://schemas.microsoft.com/office/drawing/2014/main" id="{3D6A21F4-C02A-4E2E-B138-9AC599F3711C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4" name="TextBox 5">
          <a:extLst>
            <a:ext uri="{FF2B5EF4-FFF2-40B4-BE49-F238E27FC236}">
              <a16:creationId xmlns:a16="http://schemas.microsoft.com/office/drawing/2014/main" id="{5DF4E76E-B922-4A26-BDF5-55B6D5F479A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5" name="TextBox 6">
          <a:extLst>
            <a:ext uri="{FF2B5EF4-FFF2-40B4-BE49-F238E27FC236}">
              <a16:creationId xmlns:a16="http://schemas.microsoft.com/office/drawing/2014/main" id="{2FD00612-CF79-4EBE-BF82-8A9FBAD23753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6" name="TextBox 7">
          <a:extLst>
            <a:ext uri="{FF2B5EF4-FFF2-40B4-BE49-F238E27FC236}">
              <a16:creationId xmlns:a16="http://schemas.microsoft.com/office/drawing/2014/main" id="{C48B71D8-4CFB-426E-B377-0BEF0BFB162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7" name="TextBox 8">
          <a:extLst>
            <a:ext uri="{FF2B5EF4-FFF2-40B4-BE49-F238E27FC236}">
              <a16:creationId xmlns:a16="http://schemas.microsoft.com/office/drawing/2014/main" id="{1F440623-D720-4AC2-ADCB-8540E3C80F6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8" name="TextBox 2">
          <a:extLst>
            <a:ext uri="{FF2B5EF4-FFF2-40B4-BE49-F238E27FC236}">
              <a16:creationId xmlns:a16="http://schemas.microsoft.com/office/drawing/2014/main" id="{A4C0CDA7-3958-4965-B903-FD0FAEDD9B8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59" name="TextBox 4">
          <a:extLst>
            <a:ext uri="{FF2B5EF4-FFF2-40B4-BE49-F238E27FC236}">
              <a16:creationId xmlns:a16="http://schemas.microsoft.com/office/drawing/2014/main" id="{07C780BB-0D54-4333-84B2-7BA9449EE9F7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0" name="TextBox 5">
          <a:extLst>
            <a:ext uri="{FF2B5EF4-FFF2-40B4-BE49-F238E27FC236}">
              <a16:creationId xmlns:a16="http://schemas.microsoft.com/office/drawing/2014/main" id="{B02007E9-71D9-4C5C-B881-D65203E52C6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1" name="TextBox 6">
          <a:extLst>
            <a:ext uri="{FF2B5EF4-FFF2-40B4-BE49-F238E27FC236}">
              <a16:creationId xmlns:a16="http://schemas.microsoft.com/office/drawing/2014/main" id="{197E919C-C6C6-4B52-934D-F06D6E369104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2" name="TextBox 7">
          <a:extLst>
            <a:ext uri="{FF2B5EF4-FFF2-40B4-BE49-F238E27FC236}">
              <a16:creationId xmlns:a16="http://schemas.microsoft.com/office/drawing/2014/main" id="{6C449453-77EE-4359-9513-15BDE9ADA000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3" name="TextBox 8">
          <a:extLst>
            <a:ext uri="{FF2B5EF4-FFF2-40B4-BE49-F238E27FC236}">
              <a16:creationId xmlns:a16="http://schemas.microsoft.com/office/drawing/2014/main" id="{5E5417B0-32D8-4CC9-8940-EC9F0490C624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4" name="TextBox 2">
          <a:extLst>
            <a:ext uri="{FF2B5EF4-FFF2-40B4-BE49-F238E27FC236}">
              <a16:creationId xmlns:a16="http://schemas.microsoft.com/office/drawing/2014/main" id="{AC62ECE2-9F06-4FA8-8D69-73ACD01CB6C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5" name="TextBox 4">
          <a:extLst>
            <a:ext uri="{FF2B5EF4-FFF2-40B4-BE49-F238E27FC236}">
              <a16:creationId xmlns:a16="http://schemas.microsoft.com/office/drawing/2014/main" id="{F3B40FC0-D043-4C3E-A041-A270FC550A40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6" name="TextBox 5">
          <a:extLst>
            <a:ext uri="{FF2B5EF4-FFF2-40B4-BE49-F238E27FC236}">
              <a16:creationId xmlns:a16="http://schemas.microsoft.com/office/drawing/2014/main" id="{AA8C9B62-3113-4393-A62B-BEAC6645A16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7" name="TextBox 6">
          <a:extLst>
            <a:ext uri="{FF2B5EF4-FFF2-40B4-BE49-F238E27FC236}">
              <a16:creationId xmlns:a16="http://schemas.microsoft.com/office/drawing/2014/main" id="{663EE451-109E-446F-8CEB-16DF5129FAD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8" name="TextBox 7">
          <a:extLst>
            <a:ext uri="{FF2B5EF4-FFF2-40B4-BE49-F238E27FC236}">
              <a16:creationId xmlns:a16="http://schemas.microsoft.com/office/drawing/2014/main" id="{47940306-7459-4F15-BB37-83C5CF14783E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69" name="TextBox 8">
          <a:extLst>
            <a:ext uri="{FF2B5EF4-FFF2-40B4-BE49-F238E27FC236}">
              <a16:creationId xmlns:a16="http://schemas.microsoft.com/office/drawing/2014/main" id="{C7F92DE7-C29F-4A19-90F4-EC49187F7EEC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0" name="TextBox 2">
          <a:extLst>
            <a:ext uri="{FF2B5EF4-FFF2-40B4-BE49-F238E27FC236}">
              <a16:creationId xmlns:a16="http://schemas.microsoft.com/office/drawing/2014/main" id="{AEFA8879-4406-4234-B3FD-81CBA63AAD6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1" name="TextBox 4">
          <a:extLst>
            <a:ext uri="{FF2B5EF4-FFF2-40B4-BE49-F238E27FC236}">
              <a16:creationId xmlns:a16="http://schemas.microsoft.com/office/drawing/2014/main" id="{1CFEC6C4-9EF9-40BB-9C86-0458149EC8DA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2" name="TextBox 5">
          <a:extLst>
            <a:ext uri="{FF2B5EF4-FFF2-40B4-BE49-F238E27FC236}">
              <a16:creationId xmlns:a16="http://schemas.microsoft.com/office/drawing/2014/main" id="{319E6286-73AA-4D45-9A4B-868C4F9D995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3" name="TextBox 6">
          <a:extLst>
            <a:ext uri="{FF2B5EF4-FFF2-40B4-BE49-F238E27FC236}">
              <a16:creationId xmlns:a16="http://schemas.microsoft.com/office/drawing/2014/main" id="{2BEEA9D3-F6BE-4E93-B962-10A1C464E115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4" name="TextBox 7">
          <a:extLst>
            <a:ext uri="{FF2B5EF4-FFF2-40B4-BE49-F238E27FC236}">
              <a16:creationId xmlns:a16="http://schemas.microsoft.com/office/drawing/2014/main" id="{5C3FCAAE-612E-4546-A8BE-30BAC5A3797B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5" name="TextBox 8">
          <a:extLst>
            <a:ext uri="{FF2B5EF4-FFF2-40B4-BE49-F238E27FC236}">
              <a16:creationId xmlns:a16="http://schemas.microsoft.com/office/drawing/2014/main" id="{1552C357-DEB5-406C-9F43-6E35EF0DC8E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6" name="TextBox 2">
          <a:extLst>
            <a:ext uri="{FF2B5EF4-FFF2-40B4-BE49-F238E27FC236}">
              <a16:creationId xmlns:a16="http://schemas.microsoft.com/office/drawing/2014/main" id="{F1DBE50E-9B20-480E-BD9A-1BB01781B5A1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7" name="TextBox 4">
          <a:extLst>
            <a:ext uri="{FF2B5EF4-FFF2-40B4-BE49-F238E27FC236}">
              <a16:creationId xmlns:a16="http://schemas.microsoft.com/office/drawing/2014/main" id="{132EEA74-2C84-4B72-B43B-01BEECBD51B0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8" name="TextBox 5">
          <a:extLst>
            <a:ext uri="{FF2B5EF4-FFF2-40B4-BE49-F238E27FC236}">
              <a16:creationId xmlns:a16="http://schemas.microsoft.com/office/drawing/2014/main" id="{303B8F08-E951-4D6B-BCF7-47EF999C1FAD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79" name="TextBox 6">
          <a:extLst>
            <a:ext uri="{FF2B5EF4-FFF2-40B4-BE49-F238E27FC236}">
              <a16:creationId xmlns:a16="http://schemas.microsoft.com/office/drawing/2014/main" id="{FE785671-DE6A-4C3F-BA84-0F5186150B6F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0" name="TextBox 7">
          <a:extLst>
            <a:ext uri="{FF2B5EF4-FFF2-40B4-BE49-F238E27FC236}">
              <a16:creationId xmlns:a16="http://schemas.microsoft.com/office/drawing/2014/main" id="{F181397D-39C7-45BD-9CE7-B9E296993652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1" name="TextBox 8">
          <a:extLst>
            <a:ext uri="{FF2B5EF4-FFF2-40B4-BE49-F238E27FC236}">
              <a16:creationId xmlns:a16="http://schemas.microsoft.com/office/drawing/2014/main" id="{AC774245-4421-4B7C-93BA-008024A4AEF8}"/>
            </a:ext>
          </a:extLst>
        </xdr:cNvPr>
        <xdr:cNvSpPr txBox="1"/>
      </xdr:nvSpPr>
      <xdr:spPr>
        <a:xfrm flipH="1">
          <a:off x="1909762" y="9315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2" name="TextBox 2">
          <a:extLst>
            <a:ext uri="{FF2B5EF4-FFF2-40B4-BE49-F238E27FC236}">
              <a16:creationId xmlns:a16="http://schemas.microsoft.com/office/drawing/2014/main" id="{C2E4CE36-FC88-4ED4-98E7-28617DAF84A6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3" name="TextBox 4">
          <a:extLst>
            <a:ext uri="{FF2B5EF4-FFF2-40B4-BE49-F238E27FC236}">
              <a16:creationId xmlns:a16="http://schemas.microsoft.com/office/drawing/2014/main" id="{231EC9DF-5591-42B4-8E66-10EC4AA77B04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4" name="TextBox 5">
          <a:extLst>
            <a:ext uri="{FF2B5EF4-FFF2-40B4-BE49-F238E27FC236}">
              <a16:creationId xmlns:a16="http://schemas.microsoft.com/office/drawing/2014/main" id="{991E86CF-4989-4B68-B20E-9096673B4678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5" name="TextBox 6">
          <a:extLst>
            <a:ext uri="{FF2B5EF4-FFF2-40B4-BE49-F238E27FC236}">
              <a16:creationId xmlns:a16="http://schemas.microsoft.com/office/drawing/2014/main" id="{EE939623-214D-46A1-8E19-949A07EF0227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6" name="TextBox 7">
          <a:extLst>
            <a:ext uri="{FF2B5EF4-FFF2-40B4-BE49-F238E27FC236}">
              <a16:creationId xmlns:a16="http://schemas.microsoft.com/office/drawing/2014/main" id="{808C0EF2-CD9C-4028-BAD1-75CA9FDAE9B1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7" name="TextBox 8">
          <a:extLst>
            <a:ext uri="{FF2B5EF4-FFF2-40B4-BE49-F238E27FC236}">
              <a16:creationId xmlns:a16="http://schemas.microsoft.com/office/drawing/2014/main" id="{0F18F8EC-66D2-44F8-A0AC-DBAC756307BE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8" name="TextBox 2">
          <a:extLst>
            <a:ext uri="{FF2B5EF4-FFF2-40B4-BE49-F238E27FC236}">
              <a16:creationId xmlns:a16="http://schemas.microsoft.com/office/drawing/2014/main" id="{FF404934-DBF2-4E2D-AAB9-4BB560C9F75C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89" name="TextBox 4">
          <a:extLst>
            <a:ext uri="{FF2B5EF4-FFF2-40B4-BE49-F238E27FC236}">
              <a16:creationId xmlns:a16="http://schemas.microsoft.com/office/drawing/2014/main" id="{8BF9B50E-9B4F-4A20-A64A-C9D0366E1E4A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0" name="TextBox 5">
          <a:extLst>
            <a:ext uri="{FF2B5EF4-FFF2-40B4-BE49-F238E27FC236}">
              <a16:creationId xmlns:a16="http://schemas.microsoft.com/office/drawing/2014/main" id="{C0CAC19D-4349-4AB3-A62B-3F40685D0BCA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1" name="TextBox 6">
          <a:extLst>
            <a:ext uri="{FF2B5EF4-FFF2-40B4-BE49-F238E27FC236}">
              <a16:creationId xmlns:a16="http://schemas.microsoft.com/office/drawing/2014/main" id="{653046D8-0146-47B3-91D4-70D7EF296791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2" name="TextBox 7">
          <a:extLst>
            <a:ext uri="{FF2B5EF4-FFF2-40B4-BE49-F238E27FC236}">
              <a16:creationId xmlns:a16="http://schemas.microsoft.com/office/drawing/2014/main" id="{E74F9C74-4C26-4B91-AE52-949605B227DC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3" name="TextBox 8">
          <a:extLst>
            <a:ext uri="{FF2B5EF4-FFF2-40B4-BE49-F238E27FC236}">
              <a16:creationId xmlns:a16="http://schemas.microsoft.com/office/drawing/2014/main" id="{A3E1F380-97D3-47D9-A933-F83AC471E2E5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4" name="TextBox 2">
          <a:extLst>
            <a:ext uri="{FF2B5EF4-FFF2-40B4-BE49-F238E27FC236}">
              <a16:creationId xmlns:a16="http://schemas.microsoft.com/office/drawing/2014/main" id="{3710C87F-7ACB-49FB-B10A-8E4BAE59A0BA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5" name="TextBox 4">
          <a:extLst>
            <a:ext uri="{FF2B5EF4-FFF2-40B4-BE49-F238E27FC236}">
              <a16:creationId xmlns:a16="http://schemas.microsoft.com/office/drawing/2014/main" id="{F7A66BDF-5613-41EC-9FDF-3071F33C5FAB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6" name="TextBox 5">
          <a:extLst>
            <a:ext uri="{FF2B5EF4-FFF2-40B4-BE49-F238E27FC236}">
              <a16:creationId xmlns:a16="http://schemas.microsoft.com/office/drawing/2014/main" id="{D8B05E94-112D-4A93-ADBA-57626EE93C00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7" name="TextBox 6">
          <a:extLst>
            <a:ext uri="{FF2B5EF4-FFF2-40B4-BE49-F238E27FC236}">
              <a16:creationId xmlns:a16="http://schemas.microsoft.com/office/drawing/2014/main" id="{9B3BDC13-BEB4-4E54-8CC0-A299233AA898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8" name="TextBox 7">
          <a:extLst>
            <a:ext uri="{FF2B5EF4-FFF2-40B4-BE49-F238E27FC236}">
              <a16:creationId xmlns:a16="http://schemas.microsoft.com/office/drawing/2014/main" id="{30952FF0-A19C-42B0-85CD-3154EC8EA94B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499" name="TextBox 8">
          <a:extLst>
            <a:ext uri="{FF2B5EF4-FFF2-40B4-BE49-F238E27FC236}">
              <a16:creationId xmlns:a16="http://schemas.microsoft.com/office/drawing/2014/main" id="{F358DCBB-2970-4AFA-8CC3-9CFC03BAD989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0" name="TextBox 2">
          <a:extLst>
            <a:ext uri="{FF2B5EF4-FFF2-40B4-BE49-F238E27FC236}">
              <a16:creationId xmlns:a16="http://schemas.microsoft.com/office/drawing/2014/main" id="{796E25F2-AA5C-4087-AE66-F705EB632228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1" name="TextBox 4">
          <a:extLst>
            <a:ext uri="{FF2B5EF4-FFF2-40B4-BE49-F238E27FC236}">
              <a16:creationId xmlns:a16="http://schemas.microsoft.com/office/drawing/2014/main" id="{FDECFB81-1C03-4A4A-ABCD-801342FB40AB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2" name="TextBox 5">
          <a:extLst>
            <a:ext uri="{FF2B5EF4-FFF2-40B4-BE49-F238E27FC236}">
              <a16:creationId xmlns:a16="http://schemas.microsoft.com/office/drawing/2014/main" id="{37986FA3-1639-4E07-978F-8E8B64936C99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3" name="TextBox 6">
          <a:extLst>
            <a:ext uri="{FF2B5EF4-FFF2-40B4-BE49-F238E27FC236}">
              <a16:creationId xmlns:a16="http://schemas.microsoft.com/office/drawing/2014/main" id="{EEC16A2B-CE5B-41A8-9AC6-ABEC4A41CBA8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4" name="TextBox 7">
          <a:extLst>
            <a:ext uri="{FF2B5EF4-FFF2-40B4-BE49-F238E27FC236}">
              <a16:creationId xmlns:a16="http://schemas.microsoft.com/office/drawing/2014/main" id="{0A7526B8-60CE-4893-9CE0-EF5B7D2ADC51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5" name="TextBox 8">
          <a:extLst>
            <a:ext uri="{FF2B5EF4-FFF2-40B4-BE49-F238E27FC236}">
              <a16:creationId xmlns:a16="http://schemas.microsoft.com/office/drawing/2014/main" id="{7B12AB87-92FB-4285-8F4F-EA29BB07232D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6" name="TextBox 2">
          <a:extLst>
            <a:ext uri="{FF2B5EF4-FFF2-40B4-BE49-F238E27FC236}">
              <a16:creationId xmlns:a16="http://schemas.microsoft.com/office/drawing/2014/main" id="{BC1D73D6-6F6B-4E57-8839-67CC0AD81DC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7" name="TextBox 4">
          <a:extLst>
            <a:ext uri="{FF2B5EF4-FFF2-40B4-BE49-F238E27FC236}">
              <a16:creationId xmlns:a16="http://schemas.microsoft.com/office/drawing/2014/main" id="{6BABD3B2-5A67-468D-A38B-4D4BF2E9485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8" name="TextBox 5">
          <a:extLst>
            <a:ext uri="{FF2B5EF4-FFF2-40B4-BE49-F238E27FC236}">
              <a16:creationId xmlns:a16="http://schemas.microsoft.com/office/drawing/2014/main" id="{73D4EC31-4FFA-42CD-BD56-A9A9682347A9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09" name="TextBox 6">
          <a:extLst>
            <a:ext uri="{FF2B5EF4-FFF2-40B4-BE49-F238E27FC236}">
              <a16:creationId xmlns:a16="http://schemas.microsoft.com/office/drawing/2014/main" id="{A84DC903-6044-43AC-A3F9-9B3EB7ACDEB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0" name="TextBox 7">
          <a:extLst>
            <a:ext uri="{FF2B5EF4-FFF2-40B4-BE49-F238E27FC236}">
              <a16:creationId xmlns:a16="http://schemas.microsoft.com/office/drawing/2014/main" id="{39A4DE74-1BE3-4C3E-9A61-A0F62452B593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1" name="TextBox 8">
          <a:extLst>
            <a:ext uri="{FF2B5EF4-FFF2-40B4-BE49-F238E27FC236}">
              <a16:creationId xmlns:a16="http://schemas.microsoft.com/office/drawing/2014/main" id="{43971D66-8AA7-4B27-8A2E-106A4F229D0D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2" name="TextBox 2">
          <a:extLst>
            <a:ext uri="{FF2B5EF4-FFF2-40B4-BE49-F238E27FC236}">
              <a16:creationId xmlns:a16="http://schemas.microsoft.com/office/drawing/2014/main" id="{BE8EE357-C11B-42D3-945D-A5EB783B72D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3" name="TextBox 4">
          <a:extLst>
            <a:ext uri="{FF2B5EF4-FFF2-40B4-BE49-F238E27FC236}">
              <a16:creationId xmlns:a16="http://schemas.microsoft.com/office/drawing/2014/main" id="{E6A0ECD0-40AC-4396-988E-5DC241FDCEC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4" name="TextBox 5">
          <a:extLst>
            <a:ext uri="{FF2B5EF4-FFF2-40B4-BE49-F238E27FC236}">
              <a16:creationId xmlns:a16="http://schemas.microsoft.com/office/drawing/2014/main" id="{DD5F1670-642C-4D74-A56A-2B826FF83CF2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5" name="TextBox 6">
          <a:extLst>
            <a:ext uri="{FF2B5EF4-FFF2-40B4-BE49-F238E27FC236}">
              <a16:creationId xmlns:a16="http://schemas.microsoft.com/office/drawing/2014/main" id="{87F0CD7F-A078-46DB-8599-CDCB594B0F7C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6" name="TextBox 7">
          <a:extLst>
            <a:ext uri="{FF2B5EF4-FFF2-40B4-BE49-F238E27FC236}">
              <a16:creationId xmlns:a16="http://schemas.microsoft.com/office/drawing/2014/main" id="{6581800A-E70E-46C6-A5CE-7CE938084DEB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7" name="TextBox 8">
          <a:extLst>
            <a:ext uri="{FF2B5EF4-FFF2-40B4-BE49-F238E27FC236}">
              <a16:creationId xmlns:a16="http://schemas.microsoft.com/office/drawing/2014/main" id="{5CFC1F84-A183-48A7-94E1-742D45CDF0DB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8" name="TextBox 2">
          <a:extLst>
            <a:ext uri="{FF2B5EF4-FFF2-40B4-BE49-F238E27FC236}">
              <a16:creationId xmlns:a16="http://schemas.microsoft.com/office/drawing/2014/main" id="{D4A46C65-35CB-4B71-9B8E-D591BF7A91B0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19" name="TextBox 4">
          <a:extLst>
            <a:ext uri="{FF2B5EF4-FFF2-40B4-BE49-F238E27FC236}">
              <a16:creationId xmlns:a16="http://schemas.microsoft.com/office/drawing/2014/main" id="{561CF46F-83FF-40ED-A7F3-522E3BC16D78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0" name="TextBox 5">
          <a:extLst>
            <a:ext uri="{FF2B5EF4-FFF2-40B4-BE49-F238E27FC236}">
              <a16:creationId xmlns:a16="http://schemas.microsoft.com/office/drawing/2014/main" id="{306464ED-A50B-4E4B-9573-A0DE770F2F89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1" name="TextBox 6">
          <a:extLst>
            <a:ext uri="{FF2B5EF4-FFF2-40B4-BE49-F238E27FC236}">
              <a16:creationId xmlns:a16="http://schemas.microsoft.com/office/drawing/2014/main" id="{D5A93A7D-5754-4468-A8FB-2A3BA762B6DE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2" name="TextBox 7">
          <a:extLst>
            <a:ext uri="{FF2B5EF4-FFF2-40B4-BE49-F238E27FC236}">
              <a16:creationId xmlns:a16="http://schemas.microsoft.com/office/drawing/2014/main" id="{CB657FF4-F9DA-433C-9FE3-64730C6DF2F1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3" name="TextBox 8">
          <a:extLst>
            <a:ext uri="{FF2B5EF4-FFF2-40B4-BE49-F238E27FC236}">
              <a16:creationId xmlns:a16="http://schemas.microsoft.com/office/drawing/2014/main" id="{AB26EDA5-BD38-46C8-8E68-732AA75BA10F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4" name="TextBox 2">
          <a:extLst>
            <a:ext uri="{FF2B5EF4-FFF2-40B4-BE49-F238E27FC236}">
              <a16:creationId xmlns:a16="http://schemas.microsoft.com/office/drawing/2014/main" id="{76B7C394-4DE2-4B95-B546-550B0BDF0050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5" name="TextBox 4">
          <a:extLst>
            <a:ext uri="{FF2B5EF4-FFF2-40B4-BE49-F238E27FC236}">
              <a16:creationId xmlns:a16="http://schemas.microsoft.com/office/drawing/2014/main" id="{448DBEC9-D3CA-4BB3-B28B-0F07D2D8610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6" name="TextBox 5">
          <a:extLst>
            <a:ext uri="{FF2B5EF4-FFF2-40B4-BE49-F238E27FC236}">
              <a16:creationId xmlns:a16="http://schemas.microsoft.com/office/drawing/2014/main" id="{B8DC6B0E-A23C-41A1-8A3E-45EE475E6E44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7" name="TextBox 6">
          <a:extLst>
            <a:ext uri="{FF2B5EF4-FFF2-40B4-BE49-F238E27FC236}">
              <a16:creationId xmlns:a16="http://schemas.microsoft.com/office/drawing/2014/main" id="{33121DD0-F565-4257-887A-A49FBFA6CF30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8" name="TextBox 7">
          <a:extLst>
            <a:ext uri="{FF2B5EF4-FFF2-40B4-BE49-F238E27FC236}">
              <a16:creationId xmlns:a16="http://schemas.microsoft.com/office/drawing/2014/main" id="{EA48932F-2087-4990-951F-121BD65D994E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29" name="TextBox 8">
          <a:extLst>
            <a:ext uri="{FF2B5EF4-FFF2-40B4-BE49-F238E27FC236}">
              <a16:creationId xmlns:a16="http://schemas.microsoft.com/office/drawing/2014/main" id="{D05EBBD4-BB3E-4045-A696-A2E24DAA9236}"/>
            </a:ext>
          </a:extLst>
        </xdr:cNvPr>
        <xdr:cNvSpPr txBox="1"/>
      </xdr:nvSpPr>
      <xdr:spPr>
        <a:xfrm flipH="1">
          <a:off x="1909762" y="6581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0" name="TextBox 2">
          <a:extLst>
            <a:ext uri="{FF2B5EF4-FFF2-40B4-BE49-F238E27FC236}">
              <a16:creationId xmlns:a16="http://schemas.microsoft.com/office/drawing/2014/main" id="{995F45F9-FB0C-4895-AA0A-54703F1901E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1" name="TextBox 4">
          <a:extLst>
            <a:ext uri="{FF2B5EF4-FFF2-40B4-BE49-F238E27FC236}">
              <a16:creationId xmlns:a16="http://schemas.microsoft.com/office/drawing/2014/main" id="{6E2DA44D-515C-451D-ACE5-D5D4DC16063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2" name="TextBox 5">
          <a:extLst>
            <a:ext uri="{FF2B5EF4-FFF2-40B4-BE49-F238E27FC236}">
              <a16:creationId xmlns:a16="http://schemas.microsoft.com/office/drawing/2014/main" id="{4F7FFA5A-E23A-4BAE-A454-8098A8E79A9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3" name="TextBox 6">
          <a:extLst>
            <a:ext uri="{FF2B5EF4-FFF2-40B4-BE49-F238E27FC236}">
              <a16:creationId xmlns:a16="http://schemas.microsoft.com/office/drawing/2014/main" id="{AAA15787-DA48-482D-9546-D105DDA04756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4" name="TextBox 7">
          <a:extLst>
            <a:ext uri="{FF2B5EF4-FFF2-40B4-BE49-F238E27FC236}">
              <a16:creationId xmlns:a16="http://schemas.microsoft.com/office/drawing/2014/main" id="{A589113D-4593-4483-9EAA-6B3024F8DEE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5" name="TextBox 8">
          <a:extLst>
            <a:ext uri="{FF2B5EF4-FFF2-40B4-BE49-F238E27FC236}">
              <a16:creationId xmlns:a16="http://schemas.microsoft.com/office/drawing/2014/main" id="{07BBF968-4F12-4A07-863C-D714BFA3DA7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6" name="TextBox 2">
          <a:extLst>
            <a:ext uri="{FF2B5EF4-FFF2-40B4-BE49-F238E27FC236}">
              <a16:creationId xmlns:a16="http://schemas.microsoft.com/office/drawing/2014/main" id="{57D3A097-D409-450C-A4EB-A3BC132141C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7" name="TextBox 4">
          <a:extLst>
            <a:ext uri="{FF2B5EF4-FFF2-40B4-BE49-F238E27FC236}">
              <a16:creationId xmlns:a16="http://schemas.microsoft.com/office/drawing/2014/main" id="{4A0BA1B2-DC8B-4F59-B1CB-B5A11969E7A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8" name="TextBox 5">
          <a:extLst>
            <a:ext uri="{FF2B5EF4-FFF2-40B4-BE49-F238E27FC236}">
              <a16:creationId xmlns:a16="http://schemas.microsoft.com/office/drawing/2014/main" id="{DD747C1E-A536-4FAF-8676-6057B444060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39" name="TextBox 6">
          <a:extLst>
            <a:ext uri="{FF2B5EF4-FFF2-40B4-BE49-F238E27FC236}">
              <a16:creationId xmlns:a16="http://schemas.microsoft.com/office/drawing/2014/main" id="{FADC2E26-DBB2-43F4-AA99-A5C8247B740B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0" name="TextBox 7">
          <a:extLst>
            <a:ext uri="{FF2B5EF4-FFF2-40B4-BE49-F238E27FC236}">
              <a16:creationId xmlns:a16="http://schemas.microsoft.com/office/drawing/2014/main" id="{B0CD1475-B3D9-48CB-9820-4097B5816B6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1" name="TextBox 8">
          <a:extLst>
            <a:ext uri="{FF2B5EF4-FFF2-40B4-BE49-F238E27FC236}">
              <a16:creationId xmlns:a16="http://schemas.microsoft.com/office/drawing/2014/main" id="{05D2968C-FC1E-4978-8552-AB4CFCBD7F72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2" name="TextBox 2">
          <a:extLst>
            <a:ext uri="{FF2B5EF4-FFF2-40B4-BE49-F238E27FC236}">
              <a16:creationId xmlns:a16="http://schemas.microsoft.com/office/drawing/2014/main" id="{BDDAEBA0-3D03-4D74-9F9D-2D52FC30FF01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3" name="TextBox 4">
          <a:extLst>
            <a:ext uri="{FF2B5EF4-FFF2-40B4-BE49-F238E27FC236}">
              <a16:creationId xmlns:a16="http://schemas.microsoft.com/office/drawing/2014/main" id="{762FF5AF-AA90-41EF-AF30-FE98270124DA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4" name="TextBox 5">
          <a:extLst>
            <a:ext uri="{FF2B5EF4-FFF2-40B4-BE49-F238E27FC236}">
              <a16:creationId xmlns:a16="http://schemas.microsoft.com/office/drawing/2014/main" id="{DCA624D6-D8B6-433E-9DFE-E841E04F7C18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5" name="TextBox 6">
          <a:extLst>
            <a:ext uri="{FF2B5EF4-FFF2-40B4-BE49-F238E27FC236}">
              <a16:creationId xmlns:a16="http://schemas.microsoft.com/office/drawing/2014/main" id="{C580BA03-A314-4BD2-B267-2F5CAAE148BA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6" name="TextBox 7">
          <a:extLst>
            <a:ext uri="{FF2B5EF4-FFF2-40B4-BE49-F238E27FC236}">
              <a16:creationId xmlns:a16="http://schemas.microsoft.com/office/drawing/2014/main" id="{7A582557-D407-441F-8706-8FE7624E0DB1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7" name="TextBox 8">
          <a:extLst>
            <a:ext uri="{FF2B5EF4-FFF2-40B4-BE49-F238E27FC236}">
              <a16:creationId xmlns:a16="http://schemas.microsoft.com/office/drawing/2014/main" id="{BB5480BE-64BD-4F09-B5E4-BE5A8B8B2DFB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8" name="TextBox 2">
          <a:extLst>
            <a:ext uri="{FF2B5EF4-FFF2-40B4-BE49-F238E27FC236}">
              <a16:creationId xmlns:a16="http://schemas.microsoft.com/office/drawing/2014/main" id="{4FB81AD1-C1CE-452A-BEAD-B7D13CC347CF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49" name="TextBox 4">
          <a:extLst>
            <a:ext uri="{FF2B5EF4-FFF2-40B4-BE49-F238E27FC236}">
              <a16:creationId xmlns:a16="http://schemas.microsoft.com/office/drawing/2014/main" id="{7CCB1282-7CBF-4798-AE97-64249F8550E2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0" name="TextBox 5">
          <a:extLst>
            <a:ext uri="{FF2B5EF4-FFF2-40B4-BE49-F238E27FC236}">
              <a16:creationId xmlns:a16="http://schemas.microsoft.com/office/drawing/2014/main" id="{3A1EF3DB-A141-496D-A760-A6EDABF1AC64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1" name="TextBox 6">
          <a:extLst>
            <a:ext uri="{FF2B5EF4-FFF2-40B4-BE49-F238E27FC236}">
              <a16:creationId xmlns:a16="http://schemas.microsoft.com/office/drawing/2014/main" id="{935CEFEC-4689-49CB-9AEF-DDF9D9D8EA6D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2" name="TextBox 7">
          <a:extLst>
            <a:ext uri="{FF2B5EF4-FFF2-40B4-BE49-F238E27FC236}">
              <a16:creationId xmlns:a16="http://schemas.microsoft.com/office/drawing/2014/main" id="{A729B238-4479-4620-8627-C49386E84429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3" name="TextBox 8">
          <a:extLst>
            <a:ext uri="{FF2B5EF4-FFF2-40B4-BE49-F238E27FC236}">
              <a16:creationId xmlns:a16="http://schemas.microsoft.com/office/drawing/2014/main" id="{4210C3CF-E293-440F-955D-8B5465D91ED8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4" name="TextBox 2">
          <a:extLst>
            <a:ext uri="{FF2B5EF4-FFF2-40B4-BE49-F238E27FC236}">
              <a16:creationId xmlns:a16="http://schemas.microsoft.com/office/drawing/2014/main" id="{D1A97A1A-8119-46B8-9D91-E315F68907F0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5" name="TextBox 4">
          <a:extLst>
            <a:ext uri="{FF2B5EF4-FFF2-40B4-BE49-F238E27FC236}">
              <a16:creationId xmlns:a16="http://schemas.microsoft.com/office/drawing/2014/main" id="{A2C7D18A-33EA-42AB-8A04-E41AE87F45A1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6" name="TextBox 5">
          <a:extLst>
            <a:ext uri="{FF2B5EF4-FFF2-40B4-BE49-F238E27FC236}">
              <a16:creationId xmlns:a16="http://schemas.microsoft.com/office/drawing/2014/main" id="{CB2829DE-49C6-486C-9C10-1DDF1593C653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7" name="TextBox 6">
          <a:extLst>
            <a:ext uri="{FF2B5EF4-FFF2-40B4-BE49-F238E27FC236}">
              <a16:creationId xmlns:a16="http://schemas.microsoft.com/office/drawing/2014/main" id="{9A198F5F-3689-45D9-B053-A115CDE2C75C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8" name="TextBox 7">
          <a:extLst>
            <a:ext uri="{FF2B5EF4-FFF2-40B4-BE49-F238E27FC236}">
              <a16:creationId xmlns:a16="http://schemas.microsoft.com/office/drawing/2014/main" id="{28AB2756-9BE9-4DE8-842F-8A385E49A0EA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59" name="TextBox 8">
          <a:extLst>
            <a:ext uri="{FF2B5EF4-FFF2-40B4-BE49-F238E27FC236}">
              <a16:creationId xmlns:a16="http://schemas.microsoft.com/office/drawing/2014/main" id="{B42A188A-3117-4BBF-BDF6-6C5451DB7909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0" name="TextBox 2">
          <a:extLst>
            <a:ext uri="{FF2B5EF4-FFF2-40B4-BE49-F238E27FC236}">
              <a16:creationId xmlns:a16="http://schemas.microsoft.com/office/drawing/2014/main" id="{9E4D9D24-AEE7-4176-BD00-D267797A83FA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1" name="TextBox 4">
          <a:extLst>
            <a:ext uri="{FF2B5EF4-FFF2-40B4-BE49-F238E27FC236}">
              <a16:creationId xmlns:a16="http://schemas.microsoft.com/office/drawing/2014/main" id="{D1BDE5C4-0A45-45CB-92DE-C1CE86056FF8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2" name="TextBox 5">
          <a:extLst>
            <a:ext uri="{FF2B5EF4-FFF2-40B4-BE49-F238E27FC236}">
              <a16:creationId xmlns:a16="http://schemas.microsoft.com/office/drawing/2014/main" id="{55C5EC2C-9137-4881-A7C6-BB33137913AE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3" name="TextBox 6">
          <a:extLst>
            <a:ext uri="{FF2B5EF4-FFF2-40B4-BE49-F238E27FC236}">
              <a16:creationId xmlns:a16="http://schemas.microsoft.com/office/drawing/2014/main" id="{6A00598E-5F77-4FED-85DD-4FB6B3C82C7B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4" name="TextBox 7">
          <a:extLst>
            <a:ext uri="{FF2B5EF4-FFF2-40B4-BE49-F238E27FC236}">
              <a16:creationId xmlns:a16="http://schemas.microsoft.com/office/drawing/2014/main" id="{B91CA016-3C9B-451B-98F3-3951D5320639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5" name="TextBox 8">
          <a:extLst>
            <a:ext uri="{FF2B5EF4-FFF2-40B4-BE49-F238E27FC236}">
              <a16:creationId xmlns:a16="http://schemas.microsoft.com/office/drawing/2014/main" id="{C991C443-D47E-4E7F-B250-CC59C87CFA65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6" name="TextBox 2">
          <a:extLst>
            <a:ext uri="{FF2B5EF4-FFF2-40B4-BE49-F238E27FC236}">
              <a16:creationId xmlns:a16="http://schemas.microsoft.com/office/drawing/2014/main" id="{7640EFB2-D909-4B84-A29C-2E364DD0899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7" name="TextBox 4">
          <a:extLst>
            <a:ext uri="{FF2B5EF4-FFF2-40B4-BE49-F238E27FC236}">
              <a16:creationId xmlns:a16="http://schemas.microsoft.com/office/drawing/2014/main" id="{4A820C3B-392D-4BF2-9623-46B50D1C612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8" name="TextBox 5">
          <a:extLst>
            <a:ext uri="{FF2B5EF4-FFF2-40B4-BE49-F238E27FC236}">
              <a16:creationId xmlns:a16="http://schemas.microsoft.com/office/drawing/2014/main" id="{A1EA1615-27E9-4A43-ABBA-290CB5836A0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69" name="TextBox 6">
          <a:extLst>
            <a:ext uri="{FF2B5EF4-FFF2-40B4-BE49-F238E27FC236}">
              <a16:creationId xmlns:a16="http://schemas.microsoft.com/office/drawing/2014/main" id="{D14E8B55-2220-4CEE-BCC8-0A8EA99C3066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0" name="TextBox 7">
          <a:extLst>
            <a:ext uri="{FF2B5EF4-FFF2-40B4-BE49-F238E27FC236}">
              <a16:creationId xmlns:a16="http://schemas.microsoft.com/office/drawing/2014/main" id="{6BD25577-5E4B-43D0-B265-C2981B1A421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1" name="TextBox 8">
          <a:extLst>
            <a:ext uri="{FF2B5EF4-FFF2-40B4-BE49-F238E27FC236}">
              <a16:creationId xmlns:a16="http://schemas.microsoft.com/office/drawing/2014/main" id="{16FA6DCE-7AA3-4A37-B261-FBD8798CCBF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2" name="TextBox 2">
          <a:extLst>
            <a:ext uri="{FF2B5EF4-FFF2-40B4-BE49-F238E27FC236}">
              <a16:creationId xmlns:a16="http://schemas.microsoft.com/office/drawing/2014/main" id="{1F350650-541B-4E19-B9B9-FB980049C652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3" name="TextBox 4">
          <a:extLst>
            <a:ext uri="{FF2B5EF4-FFF2-40B4-BE49-F238E27FC236}">
              <a16:creationId xmlns:a16="http://schemas.microsoft.com/office/drawing/2014/main" id="{7C8B5BA8-0676-42D1-8049-689E2DCBF50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4" name="TextBox 5">
          <a:extLst>
            <a:ext uri="{FF2B5EF4-FFF2-40B4-BE49-F238E27FC236}">
              <a16:creationId xmlns:a16="http://schemas.microsoft.com/office/drawing/2014/main" id="{E8461EB9-9A3C-462C-96D9-8C5B07C8E47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5" name="TextBox 6">
          <a:extLst>
            <a:ext uri="{FF2B5EF4-FFF2-40B4-BE49-F238E27FC236}">
              <a16:creationId xmlns:a16="http://schemas.microsoft.com/office/drawing/2014/main" id="{75ABF9C6-B1B0-43B7-B1D9-390EC380E7D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6" name="TextBox 7">
          <a:extLst>
            <a:ext uri="{FF2B5EF4-FFF2-40B4-BE49-F238E27FC236}">
              <a16:creationId xmlns:a16="http://schemas.microsoft.com/office/drawing/2014/main" id="{E8E97B2E-1D2F-4892-8E31-AE98E64E5FB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7" name="TextBox 8">
          <a:extLst>
            <a:ext uri="{FF2B5EF4-FFF2-40B4-BE49-F238E27FC236}">
              <a16:creationId xmlns:a16="http://schemas.microsoft.com/office/drawing/2014/main" id="{042C74AF-A2B7-491A-9018-F361ABADF9E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8" name="TextBox 2">
          <a:extLst>
            <a:ext uri="{FF2B5EF4-FFF2-40B4-BE49-F238E27FC236}">
              <a16:creationId xmlns:a16="http://schemas.microsoft.com/office/drawing/2014/main" id="{C650EE45-5354-495C-9BA1-4B444C896F43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79" name="TextBox 4">
          <a:extLst>
            <a:ext uri="{FF2B5EF4-FFF2-40B4-BE49-F238E27FC236}">
              <a16:creationId xmlns:a16="http://schemas.microsoft.com/office/drawing/2014/main" id="{5242D594-83EF-4B0C-9F9D-F66FEBC211C9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0" name="TextBox 5">
          <a:extLst>
            <a:ext uri="{FF2B5EF4-FFF2-40B4-BE49-F238E27FC236}">
              <a16:creationId xmlns:a16="http://schemas.microsoft.com/office/drawing/2014/main" id="{8E35F188-380C-4D46-B88D-EE5CBD5C8D56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1" name="TextBox 6">
          <a:extLst>
            <a:ext uri="{FF2B5EF4-FFF2-40B4-BE49-F238E27FC236}">
              <a16:creationId xmlns:a16="http://schemas.microsoft.com/office/drawing/2014/main" id="{F9EE84C2-8100-4DC8-BAE1-5E998459D3C8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2" name="TextBox 7">
          <a:extLst>
            <a:ext uri="{FF2B5EF4-FFF2-40B4-BE49-F238E27FC236}">
              <a16:creationId xmlns:a16="http://schemas.microsoft.com/office/drawing/2014/main" id="{B425CAD6-E352-43DE-BA7B-70B07AEA46FE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3" name="TextBox 8">
          <a:extLst>
            <a:ext uri="{FF2B5EF4-FFF2-40B4-BE49-F238E27FC236}">
              <a16:creationId xmlns:a16="http://schemas.microsoft.com/office/drawing/2014/main" id="{3CDF1E3D-32BB-488B-BCAF-C5906046F1B8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4" name="TextBox 2">
          <a:extLst>
            <a:ext uri="{FF2B5EF4-FFF2-40B4-BE49-F238E27FC236}">
              <a16:creationId xmlns:a16="http://schemas.microsoft.com/office/drawing/2014/main" id="{008B938D-0890-45C9-ADCA-80395E47F07F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5" name="TextBox 4">
          <a:extLst>
            <a:ext uri="{FF2B5EF4-FFF2-40B4-BE49-F238E27FC236}">
              <a16:creationId xmlns:a16="http://schemas.microsoft.com/office/drawing/2014/main" id="{1C1FEA00-45AB-4C40-A9D0-FFB2CC89D217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6" name="TextBox 5">
          <a:extLst>
            <a:ext uri="{FF2B5EF4-FFF2-40B4-BE49-F238E27FC236}">
              <a16:creationId xmlns:a16="http://schemas.microsoft.com/office/drawing/2014/main" id="{F4B58032-201D-4706-B57A-A35A8299EB6A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7" name="TextBox 6">
          <a:extLst>
            <a:ext uri="{FF2B5EF4-FFF2-40B4-BE49-F238E27FC236}">
              <a16:creationId xmlns:a16="http://schemas.microsoft.com/office/drawing/2014/main" id="{07FF507D-D500-486C-9970-F155FBA55315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8" name="TextBox 7">
          <a:extLst>
            <a:ext uri="{FF2B5EF4-FFF2-40B4-BE49-F238E27FC236}">
              <a16:creationId xmlns:a16="http://schemas.microsoft.com/office/drawing/2014/main" id="{53CBFA4A-3E40-4D0B-960F-FCC04005315B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89" name="TextBox 8">
          <a:extLst>
            <a:ext uri="{FF2B5EF4-FFF2-40B4-BE49-F238E27FC236}">
              <a16:creationId xmlns:a16="http://schemas.microsoft.com/office/drawing/2014/main" id="{E15CD608-2EAD-42FD-BAB8-37CC17D79B7D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0" name="TextBox 2">
          <a:extLst>
            <a:ext uri="{FF2B5EF4-FFF2-40B4-BE49-F238E27FC236}">
              <a16:creationId xmlns:a16="http://schemas.microsoft.com/office/drawing/2014/main" id="{9CACAD7D-25D8-4D9D-BA61-B3112B8B837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1" name="TextBox 4">
          <a:extLst>
            <a:ext uri="{FF2B5EF4-FFF2-40B4-BE49-F238E27FC236}">
              <a16:creationId xmlns:a16="http://schemas.microsoft.com/office/drawing/2014/main" id="{40D9ACC1-5892-44E2-87CC-EC14809325B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2" name="TextBox 5">
          <a:extLst>
            <a:ext uri="{FF2B5EF4-FFF2-40B4-BE49-F238E27FC236}">
              <a16:creationId xmlns:a16="http://schemas.microsoft.com/office/drawing/2014/main" id="{A5EBD46F-D8AC-4A08-9BE5-A4E4476868B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3" name="TextBox 6">
          <a:extLst>
            <a:ext uri="{FF2B5EF4-FFF2-40B4-BE49-F238E27FC236}">
              <a16:creationId xmlns:a16="http://schemas.microsoft.com/office/drawing/2014/main" id="{28512EF1-042F-4A45-B0BE-5D4B3E9CCB1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4" name="TextBox 7">
          <a:extLst>
            <a:ext uri="{FF2B5EF4-FFF2-40B4-BE49-F238E27FC236}">
              <a16:creationId xmlns:a16="http://schemas.microsoft.com/office/drawing/2014/main" id="{76D8EE2A-91AA-4D8D-BCCE-37C391053F31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5" name="TextBox 8">
          <a:extLst>
            <a:ext uri="{FF2B5EF4-FFF2-40B4-BE49-F238E27FC236}">
              <a16:creationId xmlns:a16="http://schemas.microsoft.com/office/drawing/2014/main" id="{2FF878D7-BF9C-473C-83E0-9AD4D432689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6" name="TextBox 2">
          <a:extLst>
            <a:ext uri="{FF2B5EF4-FFF2-40B4-BE49-F238E27FC236}">
              <a16:creationId xmlns:a16="http://schemas.microsoft.com/office/drawing/2014/main" id="{8CA861CF-4B1D-4DC2-A92C-BE1A237C891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7" name="TextBox 4">
          <a:extLst>
            <a:ext uri="{FF2B5EF4-FFF2-40B4-BE49-F238E27FC236}">
              <a16:creationId xmlns:a16="http://schemas.microsoft.com/office/drawing/2014/main" id="{F5441466-4D7F-478D-92FE-134B8F2FA53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8" name="TextBox 5">
          <a:extLst>
            <a:ext uri="{FF2B5EF4-FFF2-40B4-BE49-F238E27FC236}">
              <a16:creationId xmlns:a16="http://schemas.microsoft.com/office/drawing/2014/main" id="{5AEC013E-BD95-4266-9D87-105657E4728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599" name="TextBox 6">
          <a:extLst>
            <a:ext uri="{FF2B5EF4-FFF2-40B4-BE49-F238E27FC236}">
              <a16:creationId xmlns:a16="http://schemas.microsoft.com/office/drawing/2014/main" id="{8BFF4DD1-818A-4427-A1C0-25CEFD0F84E3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0" name="TextBox 7">
          <a:extLst>
            <a:ext uri="{FF2B5EF4-FFF2-40B4-BE49-F238E27FC236}">
              <a16:creationId xmlns:a16="http://schemas.microsoft.com/office/drawing/2014/main" id="{2042684D-A544-4F95-B4EF-00CD6A5F5A1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1" name="TextBox 8">
          <a:extLst>
            <a:ext uri="{FF2B5EF4-FFF2-40B4-BE49-F238E27FC236}">
              <a16:creationId xmlns:a16="http://schemas.microsoft.com/office/drawing/2014/main" id="{5EA29F26-DD98-473C-BBAC-46D16F14C8C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2" name="TextBox 2">
          <a:extLst>
            <a:ext uri="{FF2B5EF4-FFF2-40B4-BE49-F238E27FC236}">
              <a16:creationId xmlns:a16="http://schemas.microsoft.com/office/drawing/2014/main" id="{203B6BC2-0986-449E-9A0E-05B7049B6162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3" name="TextBox 4">
          <a:extLst>
            <a:ext uri="{FF2B5EF4-FFF2-40B4-BE49-F238E27FC236}">
              <a16:creationId xmlns:a16="http://schemas.microsoft.com/office/drawing/2014/main" id="{BD138055-6CB6-4680-B558-E0587BCAD5F7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4" name="TextBox 5">
          <a:extLst>
            <a:ext uri="{FF2B5EF4-FFF2-40B4-BE49-F238E27FC236}">
              <a16:creationId xmlns:a16="http://schemas.microsoft.com/office/drawing/2014/main" id="{5452A3D5-8FD3-4668-B389-AC844AACDE36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5" name="TextBox 6">
          <a:extLst>
            <a:ext uri="{FF2B5EF4-FFF2-40B4-BE49-F238E27FC236}">
              <a16:creationId xmlns:a16="http://schemas.microsoft.com/office/drawing/2014/main" id="{B9162FD7-3203-41AD-8D29-35C5AE5BCF11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6" name="TextBox 7">
          <a:extLst>
            <a:ext uri="{FF2B5EF4-FFF2-40B4-BE49-F238E27FC236}">
              <a16:creationId xmlns:a16="http://schemas.microsoft.com/office/drawing/2014/main" id="{45BCC7A1-03E3-4240-9995-A40DFB7B3FCB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7" name="TextBox 8">
          <a:extLst>
            <a:ext uri="{FF2B5EF4-FFF2-40B4-BE49-F238E27FC236}">
              <a16:creationId xmlns:a16="http://schemas.microsoft.com/office/drawing/2014/main" id="{9B8907AA-11AB-42AD-97CA-7BBF37FAB277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8" name="TextBox 2">
          <a:extLst>
            <a:ext uri="{FF2B5EF4-FFF2-40B4-BE49-F238E27FC236}">
              <a16:creationId xmlns:a16="http://schemas.microsoft.com/office/drawing/2014/main" id="{E582476A-7140-483E-ACE4-5BF0E683CC06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09" name="TextBox 4">
          <a:extLst>
            <a:ext uri="{FF2B5EF4-FFF2-40B4-BE49-F238E27FC236}">
              <a16:creationId xmlns:a16="http://schemas.microsoft.com/office/drawing/2014/main" id="{6D7E13F2-49C5-4AD2-A46E-FD5C9AEB1EB2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0" name="TextBox 5">
          <a:extLst>
            <a:ext uri="{FF2B5EF4-FFF2-40B4-BE49-F238E27FC236}">
              <a16:creationId xmlns:a16="http://schemas.microsoft.com/office/drawing/2014/main" id="{270652F7-B88A-4671-9C4D-10FC67706C59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1" name="TextBox 6">
          <a:extLst>
            <a:ext uri="{FF2B5EF4-FFF2-40B4-BE49-F238E27FC236}">
              <a16:creationId xmlns:a16="http://schemas.microsoft.com/office/drawing/2014/main" id="{4460D77A-1D1C-421A-9E58-C8F6DD0B563D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2" name="TextBox 7">
          <a:extLst>
            <a:ext uri="{FF2B5EF4-FFF2-40B4-BE49-F238E27FC236}">
              <a16:creationId xmlns:a16="http://schemas.microsoft.com/office/drawing/2014/main" id="{168BFD6C-470C-4260-AFEE-45AF9B97DD06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3" name="TextBox 8">
          <a:extLst>
            <a:ext uri="{FF2B5EF4-FFF2-40B4-BE49-F238E27FC236}">
              <a16:creationId xmlns:a16="http://schemas.microsoft.com/office/drawing/2014/main" id="{EDC3FE06-11E7-4EFB-AB69-0274F60E5857}"/>
            </a:ext>
          </a:extLst>
        </xdr:cNvPr>
        <xdr:cNvSpPr txBox="1"/>
      </xdr:nvSpPr>
      <xdr:spPr>
        <a:xfrm flipH="1">
          <a:off x="1909762" y="5800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4" name="TextBox 2">
          <a:extLst>
            <a:ext uri="{FF2B5EF4-FFF2-40B4-BE49-F238E27FC236}">
              <a16:creationId xmlns:a16="http://schemas.microsoft.com/office/drawing/2014/main" id="{E5149212-B3B6-41B6-8324-1A2CE4F2B5C9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5" name="TextBox 4">
          <a:extLst>
            <a:ext uri="{FF2B5EF4-FFF2-40B4-BE49-F238E27FC236}">
              <a16:creationId xmlns:a16="http://schemas.microsoft.com/office/drawing/2014/main" id="{2BA8C948-F915-4A16-B109-FDDEF1291EB4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6" name="TextBox 5">
          <a:extLst>
            <a:ext uri="{FF2B5EF4-FFF2-40B4-BE49-F238E27FC236}">
              <a16:creationId xmlns:a16="http://schemas.microsoft.com/office/drawing/2014/main" id="{D69F41FB-B568-4E00-844B-7C03C95FF149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7" name="TextBox 6">
          <a:extLst>
            <a:ext uri="{FF2B5EF4-FFF2-40B4-BE49-F238E27FC236}">
              <a16:creationId xmlns:a16="http://schemas.microsoft.com/office/drawing/2014/main" id="{0933731B-3576-4B83-9FF4-A1BAC6909DE8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8" name="TextBox 7">
          <a:extLst>
            <a:ext uri="{FF2B5EF4-FFF2-40B4-BE49-F238E27FC236}">
              <a16:creationId xmlns:a16="http://schemas.microsoft.com/office/drawing/2014/main" id="{72FEC08B-CDD3-4BB8-8B8F-A2233B088CDE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19" name="TextBox 8">
          <a:extLst>
            <a:ext uri="{FF2B5EF4-FFF2-40B4-BE49-F238E27FC236}">
              <a16:creationId xmlns:a16="http://schemas.microsoft.com/office/drawing/2014/main" id="{957766C3-9A7F-4CAB-AA51-ADB81550813C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0" name="TextBox 2">
          <a:extLst>
            <a:ext uri="{FF2B5EF4-FFF2-40B4-BE49-F238E27FC236}">
              <a16:creationId xmlns:a16="http://schemas.microsoft.com/office/drawing/2014/main" id="{9E79C70C-5FD0-42BF-85BF-7DA24E95D2C4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1" name="TextBox 4">
          <a:extLst>
            <a:ext uri="{FF2B5EF4-FFF2-40B4-BE49-F238E27FC236}">
              <a16:creationId xmlns:a16="http://schemas.microsoft.com/office/drawing/2014/main" id="{EFE13699-702F-4A1D-B047-7B0B87BAC20D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2" name="TextBox 5">
          <a:extLst>
            <a:ext uri="{FF2B5EF4-FFF2-40B4-BE49-F238E27FC236}">
              <a16:creationId xmlns:a16="http://schemas.microsoft.com/office/drawing/2014/main" id="{63CB0249-FF96-4CDE-A1C7-857871AEFA4D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3" name="TextBox 6">
          <a:extLst>
            <a:ext uri="{FF2B5EF4-FFF2-40B4-BE49-F238E27FC236}">
              <a16:creationId xmlns:a16="http://schemas.microsoft.com/office/drawing/2014/main" id="{A61EB0B0-BECB-44EA-9903-33DC77DC02E5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4" name="TextBox 7">
          <a:extLst>
            <a:ext uri="{FF2B5EF4-FFF2-40B4-BE49-F238E27FC236}">
              <a16:creationId xmlns:a16="http://schemas.microsoft.com/office/drawing/2014/main" id="{2A138512-82EB-418E-ABB7-51E43F5BDE80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5" name="TextBox 8">
          <a:extLst>
            <a:ext uri="{FF2B5EF4-FFF2-40B4-BE49-F238E27FC236}">
              <a16:creationId xmlns:a16="http://schemas.microsoft.com/office/drawing/2014/main" id="{797EFA37-A140-45BE-88C2-2A1D80635613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6" name="TextBox 2">
          <a:extLst>
            <a:ext uri="{FF2B5EF4-FFF2-40B4-BE49-F238E27FC236}">
              <a16:creationId xmlns:a16="http://schemas.microsoft.com/office/drawing/2014/main" id="{43197CFF-EADE-4624-AA29-556AD0AE2A87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7" name="TextBox 4">
          <a:extLst>
            <a:ext uri="{FF2B5EF4-FFF2-40B4-BE49-F238E27FC236}">
              <a16:creationId xmlns:a16="http://schemas.microsoft.com/office/drawing/2014/main" id="{E8E710F4-13CD-4E7F-8E29-0FE28C1D7F9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8" name="TextBox 5">
          <a:extLst>
            <a:ext uri="{FF2B5EF4-FFF2-40B4-BE49-F238E27FC236}">
              <a16:creationId xmlns:a16="http://schemas.microsoft.com/office/drawing/2014/main" id="{35BE8F87-0F2F-40DE-984C-6CEFB9F12D09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29" name="TextBox 6">
          <a:extLst>
            <a:ext uri="{FF2B5EF4-FFF2-40B4-BE49-F238E27FC236}">
              <a16:creationId xmlns:a16="http://schemas.microsoft.com/office/drawing/2014/main" id="{ABBFBAB3-A3A4-4659-B980-58167D791FEE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0" name="TextBox 7">
          <a:extLst>
            <a:ext uri="{FF2B5EF4-FFF2-40B4-BE49-F238E27FC236}">
              <a16:creationId xmlns:a16="http://schemas.microsoft.com/office/drawing/2014/main" id="{580CAAC6-29F4-4A9C-8C1A-2CE50C37879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1" name="TextBox 8">
          <a:extLst>
            <a:ext uri="{FF2B5EF4-FFF2-40B4-BE49-F238E27FC236}">
              <a16:creationId xmlns:a16="http://schemas.microsoft.com/office/drawing/2014/main" id="{2F4F140C-7A6F-4C4A-9612-CFA9429B1B4F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2" name="TextBox 2">
          <a:extLst>
            <a:ext uri="{FF2B5EF4-FFF2-40B4-BE49-F238E27FC236}">
              <a16:creationId xmlns:a16="http://schemas.microsoft.com/office/drawing/2014/main" id="{A47F81F2-8DB3-406F-B19E-4DB4891DF91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3" name="TextBox 4">
          <a:extLst>
            <a:ext uri="{FF2B5EF4-FFF2-40B4-BE49-F238E27FC236}">
              <a16:creationId xmlns:a16="http://schemas.microsoft.com/office/drawing/2014/main" id="{CC59D451-C330-43B4-B213-3BF33AE42020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4" name="TextBox 5">
          <a:extLst>
            <a:ext uri="{FF2B5EF4-FFF2-40B4-BE49-F238E27FC236}">
              <a16:creationId xmlns:a16="http://schemas.microsoft.com/office/drawing/2014/main" id="{33BDCBA3-7105-4982-BEAE-AE63E648EBCA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5" name="TextBox 6">
          <a:extLst>
            <a:ext uri="{FF2B5EF4-FFF2-40B4-BE49-F238E27FC236}">
              <a16:creationId xmlns:a16="http://schemas.microsoft.com/office/drawing/2014/main" id="{F414D933-5A6A-4464-B996-379B6533F47C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6" name="TextBox 7">
          <a:extLst>
            <a:ext uri="{FF2B5EF4-FFF2-40B4-BE49-F238E27FC236}">
              <a16:creationId xmlns:a16="http://schemas.microsoft.com/office/drawing/2014/main" id="{C855A5B8-CE03-49A9-BEF4-C60B72FE6B28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7" name="TextBox 8">
          <a:extLst>
            <a:ext uri="{FF2B5EF4-FFF2-40B4-BE49-F238E27FC236}">
              <a16:creationId xmlns:a16="http://schemas.microsoft.com/office/drawing/2014/main" id="{295D24E9-4814-47E8-953C-6BFCA746982D}"/>
            </a:ext>
          </a:extLst>
        </xdr:cNvPr>
        <xdr:cNvSpPr txBox="1"/>
      </xdr:nvSpPr>
      <xdr:spPr>
        <a:xfrm flipH="1">
          <a:off x="1909762" y="6972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8" name="TextBox 2">
          <a:extLst>
            <a:ext uri="{FF2B5EF4-FFF2-40B4-BE49-F238E27FC236}">
              <a16:creationId xmlns:a16="http://schemas.microsoft.com/office/drawing/2014/main" id="{64227881-49F0-4722-928A-2EC75DEA318E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39" name="TextBox 4">
          <a:extLst>
            <a:ext uri="{FF2B5EF4-FFF2-40B4-BE49-F238E27FC236}">
              <a16:creationId xmlns:a16="http://schemas.microsoft.com/office/drawing/2014/main" id="{895D9914-D2A5-426D-86F5-0147236E8FBA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0" name="TextBox 5">
          <a:extLst>
            <a:ext uri="{FF2B5EF4-FFF2-40B4-BE49-F238E27FC236}">
              <a16:creationId xmlns:a16="http://schemas.microsoft.com/office/drawing/2014/main" id="{C639EE20-AEE1-4536-9C62-88D8C802E3F5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1" name="TextBox 6">
          <a:extLst>
            <a:ext uri="{FF2B5EF4-FFF2-40B4-BE49-F238E27FC236}">
              <a16:creationId xmlns:a16="http://schemas.microsoft.com/office/drawing/2014/main" id="{DB773777-9F66-45B9-9ACA-F5E95347A4F2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2" name="TextBox 7">
          <a:extLst>
            <a:ext uri="{FF2B5EF4-FFF2-40B4-BE49-F238E27FC236}">
              <a16:creationId xmlns:a16="http://schemas.microsoft.com/office/drawing/2014/main" id="{74680EBD-6F29-4149-99DA-58A7C06D91F0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3" name="TextBox 8">
          <a:extLst>
            <a:ext uri="{FF2B5EF4-FFF2-40B4-BE49-F238E27FC236}">
              <a16:creationId xmlns:a16="http://schemas.microsoft.com/office/drawing/2014/main" id="{5BC1B907-0158-4451-9D0A-D21087A99329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4" name="TextBox 2">
          <a:extLst>
            <a:ext uri="{FF2B5EF4-FFF2-40B4-BE49-F238E27FC236}">
              <a16:creationId xmlns:a16="http://schemas.microsoft.com/office/drawing/2014/main" id="{A4B177C0-0E25-43AF-B3BE-C2E14B437CA0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5" name="TextBox 4">
          <a:extLst>
            <a:ext uri="{FF2B5EF4-FFF2-40B4-BE49-F238E27FC236}">
              <a16:creationId xmlns:a16="http://schemas.microsoft.com/office/drawing/2014/main" id="{FC5F5AFE-74E1-4D56-B630-7E8877602098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6" name="TextBox 5">
          <a:extLst>
            <a:ext uri="{FF2B5EF4-FFF2-40B4-BE49-F238E27FC236}">
              <a16:creationId xmlns:a16="http://schemas.microsoft.com/office/drawing/2014/main" id="{D5DB760D-97F0-44E5-98AF-FEFC4EF449FD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7" name="TextBox 6">
          <a:extLst>
            <a:ext uri="{FF2B5EF4-FFF2-40B4-BE49-F238E27FC236}">
              <a16:creationId xmlns:a16="http://schemas.microsoft.com/office/drawing/2014/main" id="{AB94D676-718D-4A2F-9E8C-EE342DDED900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8" name="TextBox 7">
          <a:extLst>
            <a:ext uri="{FF2B5EF4-FFF2-40B4-BE49-F238E27FC236}">
              <a16:creationId xmlns:a16="http://schemas.microsoft.com/office/drawing/2014/main" id="{CD0BB70F-EFD0-4CC3-B769-55AAD35F88F5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49" name="TextBox 8">
          <a:extLst>
            <a:ext uri="{FF2B5EF4-FFF2-40B4-BE49-F238E27FC236}">
              <a16:creationId xmlns:a16="http://schemas.microsoft.com/office/drawing/2014/main" id="{2024BEC7-5202-48C0-A215-811D85C45170}"/>
            </a:ext>
          </a:extLst>
        </xdr:cNvPr>
        <xdr:cNvSpPr txBox="1"/>
      </xdr:nvSpPr>
      <xdr:spPr>
        <a:xfrm flipH="1">
          <a:off x="1909762" y="5019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0" name="TextBox 2">
          <a:extLst>
            <a:ext uri="{FF2B5EF4-FFF2-40B4-BE49-F238E27FC236}">
              <a16:creationId xmlns:a16="http://schemas.microsoft.com/office/drawing/2014/main" id="{18DCEF4C-5659-41D4-881E-9086F281C31E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1" name="TextBox 4">
          <a:extLst>
            <a:ext uri="{FF2B5EF4-FFF2-40B4-BE49-F238E27FC236}">
              <a16:creationId xmlns:a16="http://schemas.microsoft.com/office/drawing/2014/main" id="{BCB6FDF2-19CA-4FE5-BC35-B4875B541F17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2" name="TextBox 5">
          <a:extLst>
            <a:ext uri="{FF2B5EF4-FFF2-40B4-BE49-F238E27FC236}">
              <a16:creationId xmlns:a16="http://schemas.microsoft.com/office/drawing/2014/main" id="{17EC7556-5D3A-418F-8E6A-F2963889513E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3" name="TextBox 6">
          <a:extLst>
            <a:ext uri="{FF2B5EF4-FFF2-40B4-BE49-F238E27FC236}">
              <a16:creationId xmlns:a16="http://schemas.microsoft.com/office/drawing/2014/main" id="{F9600937-FEE7-428C-BC54-305130D53C23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4" name="TextBox 7">
          <a:extLst>
            <a:ext uri="{FF2B5EF4-FFF2-40B4-BE49-F238E27FC236}">
              <a16:creationId xmlns:a16="http://schemas.microsoft.com/office/drawing/2014/main" id="{D0FE1DD3-BD81-4DC0-8ECC-C3D9A67A5027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5" name="TextBox 8">
          <a:extLst>
            <a:ext uri="{FF2B5EF4-FFF2-40B4-BE49-F238E27FC236}">
              <a16:creationId xmlns:a16="http://schemas.microsoft.com/office/drawing/2014/main" id="{4463CD2C-B37C-427C-B386-B6117593A395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6" name="TextBox 2">
          <a:extLst>
            <a:ext uri="{FF2B5EF4-FFF2-40B4-BE49-F238E27FC236}">
              <a16:creationId xmlns:a16="http://schemas.microsoft.com/office/drawing/2014/main" id="{D572A24E-3F78-4F62-9ECE-AC181950DD64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7" name="TextBox 4">
          <a:extLst>
            <a:ext uri="{FF2B5EF4-FFF2-40B4-BE49-F238E27FC236}">
              <a16:creationId xmlns:a16="http://schemas.microsoft.com/office/drawing/2014/main" id="{2FFF6DCD-717E-4CBE-AE2C-55A2DFA51902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8" name="TextBox 5">
          <a:extLst>
            <a:ext uri="{FF2B5EF4-FFF2-40B4-BE49-F238E27FC236}">
              <a16:creationId xmlns:a16="http://schemas.microsoft.com/office/drawing/2014/main" id="{F7461E48-CBF1-4BEC-8097-BBD73352BC50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59" name="TextBox 6">
          <a:extLst>
            <a:ext uri="{FF2B5EF4-FFF2-40B4-BE49-F238E27FC236}">
              <a16:creationId xmlns:a16="http://schemas.microsoft.com/office/drawing/2014/main" id="{EAF14EBF-2292-497F-90BD-2F084DA099EF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0" name="TextBox 7">
          <a:extLst>
            <a:ext uri="{FF2B5EF4-FFF2-40B4-BE49-F238E27FC236}">
              <a16:creationId xmlns:a16="http://schemas.microsoft.com/office/drawing/2014/main" id="{0D6D6092-D383-4B13-AB37-45926F02E099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1" name="TextBox 8">
          <a:extLst>
            <a:ext uri="{FF2B5EF4-FFF2-40B4-BE49-F238E27FC236}">
              <a16:creationId xmlns:a16="http://schemas.microsoft.com/office/drawing/2014/main" id="{D6F1D220-53CF-461B-80F1-7BE86BAC45D6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2" name="TextBox 2">
          <a:extLst>
            <a:ext uri="{FF2B5EF4-FFF2-40B4-BE49-F238E27FC236}">
              <a16:creationId xmlns:a16="http://schemas.microsoft.com/office/drawing/2014/main" id="{39E26F3A-484D-4D67-8740-BCB752E97A43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3" name="TextBox 4">
          <a:extLst>
            <a:ext uri="{FF2B5EF4-FFF2-40B4-BE49-F238E27FC236}">
              <a16:creationId xmlns:a16="http://schemas.microsoft.com/office/drawing/2014/main" id="{D275CD83-DFF1-49D0-B470-1D779466AEE9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4" name="TextBox 5">
          <a:extLst>
            <a:ext uri="{FF2B5EF4-FFF2-40B4-BE49-F238E27FC236}">
              <a16:creationId xmlns:a16="http://schemas.microsoft.com/office/drawing/2014/main" id="{5F2434D0-53DA-4904-BF86-B5FF67E97B9E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5" name="TextBox 6">
          <a:extLst>
            <a:ext uri="{FF2B5EF4-FFF2-40B4-BE49-F238E27FC236}">
              <a16:creationId xmlns:a16="http://schemas.microsoft.com/office/drawing/2014/main" id="{1B27F65F-6497-4AB8-9A98-0138E9C25513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6" name="TextBox 7">
          <a:extLst>
            <a:ext uri="{FF2B5EF4-FFF2-40B4-BE49-F238E27FC236}">
              <a16:creationId xmlns:a16="http://schemas.microsoft.com/office/drawing/2014/main" id="{DB0A76B2-B76E-4BFA-89C9-DFDEE63E47B3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7" name="TextBox 8">
          <a:extLst>
            <a:ext uri="{FF2B5EF4-FFF2-40B4-BE49-F238E27FC236}">
              <a16:creationId xmlns:a16="http://schemas.microsoft.com/office/drawing/2014/main" id="{A900AE6D-1171-4728-BE0D-75A852112915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8" name="TextBox 2">
          <a:extLst>
            <a:ext uri="{FF2B5EF4-FFF2-40B4-BE49-F238E27FC236}">
              <a16:creationId xmlns:a16="http://schemas.microsoft.com/office/drawing/2014/main" id="{748DDAC1-CECA-4B7B-91AE-C23E59BC0B09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69" name="TextBox 4">
          <a:extLst>
            <a:ext uri="{FF2B5EF4-FFF2-40B4-BE49-F238E27FC236}">
              <a16:creationId xmlns:a16="http://schemas.microsoft.com/office/drawing/2014/main" id="{B9186902-D545-4D54-A6F5-449BBF7715C2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0" name="TextBox 5">
          <a:extLst>
            <a:ext uri="{FF2B5EF4-FFF2-40B4-BE49-F238E27FC236}">
              <a16:creationId xmlns:a16="http://schemas.microsoft.com/office/drawing/2014/main" id="{156D325A-6E95-481F-90D5-F1A24CBD2189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1" name="TextBox 6">
          <a:extLst>
            <a:ext uri="{FF2B5EF4-FFF2-40B4-BE49-F238E27FC236}">
              <a16:creationId xmlns:a16="http://schemas.microsoft.com/office/drawing/2014/main" id="{91D513A1-7AB3-433E-A02C-EF5B3E99649F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2" name="TextBox 7">
          <a:extLst>
            <a:ext uri="{FF2B5EF4-FFF2-40B4-BE49-F238E27FC236}">
              <a16:creationId xmlns:a16="http://schemas.microsoft.com/office/drawing/2014/main" id="{FC6E62ED-8A2F-4A0D-A4A8-AD6CBFE54162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3" name="TextBox 8">
          <a:extLst>
            <a:ext uri="{FF2B5EF4-FFF2-40B4-BE49-F238E27FC236}">
              <a16:creationId xmlns:a16="http://schemas.microsoft.com/office/drawing/2014/main" id="{F068E949-2319-4C7A-A2FF-2C54C92588A4}"/>
            </a:ext>
          </a:extLst>
        </xdr:cNvPr>
        <xdr:cNvSpPr txBox="1"/>
      </xdr:nvSpPr>
      <xdr:spPr>
        <a:xfrm flipH="1">
          <a:off x="1909762" y="3848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4" name="TextBox 2">
          <a:extLst>
            <a:ext uri="{FF2B5EF4-FFF2-40B4-BE49-F238E27FC236}">
              <a16:creationId xmlns:a16="http://schemas.microsoft.com/office/drawing/2014/main" id="{BBD561F9-DDE0-4197-8741-D0C15E75AD0F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5" name="TextBox 4">
          <a:extLst>
            <a:ext uri="{FF2B5EF4-FFF2-40B4-BE49-F238E27FC236}">
              <a16:creationId xmlns:a16="http://schemas.microsoft.com/office/drawing/2014/main" id="{37D3B35D-F77A-4245-B3E6-FA0298C866F5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6" name="TextBox 5">
          <a:extLst>
            <a:ext uri="{FF2B5EF4-FFF2-40B4-BE49-F238E27FC236}">
              <a16:creationId xmlns:a16="http://schemas.microsoft.com/office/drawing/2014/main" id="{90D05E99-2F1C-4035-BF4F-46019759B9B6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7" name="TextBox 6">
          <a:extLst>
            <a:ext uri="{FF2B5EF4-FFF2-40B4-BE49-F238E27FC236}">
              <a16:creationId xmlns:a16="http://schemas.microsoft.com/office/drawing/2014/main" id="{F4B04FAD-F9A0-4BD0-B365-6B2C90BDCAD6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8" name="TextBox 7">
          <a:extLst>
            <a:ext uri="{FF2B5EF4-FFF2-40B4-BE49-F238E27FC236}">
              <a16:creationId xmlns:a16="http://schemas.microsoft.com/office/drawing/2014/main" id="{89A48FE7-FC36-42F9-8322-CE840641B9E2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79" name="TextBox 8">
          <a:extLst>
            <a:ext uri="{FF2B5EF4-FFF2-40B4-BE49-F238E27FC236}">
              <a16:creationId xmlns:a16="http://schemas.microsoft.com/office/drawing/2014/main" id="{02D35719-FFAA-4F74-9553-B68E72BD5A9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0" name="TextBox 2">
          <a:extLst>
            <a:ext uri="{FF2B5EF4-FFF2-40B4-BE49-F238E27FC236}">
              <a16:creationId xmlns:a16="http://schemas.microsoft.com/office/drawing/2014/main" id="{9B4D19A7-F242-4DC7-9451-7FA69692100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1" name="TextBox 4">
          <a:extLst>
            <a:ext uri="{FF2B5EF4-FFF2-40B4-BE49-F238E27FC236}">
              <a16:creationId xmlns:a16="http://schemas.microsoft.com/office/drawing/2014/main" id="{DE4BBBC5-FC0F-4869-92B4-C555B8675A80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2" name="TextBox 5">
          <a:extLst>
            <a:ext uri="{FF2B5EF4-FFF2-40B4-BE49-F238E27FC236}">
              <a16:creationId xmlns:a16="http://schemas.microsoft.com/office/drawing/2014/main" id="{AE4E55F4-67C5-4BA6-9411-9DE1FB91B11D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3" name="TextBox 6">
          <a:extLst>
            <a:ext uri="{FF2B5EF4-FFF2-40B4-BE49-F238E27FC236}">
              <a16:creationId xmlns:a16="http://schemas.microsoft.com/office/drawing/2014/main" id="{B05D68CE-FB14-41DC-8A05-A8D0E6A4B408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4" name="TextBox 7">
          <a:extLst>
            <a:ext uri="{FF2B5EF4-FFF2-40B4-BE49-F238E27FC236}">
              <a16:creationId xmlns:a16="http://schemas.microsoft.com/office/drawing/2014/main" id="{8626C865-962F-4127-80BC-000C470C781C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5" name="TextBox 8">
          <a:extLst>
            <a:ext uri="{FF2B5EF4-FFF2-40B4-BE49-F238E27FC236}">
              <a16:creationId xmlns:a16="http://schemas.microsoft.com/office/drawing/2014/main" id="{EA094642-3852-4144-BF70-13220F2F0121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6" name="TextBox 2">
          <a:extLst>
            <a:ext uri="{FF2B5EF4-FFF2-40B4-BE49-F238E27FC236}">
              <a16:creationId xmlns:a16="http://schemas.microsoft.com/office/drawing/2014/main" id="{625982CC-CD6F-4D2E-B62D-3AF9A5B5B9B5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7" name="TextBox 4">
          <a:extLst>
            <a:ext uri="{FF2B5EF4-FFF2-40B4-BE49-F238E27FC236}">
              <a16:creationId xmlns:a16="http://schemas.microsoft.com/office/drawing/2014/main" id="{19CF1D24-4CDA-436E-9E3D-78B67D062205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8" name="TextBox 5">
          <a:extLst>
            <a:ext uri="{FF2B5EF4-FFF2-40B4-BE49-F238E27FC236}">
              <a16:creationId xmlns:a16="http://schemas.microsoft.com/office/drawing/2014/main" id="{BAAF1554-764D-45C6-B888-A7F165425DC2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89" name="TextBox 6">
          <a:extLst>
            <a:ext uri="{FF2B5EF4-FFF2-40B4-BE49-F238E27FC236}">
              <a16:creationId xmlns:a16="http://schemas.microsoft.com/office/drawing/2014/main" id="{9D6320C2-0122-4A50-86D8-1065DA9473A8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0" name="TextBox 7">
          <a:extLst>
            <a:ext uri="{FF2B5EF4-FFF2-40B4-BE49-F238E27FC236}">
              <a16:creationId xmlns:a16="http://schemas.microsoft.com/office/drawing/2014/main" id="{18B05354-8F4E-4BF0-8EBE-07D4D02294F7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1" name="TextBox 8">
          <a:extLst>
            <a:ext uri="{FF2B5EF4-FFF2-40B4-BE49-F238E27FC236}">
              <a16:creationId xmlns:a16="http://schemas.microsoft.com/office/drawing/2014/main" id="{217FD6CC-5B7E-425C-B63E-4B60E1F1A72C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2" name="TextBox 2">
          <a:extLst>
            <a:ext uri="{FF2B5EF4-FFF2-40B4-BE49-F238E27FC236}">
              <a16:creationId xmlns:a16="http://schemas.microsoft.com/office/drawing/2014/main" id="{47817D9A-A94E-4B46-B436-849D8B64E07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3" name="TextBox 4">
          <a:extLst>
            <a:ext uri="{FF2B5EF4-FFF2-40B4-BE49-F238E27FC236}">
              <a16:creationId xmlns:a16="http://schemas.microsoft.com/office/drawing/2014/main" id="{9B79F9F1-EA7B-48BC-ADC5-20081552C44C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4" name="TextBox 5">
          <a:extLst>
            <a:ext uri="{FF2B5EF4-FFF2-40B4-BE49-F238E27FC236}">
              <a16:creationId xmlns:a16="http://schemas.microsoft.com/office/drawing/2014/main" id="{81CEA98B-9CFB-465E-BE7F-0FAE3A12D9A3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5" name="TextBox 6">
          <a:extLst>
            <a:ext uri="{FF2B5EF4-FFF2-40B4-BE49-F238E27FC236}">
              <a16:creationId xmlns:a16="http://schemas.microsoft.com/office/drawing/2014/main" id="{627D00FF-F9D3-4188-BA14-23D3FEA7CE56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6" name="TextBox 7">
          <a:extLst>
            <a:ext uri="{FF2B5EF4-FFF2-40B4-BE49-F238E27FC236}">
              <a16:creationId xmlns:a16="http://schemas.microsoft.com/office/drawing/2014/main" id="{12F79700-5C98-4C5C-839A-F36A69D493E7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7" name="TextBox 8">
          <a:extLst>
            <a:ext uri="{FF2B5EF4-FFF2-40B4-BE49-F238E27FC236}">
              <a16:creationId xmlns:a16="http://schemas.microsoft.com/office/drawing/2014/main" id="{6AC94C93-9A0A-4345-83E2-4BFE1B3704F9}"/>
            </a:ext>
          </a:extLst>
        </xdr:cNvPr>
        <xdr:cNvSpPr txBox="1"/>
      </xdr:nvSpPr>
      <xdr:spPr>
        <a:xfrm flipH="1">
          <a:off x="1909762" y="10877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8" name="TextBox 2">
          <a:extLst>
            <a:ext uri="{FF2B5EF4-FFF2-40B4-BE49-F238E27FC236}">
              <a16:creationId xmlns:a16="http://schemas.microsoft.com/office/drawing/2014/main" id="{244C0229-0521-42F3-8F2D-D445F40DB9AC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699" name="TextBox 4">
          <a:extLst>
            <a:ext uri="{FF2B5EF4-FFF2-40B4-BE49-F238E27FC236}">
              <a16:creationId xmlns:a16="http://schemas.microsoft.com/office/drawing/2014/main" id="{2FE27FF1-EB56-4E4E-AED2-B8B13D23D3B7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0" name="TextBox 5">
          <a:extLst>
            <a:ext uri="{FF2B5EF4-FFF2-40B4-BE49-F238E27FC236}">
              <a16:creationId xmlns:a16="http://schemas.microsoft.com/office/drawing/2014/main" id="{BFA3892D-714C-4DA4-BD7C-F12697DD7B46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1" name="TextBox 6">
          <a:extLst>
            <a:ext uri="{FF2B5EF4-FFF2-40B4-BE49-F238E27FC236}">
              <a16:creationId xmlns:a16="http://schemas.microsoft.com/office/drawing/2014/main" id="{FB52AE25-1493-439D-B1F9-C42A89ACFF4A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2" name="TextBox 7">
          <a:extLst>
            <a:ext uri="{FF2B5EF4-FFF2-40B4-BE49-F238E27FC236}">
              <a16:creationId xmlns:a16="http://schemas.microsoft.com/office/drawing/2014/main" id="{83BE93E1-87C5-421B-A77F-92579EAA7A00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3" name="TextBox 8">
          <a:extLst>
            <a:ext uri="{FF2B5EF4-FFF2-40B4-BE49-F238E27FC236}">
              <a16:creationId xmlns:a16="http://schemas.microsoft.com/office/drawing/2014/main" id="{C86348C0-76E2-438E-81E1-590FBAB4D05A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4" name="TextBox 2">
          <a:extLst>
            <a:ext uri="{FF2B5EF4-FFF2-40B4-BE49-F238E27FC236}">
              <a16:creationId xmlns:a16="http://schemas.microsoft.com/office/drawing/2014/main" id="{4F5DCC40-48C2-4EF0-ADE0-1ACA0E177603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5" name="TextBox 4">
          <a:extLst>
            <a:ext uri="{FF2B5EF4-FFF2-40B4-BE49-F238E27FC236}">
              <a16:creationId xmlns:a16="http://schemas.microsoft.com/office/drawing/2014/main" id="{CCA09004-B549-4EA7-9AD3-4BCD55B4D91F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6" name="TextBox 5">
          <a:extLst>
            <a:ext uri="{FF2B5EF4-FFF2-40B4-BE49-F238E27FC236}">
              <a16:creationId xmlns:a16="http://schemas.microsoft.com/office/drawing/2014/main" id="{D4BE457A-14C5-433D-B932-FC097F05590E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7" name="TextBox 6">
          <a:extLst>
            <a:ext uri="{FF2B5EF4-FFF2-40B4-BE49-F238E27FC236}">
              <a16:creationId xmlns:a16="http://schemas.microsoft.com/office/drawing/2014/main" id="{A2768089-0137-4ECC-AFD5-A4E7B0CB5D7D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8" name="TextBox 7">
          <a:extLst>
            <a:ext uri="{FF2B5EF4-FFF2-40B4-BE49-F238E27FC236}">
              <a16:creationId xmlns:a16="http://schemas.microsoft.com/office/drawing/2014/main" id="{0F2EAD64-05E2-4CD3-831B-F7083FDCB058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09" name="TextBox 8">
          <a:extLst>
            <a:ext uri="{FF2B5EF4-FFF2-40B4-BE49-F238E27FC236}">
              <a16:creationId xmlns:a16="http://schemas.microsoft.com/office/drawing/2014/main" id="{65E11CA1-47D9-47D8-8B0E-0A9B505831C2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0" name="TextBox 2">
          <a:extLst>
            <a:ext uri="{FF2B5EF4-FFF2-40B4-BE49-F238E27FC236}">
              <a16:creationId xmlns:a16="http://schemas.microsoft.com/office/drawing/2014/main" id="{ACDE23D9-3EC0-46B6-B5A9-0E6B5AE06147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1" name="TextBox 4">
          <a:extLst>
            <a:ext uri="{FF2B5EF4-FFF2-40B4-BE49-F238E27FC236}">
              <a16:creationId xmlns:a16="http://schemas.microsoft.com/office/drawing/2014/main" id="{B0BC2193-5FD8-4037-8504-8A4EA2FCBF05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2" name="TextBox 5">
          <a:extLst>
            <a:ext uri="{FF2B5EF4-FFF2-40B4-BE49-F238E27FC236}">
              <a16:creationId xmlns:a16="http://schemas.microsoft.com/office/drawing/2014/main" id="{88C03173-DF20-42B2-AB2B-32A424D7F6B9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3" name="TextBox 6">
          <a:extLst>
            <a:ext uri="{FF2B5EF4-FFF2-40B4-BE49-F238E27FC236}">
              <a16:creationId xmlns:a16="http://schemas.microsoft.com/office/drawing/2014/main" id="{9B8EADCC-D9AA-4B73-8D25-F326E07D9017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4" name="TextBox 7">
          <a:extLst>
            <a:ext uri="{FF2B5EF4-FFF2-40B4-BE49-F238E27FC236}">
              <a16:creationId xmlns:a16="http://schemas.microsoft.com/office/drawing/2014/main" id="{AD6AC617-7E27-45AE-9CF0-939E1BD61071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5" name="TextBox 8">
          <a:extLst>
            <a:ext uri="{FF2B5EF4-FFF2-40B4-BE49-F238E27FC236}">
              <a16:creationId xmlns:a16="http://schemas.microsoft.com/office/drawing/2014/main" id="{2A7ADB6E-4679-4CA1-AEC0-4EFE15F82559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6" name="TextBox 2">
          <a:extLst>
            <a:ext uri="{FF2B5EF4-FFF2-40B4-BE49-F238E27FC236}">
              <a16:creationId xmlns:a16="http://schemas.microsoft.com/office/drawing/2014/main" id="{3D62465D-98F7-4A2E-95A4-070291C0D402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7" name="TextBox 4">
          <a:extLst>
            <a:ext uri="{FF2B5EF4-FFF2-40B4-BE49-F238E27FC236}">
              <a16:creationId xmlns:a16="http://schemas.microsoft.com/office/drawing/2014/main" id="{ACE9B7AE-7FB3-47D4-B89C-CDE0B7110BFF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8" name="TextBox 5">
          <a:extLst>
            <a:ext uri="{FF2B5EF4-FFF2-40B4-BE49-F238E27FC236}">
              <a16:creationId xmlns:a16="http://schemas.microsoft.com/office/drawing/2014/main" id="{8BCC920D-BDF9-45AD-B091-D3AB2FD87314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19" name="TextBox 6">
          <a:extLst>
            <a:ext uri="{FF2B5EF4-FFF2-40B4-BE49-F238E27FC236}">
              <a16:creationId xmlns:a16="http://schemas.microsoft.com/office/drawing/2014/main" id="{70FF0E9F-CFF1-4198-B7C7-EBEE009ABEBE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0" name="TextBox 7">
          <a:extLst>
            <a:ext uri="{FF2B5EF4-FFF2-40B4-BE49-F238E27FC236}">
              <a16:creationId xmlns:a16="http://schemas.microsoft.com/office/drawing/2014/main" id="{A31ECADF-E3C0-44A5-9ACE-2086FFFEC6D0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1" name="TextBox 8">
          <a:extLst>
            <a:ext uri="{FF2B5EF4-FFF2-40B4-BE49-F238E27FC236}">
              <a16:creationId xmlns:a16="http://schemas.microsoft.com/office/drawing/2014/main" id="{6929E27C-E901-4F55-BD8A-D7AF94BCE106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2" name="TextBox 2">
          <a:extLst>
            <a:ext uri="{FF2B5EF4-FFF2-40B4-BE49-F238E27FC236}">
              <a16:creationId xmlns:a16="http://schemas.microsoft.com/office/drawing/2014/main" id="{1D2A2ECF-5C58-430D-A152-6282CD18A344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3" name="TextBox 4">
          <a:extLst>
            <a:ext uri="{FF2B5EF4-FFF2-40B4-BE49-F238E27FC236}">
              <a16:creationId xmlns:a16="http://schemas.microsoft.com/office/drawing/2014/main" id="{1BFC5E66-E412-4EBD-80FF-524A0CDE34F1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4" name="TextBox 5">
          <a:extLst>
            <a:ext uri="{FF2B5EF4-FFF2-40B4-BE49-F238E27FC236}">
              <a16:creationId xmlns:a16="http://schemas.microsoft.com/office/drawing/2014/main" id="{130CF9BF-B547-4BD4-9BFB-9A33AFB18A91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5" name="TextBox 6">
          <a:extLst>
            <a:ext uri="{FF2B5EF4-FFF2-40B4-BE49-F238E27FC236}">
              <a16:creationId xmlns:a16="http://schemas.microsoft.com/office/drawing/2014/main" id="{487D064A-34A1-4747-856F-7FA17D4BE091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6" name="TextBox 7">
          <a:extLst>
            <a:ext uri="{FF2B5EF4-FFF2-40B4-BE49-F238E27FC236}">
              <a16:creationId xmlns:a16="http://schemas.microsoft.com/office/drawing/2014/main" id="{14807835-9ECF-4D6C-9D1F-76D5522C765E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7" name="TextBox 8">
          <a:extLst>
            <a:ext uri="{FF2B5EF4-FFF2-40B4-BE49-F238E27FC236}">
              <a16:creationId xmlns:a16="http://schemas.microsoft.com/office/drawing/2014/main" id="{7A21F13B-87C5-4BF8-AAC6-019787C421F3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8" name="TextBox 2">
          <a:extLst>
            <a:ext uri="{FF2B5EF4-FFF2-40B4-BE49-F238E27FC236}">
              <a16:creationId xmlns:a16="http://schemas.microsoft.com/office/drawing/2014/main" id="{C68596F9-5883-455F-9BE9-5084A07D0EB4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29" name="TextBox 4">
          <a:extLst>
            <a:ext uri="{FF2B5EF4-FFF2-40B4-BE49-F238E27FC236}">
              <a16:creationId xmlns:a16="http://schemas.microsoft.com/office/drawing/2014/main" id="{D47449CB-6BF3-4FE4-B2BF-987379FCC1D0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0" name="TextBox 5">
          <a:extLst>
            <a:ext uri="{FF2B5EF4-FFF2-40B4-BE49-F238E27FC236}">
              <a16:creationId xmlns:a16="http://schemas.microsoft.com/office/drawing/2014/main" id="{AE245366-7D90-451F-AB5E-A82C0A5A1EC9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1" name="TextBox 6">
          <a:extLst>
            <a:ext uri="{FF2B5EF4-FFF2-40B4-BE49-F238E27FC236}">
              <a16:creationId xmlns:a16="http://schemas.microsoft.com/office/drawing/2014/main" id="{010107F8-7F23-49CB-B26D-3B379E90A630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2" name="TextBox 7">
          <a:extLst>
            <a:ext uri="{FF2B5EF4-FFF2-40B4-BE49-F238E27FC236}">
              <a16:creationId xmlns:a16="http://schemas.microsoft.com/office/drawing/2014/main" id="{6F6C91E4-9231-46D0-A871-B6F4C0DA1CDC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3" name="TextBox 8">
          <a:extLst>
            <a:ext uri="{FF2B5EF4-FFF2-40B4-BE49-F238E27FC236}">
              <a16:creationId xmlns:a16="http://schemas.microsoft.com/office/drawing/2014/main" id="{B8EAE63F-A8FE-4B7A-B68D-02E86CE69380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4" name="TextBox 2">
          <a:extLst>
            <a:ext uri="{FF2B5EF4-FFF2-40B4-BE49-F238E27FC236}">
              <a16:creationId xmlns:a16="http://schemas.microsoft.com/office/drawing/2014/main" id="{CE04404D-8C04-4567-B74C-2DC96451B1C7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5" name="TextBox 4">
          <a:extLst>
            <a:ext uri="{FF2B5EF4-FFF2-40B4-BE49-F238E27FC236}">
              <a16:creationId xmlns:a16="http://schemas.microsoft.com/office/drawing/2014/main" id="{0CF7A2E3-70C9-46CE-8EFB-60C759E3632E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6" name="TextBox 5">
          <a:extLst>
            <a:ext uri="{FF2B5EF4-FFF2-40B4-BE49-F238E27FC236}">
              <a16:creationId xmlns:a16="http://schemas.microsoft.com/office/drawing/2014/main" id="{FB067B7B-5A16-41E1-AC2C-06DA437AF7FD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7" name="TextBox 6">
          <a:extLst>
            <a:ext uri="{FF2B5EF4-FFF2-40B4-BE49-F238E27FC236}">
              <a16:creationId xmlns:a16="http://schemas.microsoft.com/office/drawing/2014/main" id="{7262F906-B1D9-40C5-8C61-7A45CAF815B3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8" name="TextBox 7">
          <a:extLst>
            <a:ext uri="{FF2B5EF4-FFF2-40B4-BE49-F238E27FC236}">
              <a16:creationId xmlns:a16="http://schemas.microsoft.com/office/drawing/2014/main" id="{38156BFD-8846-4E34-9C91-FFA66A308985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39" name="TextBox 8">
          <a:extLst>
            <a:ext uri="{FF2B5EF4-FFF2-40B4-BE49-F238E27FC236}">
              <a16:creationId xmlns:a16="http://schemas.microsoft.com/office/drawing/2014/main" id="{DB15C6D0-1553-4909-A140-3FE8274F41C2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0" name="TextBox 2">
          <a:extLst>
            <a:ext uri="{FF2B5EF4-FFF2-40B4-BE49-F238E27FC236}">
              <a16:creationId xmlns:a16="http://schemas.microsoft.com/office/drawing/2014/main" id="{A5D5D5FB-904B-48AA-A724-650CD7DC1E94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1" name="TextBox 4">
          <a:extLst>
            <a:ext uri="{FF2B5EF4-FFF2-40B4-BE49-F238E27FC236}">
              <a16:creationId xmlns:a16="http://schemas.microsoft.com/office/drawing/2014/main" id="{680BD2BA-419C-4B5C-8FC4-7834268D21AB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2" name="TextBox 5">
          <a:extLst>
            <a:ext uri="{FF2B5EF4-FFF2-40B4-BE49-F238E27FC236}">
              <a16:creationId xmlns:a16="http://schemas.microsoft.com/office/drawing/2014/main" id="{8368D0A6-384D-453C-B019-9A7C38BFA483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3" name="TextBox 6">
          <a:extLst>
            <a:ext uri="{FF2B5EF4-FFF2-40B4-BE49-F238E27FC236}">
              <a16:creationId xmlns:a16="http://schemas.microsoft.com/office/drawing/2014/main" id="{76BAB1C9-0943-44E4-9805-745BD0831714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4" name="TextBox 7">
          <a:extLst>
            <a:ext uri="{FF2B5EF4-FFF2-40B4-BE49-F238E27FC236}">
              <a16:creationId xmlns:a16="http://schemas.microsoft.com/office/drawing/2014/main" id="{17820AE8-2723-41C0-9800-3BFE84499D55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5" name="TextBox 8">
          <a:extLst>
            <a:ext uri="{FF2B5EF4-FFF2-40B4-BE49-F238E27FC236}">
              <a16:creationId xmlns:a16="http://schemas.microsoft.com/office/drawing/2014/main" id="{71FD81E5-5107-454F-A0F3-A622DE7F5F48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6" name="TextBox 2">
          <a:extLst>
            <a:ext uri="{FF2B5EF4-FFF2-40B4-BE49-F238E27FC236}">
              <a16:creationId xmlns:a16="http://schemas.microsoft.com/office/drawing/2014/main" id="{EA62FC5A-B38C-49D1-8A1D-56B3708B5A38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7" name="TextBox 4">
          <a:extLst>
            <a:ext uri="{FF2B5EF4-FFF2-40B4-BE49-F238E27FC236}">
              <a16:creationId xmlns:a16="http://schemas.microsoft.com/office/drawing/2014/main" id="{C036DC2F-54B4-4617-808A-D444FB128003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8" name="TextBox 5">
          <a:extLst>
            <a:ext uri="{FF2B5EF4-FFF2-40B4-BE49-F238E27FC236}">
              <a16:creationId xmlns:a16="http://schemas.microsoft.com/office/drawing/2014/main" id="{AA755B42-9F14-4AB0-B7C6-5D36BED387FF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49" name="TextBox 6">
          <a:extLst>
            <a:ext uri="{FF2B5EF4-FFF2-40B4-BE49-F238E27FC236}">
              <a16:creationId xmlns:a16="http://schemas.microsoft.com/office/drawing/2014/main" id="{D76CD8D8-35C3-4917-B57F-CA38147C629F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0" name="TextBox 7">
          <a:extLst>
            <a:ext uri="{FF2B5EF4-FFF2-40B4-BE49-F238E27FC236}">
              <a16:creationId xmlns:a16="http://schemas.microsoft.com/office/drawing/2014/main" id="{4620BDA7-05E5-45B0-B80F-E8A8B045C40D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1" name="TextBox 8">
          <a:extLst>
            <a:ext uri="{FF2B5EF4-FFF2-40B4-BE49-F238E27FC236}">
              <a16:creationId xmlns:a16="http://schemas.microsoft.com/office/drawing/2014/main" id="{71A9CA02-D466-4C95-B8FE-1F0F8FBCA836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2" name="TextBox 2">
          <a:extLst>
            <a:ext uri="{FF2B5EF4-FFF2-40B4-BE49-F238E27FC236}">
              <a16:creationId xmlns:a16="http://schemas.microsoft.com/office/drawing/2014/main" id="{2B126479-B869-4775-A3FF-7DFD5D74F566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3" name="TextBox 4">
          <a:extLst>
            <a:ext uri="{FF2B5EF4-FFF2-40B4-BE49-F238E27FC236}">
              <a16:creationId xmlns:a16="http://schemas.microsoft.com/office/drawing/2014/main" id="{3AE6F8F0-3EBE-4499-B14A-4B9BF4D03CE7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4" name="TextBox 5">
          <a:extLst>
            <a:ext uri="{FF2B5EF4-FFF2-40B4-BE49-F238E27FC236}">
              <a16:creationId xmlns:a16="http://schemas.microsoft.com/office/drawing/2014/main" id="{5A310153-F5AF-4A94-B56D-4F0CFEBE91D3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5" name="TextBox 6">
          <a:extLst>
            <a:ext uri="{FF2B5EF4-FFF2-40B4-BE49-F238E27FC236}">
              <a16:creationId xmlns:a16="http://schemas.microsoft.com/office/drawing/2014/main" id="{618224B3-CAAA-4652-B74F-4EFC334F8DA0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6" name="TextBox 7">
          <a:extLst>
            <a:ext uri="{FF2B5EF4-FFF2-40B4-BE49-F238E27FC236}">
              <a16:creationId xmlns:a16="http://schemas.microsoft.com/office/drawing/2014/main" id="{CF3821C3-BA88-410A-B34D-428F8659276B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7" name="TextBox 8">
          <a:extLst>
            <a:ext uri="{FF2B5EF4-FFF2-40B4-BE49-F238E27FC236}">
              <a16:creationId xmlns:a16="http://schemas.microsoft.com/office/drawing/2014/main" id="{5D295766-6825-4526-B9BA-D6641B125A93}"/>
            </a:ext>
          </a:extLst>
        </xdr:cNvPr>
        <xdr:cNvSpPr txBox="1"/>
      </xdr:nvSpPr>
      <xdr:spPr>
        <a:xfrm flipH="1">
          <a:off x="1909762" y="11268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8" name="TextBox 2">
          <a:extLst>
            <a:ext uri="{FF2B5EF4-FFF2-40B4-BE49-F238E27FC236}">
              <a16:creationId xmlns:a16="http://schemas.microsoft.com/office/drawing/2014/main" id="{2208216C-22BC-4E9E-ADB9-71139CC289C5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59" name="TextBox 4">
          <a:extLst>
            <a:ext uri="{FF2B5EF4-FFF2-40B4-BE49-F238E27FC236}">
              <a16:creationId xmlns:a16="http://schemas.microsoft.com/office/drawing/2014/main" id="{5E7B2A5C-BED3-45EF-83A4-6B1A3E662ADD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0" name="TextBox 5">
          <a:extLst>
            <a:ext uri="{FF2B5EF4-FFF2-40B4-BE49-F238E27FC236}">
              <a16:creationId xmlns:a16="http://schemas.microsoft.com/office/drawing/2014/main" id="{05AA95CC-F341-4FEE-9DDF-D6EA18F326C7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1" name="TextBox 6">
          <a:extLst>
            <a:ext uri="{FF2B5EF4-FFF2-40B4-BE49-F238E27FC236}">
              <a16:creationId xmlns:a16="http://schemas.microsoft.com/office/drawing/2014/main" id="{C76EECBC-4AC4-442F-8EC3-9A429D5F959D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2" name="TextBox 7">
          <a:extLst>
            <a:ext uri="{FF2B5EF4-FFF2-40B4-BE49-F238E27FC236}">
              <a16:creationId xmlns:a16="http://schemas.microsoft.com/office/drawing/2014/main" id="{1ADA50E2-4769-4BDA-B27D-9D25AEEA8EDD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3" name="TextBox 8">
          <a:extLst>
            <a:ext uri="{FF2B5EF4-FFF2-40B4-BE49-F238E27FC236}">
              <a16:creationId xmlns:a16="http://schemas.microsoft.com/office/drawing/2014/main" id="{CA461DA1-A278-4E13-9EAA-F68EA55B5D10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4" name="TextBox 2">
          <a:extLst>
            <a:ext uri="{FF2B5EF4-FFF2-40B4-BE49-F238E27FC236}">
              <a16:creationId xmlns:a16="http://schemas.microsoft.com/office/drawing/2014/main" id="{6A67B55A-490F-4A32-90E0-548B70733E0D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5" name="TextBox 4">
          <a:extLst>
            <a:ext uri="{FF2B5EF4-FFF2-40B4-BE49-F238E27FC236}">
              <a16:creationId xmlns:a16="http://schemas.microsoft.com/office/drawing/2014/main" id="{AB8C46A9-E78D-4553-88A1-2D4A6CC78538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6" name="TextBox 5">
          <a:extLst>
            <a:ext uri="{FF2B5EF4-FFF2-40B4-BE49-F238E27FC236}">
              <a16:creationId xmlns:a16="http://schemas.microsoft.com/office/drawing/2014/main" id="{2C5770EF-922A-406D-A558-D941630DA099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7" name="TextBox 6">
          <a:extLst>
            <a:ext uri="{FF2B5EF4-FFF2-40B4-BE49-F238E27FC236}">
              <a16:creationId xmlns:a16="http://schemas.microsoft.com/office/drawing/2014/main" id="{958C31A1-F181-483B-9365-F0B36BD6AC53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8" name="TextBox 7">
          <a:extLst>
            <a:ext uri="{FF2B5EF4-FFF2-40B4-BE49-F238E27FC236}">
              <a16:creationId xmlns:a16="http://schemas.microsoft.com/office/drawing/2014/main" id="{E27AC4E2-9209-4708-A820-E31DF9E93189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69" name="TextBox 8">
          <a:extLst>
            <a:ext uri="{FF2B5EF4-FFF2-40B4-BE49-F238E27FC236}">
              <a16:creationId xmlns:a16="http://schemas.microsoft.com/office/drawing/2014/main" id="{E54CB0D7-E88F-4B6E-817F-7C835654CAD4}"/>
            </a:ext>
          </a:extLst>
        </xdr:cNvPr>
        <xdr:cNvSpPr txBox="1"/>
      </xdr:nvSpPr>
      <xdr:spPr>
        <a:xfrm flipH="1">
          <a:off x="1909762" y="12049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0" name="TextBox 2">
          <a:extLst>
            <a:ext uri="{FF2B5EF4-FFF2-40B4-BE49-F238E27FC236}">
              <a16:creationId xmlns:a16="http://schemas.microsoft.com/office/drawing/2014/main" id="{EC9F46C0-5DA9-4AD3-A37F-4F67008502FC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1" name="TextBox 4">
          <a:extLst>
            <a:ext uri="{FF2B5EF4-FFF2-40B4-BE49-F238E27FC236}">
              <a16:creationId xmlns:a16="http://schemas.microsoft.com/office/drawing/2014/main" id="{567DA4D4-A439-4608-90A3-256CC34499BD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2" name="TextBox 5">
          <a:extLst>
            <a:ext uri="{FF2B5EF4-FFF2-40B4-BE49-F238E27FC236}">
              <a16:creationId xmlns:a16="http://schemas.microsoft.com/office/drawing/2014/main" id="{D69FF175-D9DB-41F0-886A-B44F56237B5E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3" name="TextBox 6">
          <a:extLst>
            <a:ext uri="{FF2B5EF4-FFF2-40B4-BE49-F238E27FC236}">
              <a16:creationId xmlns:a16="http://schemas.microsoft.com/office/drawing/2014/main" id="{842C111A-3C6A-4786-A060-3E870C38313D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4" name="TextBox 7">
          <a:extLst>
            <a:ext uri="{FF2B5EF4-FFF2-40B4-BE49-F238E27FC236}">
              <a16:creationId xmlns:a16="http://schemas.microsoft.com/office/drawing/2014/main" id="{5C835722-940A-4521-9252-D24CBF8A1F99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5" name="TextBox 8">
          <a:extLst>
            <a:ext uri="{FF2B5EF4-FFF2-40B4-BE49-F238E27FC236}">
              <a16:creationId xmlns:a16="http://schemas.microsoft.com/office/drawing/2014/main" id="{946B6E0A-9D39-4CF8-8F84-822ACD48E91B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6" name="TextBox 2">
          <a:extLst>
            <a:ext uri="{FF2B5EF4-FFF2-40B4-BE49-F238E27FC236}">
              <a16:creationId xmlns:a16="http://schemas.microsoft.com/office/drawing/2014/main" id="{E8D9263E-ECEF-430D-90AB-33DB5EF391D4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7" name="TextBox 4">
          <a:extLst>
            <a:ext uri="{FF2B5EF4-FFF2-40B4-BE49-F238E27FC236}">
              <a16:creationId xmlns:a16="http://schemas.microsoft.com/office/drawing/2014/main" id="{8B446EFD-4663-4760-AC45-A4BAEA5CBB92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8" name="TextBox 5">
          <a:extLst>
            <a:ext uri="{FF2B5EF4-FFF2-40B4-BE49-F238E27FC236}">
              <a16:creationId xmlns:a16="http://schemas.microsoft.com/office/drawing/2014/main" id="{D9E9B519-CD04-4587-9454-981BC82C5846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79" name="TextBox 6">
          <a:extLst>
            <a:ext uri="{FF2B5EF4-FFF2-40B4-BE49-F238E27FC236}">
              <a16:creationId xmlns:a16="http://schemas.microsoft.com/office/drawing/2014/main" id="{2D5EBC98-D4B3-4673-92EB-BA5C9796384A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0" name="TextBox 7">
          <a:extLst>
            <a:ext uri="{FF2B5EF4-FFF2-40B4-BE49-F238E27FC236}">
              <a16:creationId xmlns:a16="http://schemas.microsoft.com/office/drawing/2014/main" id="{681CEF9C-9D10-47D5-A9B6-3230C4A1D8CA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1" name="TextBox 8">
          <a:extLst>
            <a:ext uri="{FF2B5EF4-FFF2-40B4-BE49-F238E27FC236}">
              <a16:creationId xmlns:a16="http://schemas.microsoft.com/office/drawing/2014/main" id="{0523A0AD-541E-45D5-BB83-0AD5D8EE763D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2" name="TextBox 2">
          <a:extLst>
            <a:ext uri="{FF2B5EF4-FFF2-40B4-BE49-F238E27FC236}">
              <a16:creationId xmlns:a16="http://schemas.microsoft.com/office/drawing/2014/main" id="{E401D1AC-3343-47AB-9C21-B8365A0885FF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3" name="TextBox 4">
          <a:extLst>
            <a:ext uri="{FF2B5EF4-FFF2-40B4-BE49-F238E27FC236}">
              <a16:creationId xmlns:a16="http://schemas.microsoft.com/office/drawing/2014/main" id="{6C49A54D-E52E-4243-BA74-D2EAEA92B810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4" name="TextBox 5">
          <a:extLst>
            <a:ext uri="{FF2B5EF4-FFF2-40B4-BE49-F238E27FC236}">
              <a16:creationId xmlns:a16="http://schemas.microsoft.com/office/drawing/2014/main" id="{098E91B9-2E3A-4CF3-9025-EABFF89B3F65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5" name="TextBox 6">
          <a:extLst>
            <a:ext uri="{FF2B5EF4-FFF2-40B4-BE49-F238E27FC236}">
              <a16:creationId xmlns:a16="http://schemas.microsoft.com/office/drawing/2014/main" id="{5A1EDF9E-81A6-4C8D-81D2-B0735452808F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6" name="TextBox 7">
          <a:extLst>
            <a:ext uri="{FF2B5EF4-FFF2-40B4-BE49-F238E27FC236}">
              <a16:creationId xmlns:a16="http://schemas.microsoft.com/office/drawing/2014/main" id="{C5A44163-7B77-41BB-ADB7-A63057928340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7" name="TextBox 8">
          <a:extLst>
            <a:ext uri="{FF2B5EF4-FFF2-40B4-BE49-F238E27FC236}">
              <a16:creationId xmlns:a16="http://schemas.microsoft.com/office/drawing/2014/main" id="{46665B5F-508A-4947-8098-586E2FE5A5E0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8" name="TextBox 2">
          <a:extLst>
            <a:ext uri="{FF2B5EF4-FFF2-40B4-BE49-F238E27FC236}">
              <a16:creationId xmlns:a16="http://schemas.microsoft.com/office/drawing/2014/main" id="{EBD89D25-3A54-46AC-847B-30F507248311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89" name="TextBox 4">
          <a:extLst>
            <a:ext uri="{FF2B5EF4-FFF2-40B4-BE49-F238E27FC236}">
              <a16:creationId xmlns:a16="http://schemas.microsoft.com/office/drawing/2014/main" id="{21C58D66-EA45-4683-A390-77ED1235DA36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0" name="TextBox 5">
          <a:extLst>
            <a:ext uri="{FF2B5EF4-FFF2-40B4-BE49-F238E27FC236}">
              <a16:creationId xmlns:a16="http://schemas.microsoft.com/office/drawing/2014/main" id="{3EF164BF-742C-4703-A988-ACB189C2FD14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1" name="TextBox 6">
          <a:extLst>
            <a:ext uri="{FF2B5EF4-FFF2-40B4-BE49-F238E27FC236}">
              <a16:creationId xmlns:a16="http://schemas.microsoft.com/office/drawing/2014/main" id="{E601E14A-3517-48DD-9FEE-3DE41D301846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2" name="TextBox 7">
          <a:extLst>
            <a:ext uri="{FF2B5EF4-FFF2-40B4-BE49-F238E27FC236}">
              <a16:creationId xmlns:a16="http://schemas.microsoft.com/office/drawing/2014/main" id="{84434AA2-AF5F-4BB7-9C42-D8E3D3DD6B22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3" name="TextBox 8">
          <a:extLst>
            <a:ext uri="{FF2B5EF4-FFF2-40B4-BE49-F238E27FC236}">
              <a16:creationId xmlns:a16="http://schemas.microsoft.com/office/drawing/2014/main" id="{E937861A-D2F5-4005-8770-D2B212FFBB32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4" name="TextBox 2">
          <a:extLst>
            <a:ext uri="{FF2B5EF4-FFF2-40B4-BE49-F238E27FC236}">
              <a16:creationId xmlns:a16="http://schemas.microsoft.com/office/drawing/2014/main" id="{D63F71A6-4DE9-4CD8-82CA-58FE76F3E195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5" name="TextBox 4">
          <a:extLst>
            <a:ext uri="{FF2B5EF4-FFF2-40B4-BE49-F238E27FC236}">
              <a16:creationId xmlns:a16="http://schemas.microsoft.com/office/drawing/2014/main" id="{3E651BF2-7C07-459E-A1A7-238BA8CEE7D6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6" name="TextBox 5">
          <a:extLst>
            <a:ext uri="{FF2B5EF4-FFF2-40B4-BE49-F238E27FC236}">
              <a16:creationId xmlns:a16="http://schemas.microsoft.com/office/drawing/2014/main" id="{F571783C-36DB-4F42-A2DF-6CC8E8618676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7" name="TextBox 6">
          <a:extLst>
            <a:ext uri="{FF2B5EF4-FFF2-40B4-BE49-F238E27FC236}">
              <a16:creationId xmlns:a16="http://schemas.microsoft.com/office/drawing/2014/main" id="{556A5081-11EF-4F6D-ACC9-44C84B70FA9F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8" name="TextBox 7">
          <a:extLst>
            <a:ext uri="{FF2B5EF4-FFF2-40B4-BE49-F238E27FC236}">
              <a16:creationId xmlns:a16="http://schemas.microsoft.com/office/drawing/2014/main" id="{2C5E3F73-73BD-4B06-8D2A-D6067CD67619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799" name="TextBox 8">
          <a:extLst>
            <a:ext uri="{FF2B5EF4-FFF2-40B4-BE49-F238E27FC236}">
              <a16:creationId xmlns:a16="http://schemas.microsoft.com/office/drawing/2014/main" id="{5A53545C-DD44-4406-B131-170D15A18EC7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0" name="TextBox 2">
          <a:extLst>
            <a:ext uri="{FF2B5EF4-FFF2-40B4-BE49-F238E27FC236}">
              <a16:creationId xmlns:a16="http://schemas.microsoft.com/office/drawing/2014/main" id="{FA59D656-BCA9-4765-87DF-6F6C4B6057A8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1" name="TextBox 4">
          <a:extLst>
            <a:ext uri="{FF2B5EF4-FFF2-40B4-BE49-F238E27FC236}">
              <a16:creationId xmlns:a16="http://schemas.microsoft.com/office/drawing/2014/main" id="{CE424531-907C-4CB9-8A57-C7688FF1166B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2" name="TextBox 5">
          <a:extLst>
            <a:ext uri="{FF2B5EF4-FFF2-40B4-BE49-F238E27FC236}">
              <a16:creationId xmlns:a16="http://schemas.microsoft.com/office/drawing/2014/main" id="{87D29F6F-019F-4772-9A33-1766B4B2CF3F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3" name="TextBox 6">
          <a:extLst>
            <a:ext uri="{FF2B5EF4-FFF2-40B4-BE49-F238E27FC236}">
              <a16:creationId xmlns:a16="http://schemas.microsoft.com/office/drawing/2014/main" id="{CB566899-E1C7-4301-9C72-EDE313DEE240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4" name="TextBox 7">
          <a:extLst>
            <a:ext uri="{FF2B5EF4-FFF2-40B4-BE49-F238E27FC236}">
              <a16:creationId xmlns:a16="http://schemas.microsoft.com/office/drawing/2014/main" id="{7FB7F02E-70A4-4047-8607-79C34443E996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5" name="TextBox 8">
          <a:extLst>
            <a:ext uri="{FF2B5EF4-FFF2-40B4-BE49-F238E27FC236}">
              <a16:creationId xmlns:a16="http://schemas.microsoft.com/office/drawing/2014/main" id="{A41307D3-6AC3-4D47-A42F-F911221B5F20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6" name="TextBox 2">
          <a:extLst>
            <a:ext uri="{FF2B5EF4-FFF2-40B4-BE49-F238E27FC236}">
              <a16:creationId xmlns:a16="http://schemas.microsoft.com/office/drawing/2014/main" id="{B8DE322E-1EC7-445B-9784-C208F470AA2F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7" name="TextBox 4">
          <a:extLst>
            <a:ext uri="{FF2B5EF4-FFF2-40B4-BE49-F238E27FC236}">
              <a16:creationId xmlns:a16="http://schemas.microsoft.com/office/drawing/2014/main" id="{76F90E32-5C25-4278-A1F9-ADEFC02DFBD8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8" name="TextBox 5">
          <a:extLst>
            <a:ext uri="{FF2B5EF4-FFF2-40B4-BE49-F238E27FC236}">
              <a16:creationId xmlns:a16="http://schemas.microsoft.com/office/drawing/2014/main" id="{0464A12B-99C2-48F3-BF40-B07E430098A7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09" name="TextBox 6">
          <a:extLst>
            <a:ext uri="{FF2B5EF4-FFF2-40B4-BE49-F238E27FC236}">
              <a16:creationId xmlns:a16="http://schemas.microsoft.com/office/drawing/2014/main" id="{D74A070E-0FC5-4F89-98D1-60F6A280C08C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0" name="TextBox 7">
          <a:extLst>
            <a:ext uri="{FF2B5EF4-FFF2-40B4-BE49-F238E27FC236}">
              <a16:creationId xmlns:a16="http://schemas.microsoft.com/office/drawing/2014/main" id="{569A5FEE-E6FE-4889-949A-B51525D2FA02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1" name="TextBox 8">
          <a:extLst>
            <a:ext uri="{FF2B5EF4-FFF2-40B4-BE49-F238E27FC236}">
              <a16:creationId xmlns:a16="http://schemas.microsoft.com/office/drawing/2014/main" id="{230A2226-FD93-47E9-9AF5-F05E669A539D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2" name="TextBox 2">
          <a:extLst>
            <a:ext uri="{FF2B5EF4-FFF2-40B4-BE49-F238E27FC236}">
              <a16:creationId xmlns:a16="http://schemas.microsoft.com/office/drawing/2014/main" id="{7EC5D095-CE1A-4234-84ED-5F9542DF0A7E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3" name="TextBox 4">
          <a:extLst>
            <a:ext uri="{FF2B5EF4-FFF2-40B4-BE49-F238E27FC236}">
              <a16:creationId xmlns:a16="http://schemas.microsoft.com/office/drawing/2014/main" id="{FEC3A73B-E741-496F-AE56-89B34E78DBD9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4" name="TextBox 5">
          <a:extLst>
            <a:ext uri="{FF2B5EF4-FFF2-40B4-BE49-F238E27FC236}">
              <a16:creationId xmlns:a16="http://schemas.microsoft.com/office/drawing/2014/main" id="{044B4E02-2BF7-4BAC-A1FA-AAADD149A61D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5" name="TextBox 6">
          <a:extLst>
            <a:ext uri="{FF2B5EF4-FFF2-40B4-BE49-F238E27FC236}">
              <a16:creationId xmlns:a16="http://schemas.microsoft.com/office/drawing/2014/main" id="{201613A5-A7D6-4431-8132-4FEF1B63DE2D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6" name="TextBox 7">
          <a:extLst>
            <a:ext uri="{FF2B5EF4-FFF2-40B4-BE49-F238E27FC236}">
              <a16:creationId xmlns:a16="http://schemas.microsoft.com/office/drawing/2014/main" id="{3F0FFDFF-8D67-4D8C-8EF2-64A250B88CE5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7" name="TextBox 8">
          <a:extLst>
            <a:ext uri="{FF2B5EF4-FFF2-40B4-BE49-F238E27FC236}">
              <a16:creationId xmlns:a16="http://schemas.microsoft.com/office/drawing/2014/main" id="{70904782-4E5E-43A3-919F-2FA9A285BEEC}"/>
            </a:ext>
          </a:extLst>
        </xdr:cNvPr>
        <xdr:cNvSpPr txBox="1"/>
      </xdr:nvSpPr>
      <xdr:spPr>
        <a:xfrm flipH="1">
          <a:off x="1909762" y="13220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8" name="TextBox 2">
          <a:extLst>
            <a:ext uri="{FF2B5EF4-FFF2-40B4-BE49-F238E27FC236}">
              <a16:creationId xmlns:a16="http://schemas.microsoft.com/office/drawing/2014/main" id="{C6818217-9B93-4972-99A5-207935AB0D30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19" name="TextBox 4">
          <a:extLst>
            <a:ext uri="{FF2B5EF4-FFF2-40B4-BE49-F238E27FC236}">
              <a16:creationId xmlns:a16="http://schemas.microsoft.com/office/drawing/2014/main" id="{F30772A1-661C-4891-BDD0-CBC8254F00F3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0" name="TextBox 5">
          <a:extLst>
            <a:ext uri="{FF2B5EF4-FFF2-40B4-BE49-F238E27FC236}">
              <a16:creationId xmlns:a16="http://schemas.microsoft.com/office/drawing/2014/main" id="{7E3792E8-985F-4B5E-9C43-8A3C2886FE44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1" name="TextBox 6">
          <a:extLst>
            <a:ext uri="{FF2B5EF4-FFF2-40B4-BE49-F238E27FC236}">
              <a16:creationId xmlns:a16="http://schemas.microsoft.com/office/drawing/2014/main" id="{8A231FE1-B69A-443B-AB22-34BC998C116B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2" name="TextBox 7">
          <a:extLst>
            <a:ext uri="{FF2B5EF4-FFF2-40B4-BE49-F238E27FC236}">
              <a16:creationId xmlns:a16="http://schemas.microsoft.com/office/drawing/2014/main" id="{F74DDF3A-305D-4C0E-BFFF-91F4B8CA28F9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3" name="TextBox 8">
          <a:extLst>
            <a:ext uri="{FF2B5EF4-FFF2-40B4-BE49-F238E27FC236}">
              <a16:creationId xmlns:a16="http://schemas.microsoft.com/office/drawing/2014/main" id="{C17D2DEA-BB8B-4568-B094-D46BDB87B3F8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4" name="TextBox 2">
          <a:extLst>
            <a:ext uri="{FF2B5EF4-FFF2-40B4-BE49-F238E27FC236}">
              <a16:creationId xmlns:a16="http://schemas.microsoft.com/office/drawing/2014/main" id="{6CDD8609-2486-4412-8083-87A4423CFE3B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5" name="TextBox 4">
          <a:extLst>
            <a:ext uri="{FF2B5EF4-FFF2-40B4-BE49-F238E27FC236}">
              <a16:creationId xmlns:a16="http://schemas.microsoft.com/office/drawing/2014/main" id="{C9580E2D-DFD0-439C-A9A4-F9164AD7E676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6" name="TextBox 5">
          <a:extLst>
            <a:ext uri="{FF2B5EF4-FFF2-40B4-BE49-F238E27FC236}">
              <a16:creationId xmlns:a16="http://schemas.microsoft.com/office/drawing/2014/main" id="{CCBCF388-036C-49D0-AA6C-E6874C3CDD27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7" name="TextBox 6">
          <a:extLst>
            <a:ext uri="{FF2B5EF4-FFF2-40B4-BE49-F238E27FC236}">
              <a16:creationId xmlns:a16="http://schemas.microsoft.com/office/drawing/2014/main" id="{A3BF5B0C-6F2B-41F2-9206-4F07137C0DBC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8" name="TextBox 7">
          <a:extLst>
            <a:ext uri="{FF2B5EF4-FFF2-40B4-BE49-F238E27FC236}">
              <a16:creationId xmlns:a16="http://schemas.microsoft.com/office/drawing/2014/main" id="{527DC1E5-A659-403F-9215-E5614ACA9CD9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29" name="TextBox 8">
          <a:extLst>
            <a:ext uri="{FF2B5EF4-FFF2-40B4-BE49-F238E27FC236}">
              <a16:creationId xmlns:a16="http://schemas.microsoft.com/office/drawing/2014/main" id="{62A5E76C-522C-4DB1-9701-714CADC8CF27}"/>
            </a:ext>
          </a:extLst>
        </xdr:cNvPr>
        <xdr:cNvSpPr txBox="1"/>
      </xdr:nvSpPr>
      <xdr:spPr>
        <a:xfrm flipH="1">
          <a:off x="1909762" y="1400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0" name="TextBox 2">
          <a:extLst>
            <a:ext uri="{FF2B5EF4-FFF2-40B4-BE49-F238E27FC236}">
              <a16:creationId xmlns:a16="http://schemas.microsoft.com/office/drawing/2014/main" id="{E4D24154-CDC2-4FB7-940E-4D2FD083A04C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1" name="TextBox 4">
          <a:extLst>
            <a:ext uri="{FF2B5EF4-FFF2-40B4-BE49-F238E27FC236}">
              <a16:creationId xmlns:a16="http://schemas.microsoft.com/office/drawing/2014/main" id="{77100176-B5A0-46BD-930C-4AA7F5ABD1DC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2" name="TextBox 5">
          <a:extLst>
            <a:ext uri="{FF2B5EF4-FFF2-40B4-BE49-F238E27FC236}">
              <a16:creationId xmlns:a16="http://schemas.microsoft.com/office/drawing/2014/main" id="{11E84CB9-4165-4A0E-B799-BD8E6140E44E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3" name="TextBox 6">
          <a:extLst>
            <a:ext uri="{FF2B5EF4-FFF2-40B4-BE49-F238E27FC236}">
              <a16:creationId xmlns:a16="http://schemas.microsoft.com/office/drawing/2014/main" id="{EFE509C3-B55B-4CE0-BA42-A3E404F5D3A6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4" name="TextBox 7">
          <a:extLst>
            <a:ext uri="{FF2B5EF4-FFF2-40B4-BE49-F238E27FC236}">
              <a16:creationId xmlns:a16="http://schemas.microsoft.com/office/drawing/2014/main" id="{D1284F8C-D06B-48AB-935D-8513A1C8103C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5" name="TextBox 8">
          <a:extLst>
            <a:ext uri="{FF2B5EF4-FFF2-40B4-BE49-F238E27FC236}">
              <a16:creationId xmlns:a16="http://schemas.microsoft.com/office/drawing/2014/main" id="{D6C7FF76-C1DF-43DD-9D33-4B3E9F45B4DB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6" name="TextBox 2">
          <a:extLst>
            <a:ext uri="{FF2B5EF4-FFF2-40B4-BE49-F238E27FC236}">
              <a16:creationId xmlns:a16="http://schemas.microsoft.com/office/drawing/2014/main" id="{2C9B7997-72B7-41B7-AF30-7D42C89369BD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7" name="TextBox 4">
          <a:extLst>
            <a:ext uri="{FF2B5EF4-FFF2-40B4-BE49-F238E27FC236}">
              <a16:creationId xmlns:a16="http://schemas.microsoft.com/office/drawing/2014/main" id="{9633F635-20B0-482F-8344-1531193E2823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8" name="TextBox 5">
          <a:extLst>
            <a:ext uri="{FF2B5EF4-FFF2-40B4-BE49-F238E27FC236}">
              <a16:creationId xmlns:a16="http://schemas.microsoft.com/office/drawing/2014/main" id="{21236D82-E506-49DF-9308-B732B9D77C89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39" name="TextBox 6">
          <a:extLst>
            <a:ext uri="{FF2B5EF4-FFF2-40B4-BE49-F238E27FC236}">
              <a16:creationId xmlns:a16="http://schemas.microsoft.com/office/drawing/2014/main" id="{4912ACC9-2671-4098-B049-EE7E65BAED9E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0" name="TextBox 7">
          <a:extLst>
            <a:ext uri="{FF2B5EF4-FFF2-40B4-BE49-F238E27FC236}">
              <a16:creationId xmlns:a16="http://schemas.microsoft.com/office/drawing/2014/main" id="{87DFDB45-3B1F-4A3F-B5A4-5DA507514313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1" name="TextBox 8">
          <a:extLst>
            <a:ext uri="{FF2B5EF4-FFF2-40B4-BE49-F238E27FC236}">
              <a16:creationId xmlns:a16="http://schemas.microsoft.com/office/drawing/2014/main" id="{ABD51310-017E-4977-A4E8-4DDA5E2CA35C}"/>
            </a:ext>
          </a:extLst>
        </xdr:cNvPr>
        <xdr:cNvSpPr txBox="1"/>
      </xdr:nvSpPr>
      <xdr:spPr>
        <a:xfrm flipH="1">
          <a:off x="1909762" y="11658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2" name="TextBox 5242">
          <a:extLst>
            <a:ext uri="{FF2B5EF4-FFF2-40B4-BE49-F238E27FC236}">
              <a16:creationId xmlns:a16="http://schemas.microsoft.com/office/drawing/2014/main" id="{60B0E752-C3B1-4959-90D8-A81572031746}"/>
            </a:ext>
          </a:extLst>
        </xdr:cNvPr>
        <xdr:cNvSpPr txBox="1"/>
      </xdr:nvSpPr>
      <xdr:spPr>
        <a:xfrm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3" name="TextBox 5243">
          <a:extLst>
            <a:ext uri="{FF2B5EF4-FFF2-40B4-BE49-F238E27FC236}">
              <a16:creationId xmlns:a16="http://schemas.microsoft.com/office/drawing/2014/main" id="{B787F064-FCC2-4621-ADBC-506DFA443AA3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4" name="TextBox 5244">
          <a:extLst>
            <a:ext uri="{FF2B5EF4-FFF2-40B4-BE49-F238E27FC236}">
              <a16:creationId xmlns:a16="http://schemas.microsoft.com/office/drawing/2014/main" id="{44BB1A4C-B1D9-4D8B-993D-C42DFC498919}"/>
            </a:ext>
          </a:extLst>
        </xdr:cNvPr>
        <xdr:cNvSpPr txBox="1"/>
      </xdr:nvSpPr>
      <xdr:spPr>
        <a:xfrm>
          <a:off x="1909762" y="20640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5" name="TextBox 5245">
          <a:extLst>
            <a:ext uri="{FF2B5EF4-FFF2-40B4-BE49-F238E27FC236}">
              <a16:creationId xmlns:a16="http://schemas.microsoft.com/office/drawing/2014/main" id="{84C096F5-1255-4A8D-B1C4-FAF53F063A4E}"/>
            </a:ext>
          </a:extLst>
        </xdr:cNvPr>
        <xdr:cNvSpPr txBox="1"/>
      </xdr:nvSpPr>
      <xdr:spPr>
        <a:xfrm>
          <a:off x="1909762" y="20640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6" name="TextBox 2">
          <a:extLst>
            <a:ext uri="{FF2B5EF4-FFF2-40B4-BE49-F238E27FC236}">
              <a16:creationId xmlns:a16="http://schemas.microsoft.com/office/drawing/2014/main" id="{F853220A-5BC3-4030-B4F1-6B4B19A6F183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7" name="TextBox 4">
          <a:extLst>
            <a:ext uri="{FF2B5EF4-FFF2-40B4-BE49-F238E27FC236}">
              <a16:creationId xmlns:a16="http://schemas.microsoft.com/office/drawing/2014/main" id="{714E717A-06C8-42EA-9986-AF430664F690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8" name="TextBox 5">
          <a:extLst>
            <a:ext uri="{FF2B5EF4-FFF2-40B4-BE49-F238E27FC236}">
              <a16:creationId xmlns:a16="http://schemas.microsoft.com/office/drawing/2014/main" id="{416C9164-B37A-4917-B68D-9B5063A41C10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49" name="TextBox 6">
          <a:extLst>
            <a:ext uri="{FF2B5EF4-FFF2-40B4-BE49-F238E27FC236}">
              <a16:creationId xmlns:a16="http://schemas.microsoft.com/office/drawing/2014/main" id="{9C2D4393-D0FF-4506-B8B6-7AB5BB8AE724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0" name="TextBox 7">
          <a:extLst>
            <a:ext uri="{FF2B5EF4-FFF2-40B4-BE49-F238E27FC236}">
              <a16:creationId xmlns:a16="http://schemas.microsoft.com/office/drawing/2014/main" id="{780C3D83-B638-44F4-BD1B-E19469F17FFE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1" name="TextBox 8">
          <a:extLst>
            <a:ext uri="{FF2B5EF4-FFF2-40B4-BE49-F238E27FC236}">
              <a16:creationId xmlns:a16="http://schemas.microsoft.com/office/drawing/2014/main" id="{B75F3514-A447-4966-9DB3-3098262F81EF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2" name="TextBox 11">
          <a:extLst>
            <a:ext uri="{FF2B5EF4-FFF2-40B4-BE49-F238E27FC236}">
              <a16:creationId xmlns:a16="http://schemas.microsoft.com/office/drawing/2014/main" id="{D9363C55-6865-4719-87F1-DFDC147D1FB8}"/>
            </a:ext>
          </a:extLst>
        </xdr:cNvPr>
        <xdr:cNvSpPr txBox="1"/>
      </xdr:nvSpPr>
      <xdr:spPr>
        <a:xfrm>
          <a:off x="1909762" y="21421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3" name="TextBox 12">
          <a:extLst>
            <a:ext uri="{FF2B5EF4-FFF2-40B4-BE49-F238E27FC236}">
              <a16:creationId xmlns:a16="http://schemas.microsoft.com/office/drawing/2014/main" id="{9949EFD3-81E4-4268-8A72-E9C49D4D7CE6}"/>
            </a:ext>
          </a:extLst>
        </xdr:cNvPr>
        <xdr:cNvSpPr txBox="1"/>
      </xdr:nvSpPr>
      <xdr:spPr>
        <a:xfrm>
          <a:off x="1909762" y="21421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4" name="TextBox 5254">
          <a:extLst>
            <a:ext uri="{FF2B5EF4-FFF2-40B4-BE49-F238E27FC236}">
              <a16:creationId xmlns:a16="http://schemas.microsoft.com/office/drawing/2014/main" id="{EA61F19C-0FBD-4943-B757-EF80858EC284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5" name="TextBox 5255">
          <a:extLst>
            <a:ext uri="{FF2B5EF4-FFF2-40B4-BE49-F238E27FC236}">
              <a16:creationId xmlns:a16="http://schemas.microsoft.com/office/drawing/2014/main" id="{8BC9E6DB-7F5D-414B-B025-9B4CDD4707BB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6" name="TextBox 5256">
          <a:extLst>
            <a:ext uri="{FF2B5EF4-FFF2-40B4-BE49-F238E27FC236}">
              <a16:creationId xmlns:a16="http://schemas.microsoft.com/office/drawing/2014/main" id="{EEDFC7F9-6314-4609-AF20-C628D8032EEB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7" name="TextBox 5257">
          <a:extLst>
            <a:ext uri="{FF2B5EF4-FFF2-40B4-BE49-F238E27FC236}">
              <a16:creationId xmlns:a16="http://schemas.microsoft.com/office/drawing/2014/main" id="{92721BA7-4108-4632-8964-B80E00B3A74D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8" name="TextBox 15">
          <a:extLst>
            <a:ext uri="{FF2B5EF4-FFF2-40B4-BE49-F238E27FC236}">
              <a16:creationId xmlns:a16="http://schemas.microsoft.com/office/drawing/2014/main" id="{4DB1D91A-BD45-40D1-8258-FE66222D61B7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59" name="TextBox 16">
          <a:extLst>
            <a:ext uri="{FF2B5EF4-FFF2-40B4-BE49-F238E27FC236}">
              <a16:creationId xmlns:a16="http://schemas.microsoft.com/office/drawing/2014/main" id="{A36D0152-5D78-468E-92A2-376B61C92F38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0" name="TextBox 17">
          <a:extLst>
            <a:ext uri="{FF2B5EF4-FFF2-40B4-BE49-F238E27FC236}">
              <a16:creationId xmlns:a16="http://schemas.microsoft.com/office/drawing/2014/main" id="{6316C81B-7C05-4140-8AC7-4F534BAA9743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1" name="TextBox 18">
          <a:extLst>
            <a:ext uri="{FF2B5EF4-FFF2-40B4-BE49-F238E27FC236}">
              <a16:creationId xmlns:a16="http://schemas.microsoft.com/office/drawing/2014/main" id="{A733DF51-F769-4AF1-ABE5-C33D56C06221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2" name="TextBox 5262">
          <a:extLst>
            <a:ext uri="{FF2B5EF4-FFF2-40B4-BE49-F238E27FC236}">
              <a16:creationId xmlns:a16="http://schemas.microsoft.com/office/drawing/2014/main" id="{C92B8CBF-7FBF-4C18-B5AD-74CC80E74142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3" name="TextBox 5263">
          <a:extLst>
            <a:ext uri="{FF2B5EF4-FFF2-40B4-BE49-F238E27FC236}">
              <a16:creationId xmlns:a16="http://schemas.microsoft.com/office/drawing/2014/main" id="{A233FED0-0389-45DD-AFE3-8AF492EFF27C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4" name="TextBox 1">
          <a:extLst>
            <a:ext uri="{FF2B5EF4-FFF2-40B4-BE49-F238E27FC236}">
              <a16:creationId xmlns:a16="http://schemas.microsoft.com/office/drawing/2014/main" id="{A37036E9-2CE4-49AB-BED7-1E274F5E06DF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5" name="TextBox 3">
          <a:extLst>
            <a:ext uri="{FF2B5EF4-FFF2-40B4-BE49-F238E27FC236}">
              <a16:creationId xmlns:a16="http://schemas.microsoft.com/office/drawing/2014/main" id="{E9389441-246F-4BE6-A51B-4A94E6A2DC0E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6" name="TextBox 5266">
          <a:extLst>
            <a:ext uri="{FF2B5EF4-FFF2-40B4-BE49-F238E27FC236}">
              <a16:creationId xmlns:a16="http://schemas.microsoft.com/office/drawing/2014/main" id="{1C4D644F-31DA-49DE-AD08-A2D123F60C37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7" name="TextBox 5267">
          <a:extLst>
            <a:ext uri="{FF2B5EF4-FFF2-40B4-BE49-F238E27FC236}">
              <a16:creationId xmlns:a16="http://schemas.microsoft.com/office/drawing/2014/main" id="{FE3F760C-38E7-409B-B709-BB02ECB936DC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8" name="TextBox 5268">
          <a:extLst>
            <a:ext uri="{FF2B5EF4-FFF2-40B4-BE49-F238E27FC236}">
              <a16:creationId xmlns:a16="http://schemas.microsoft.com/office/drawing/2014/main" id="{6F158D16-6AF2-4EA6-BD49-D8FCCB476288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69" name="TextBox 5269">
          <a:extLst>
            <a:ext uri="{FF2B5EF4-FFF2-40B4-BE49-F238E27FC236}">
              <a16:creationId xmlns:a16="http://schemas.microsoft.com/office/drawing/2014/main" id="{1593B35A-F465-45AB-8F41-394DE0ADBA99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0" name="TextBox 5270">
          <a:extLst>
            <a:ext uri="{FF2B5EF4-FFF2-40B4-BE49-F238E27FC236}">
              <a16:creationId xmlns:a16="http://schemas.microsoft.com/office/drawing/2014/main" id="{198CFB65-327A-413A-9F90-172A194A28B9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1" name="TextBox 5271">
          <a:extLst>
            <a:ext uri="{FF2B5EF4-FFF2-40B4-BE49-F238E27FC236}">
              <a16:creationId xmlns:a16="http://schemas.microsoft.com/office/drawing/2014/main" id="{8B277D03-0268-4F76-A9AD-5AAF5E166A77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2" name="TextBox 5272">
          <a:extLst>
            <a:ext uri="{FF2B5EF4-FFF2-40B4-BE49-F238E27FC236}">
              <a16:creationId xmlns:a16="http://schemas.microsoft.com/office/drawing/2014/main" id="{96937074-7E0A-42F5-86DB-5C220760AECF}"/>
            </a:ext>
          </a:extLst>
        </xdr:cNvPr>
        <xdr:cNvSpPr txBox="1"/>
      </xdr:nvSpPr>
      <xdr:spPr>
        <a:xfrm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3" name="TextBox 5273">
          <a:extLst>
            <a:ext uri="{FF2B5EF4-FFF2-40B4-BE49-F238E27FC236}">
              <a16:creationId xmlns:a16="http://schemas.microsoft.com/office/drawing/2014/main" id="{9CF61900-7A80-491D-94EF-EE9A671BA30D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4" name="TextBox 5274">
          <a:extLst>
            <a:ext uri="{FF2B5EF4-FFF2-40B4-BE49-F238E27FC236}">
              <a16:creationId xmlns:a16="http://schemas.microsoft.com/office/drawing/2014/main" id="{ADF9784C-B98D-4FB1-8F8A-2CA582879009}"/>
            </a:ext>
          </a:extLst>
        </xdr:cNvPr>
        <xdr:cNvSpPr txBox="1"/>
      </xdr:nvSpPr>
      <xdr:spPr>
        <a:xfrm>
          <a:off x="1909762" y="16735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5" name="TextBox 5275">
          <a:extLst>
            <a:ext uri="{FF2B5EF4-FFF2-40B4-BE49-F238E27FC236}">
              <a16:creationId xmlns:a16="http://schemas.microsoft.com/office/drawing/2014/main" id="{A1C4818F-0A75-47C1-893E-45F28C3987AB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6" name="TextBox 5276">
          <a:extLst>
            <a:ext uri="{FF2B5EF4-FFF2-40B4-BE49-F238E27FC236}">
              <a16:creationId xmlns:a16="http://schemas.microsoft.com/office/drawing/2014/main" id="{2F077C4A-8252-402D-9478-9831286E0AA7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7" name="TextBox 5277">
          <a:extLst>
            <a:ext uri="{FF2B5EF4-FFF2-40B4-BE49-F238E27FC236}">
              <a16:creationId xmlns:a16="http://schemas.microsoft.com/office/drawing/2014/main" id="{7115F0B9-8AA9-470A-97BF-9EC5C83A74C9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8" name="TextBox 2">
          <a:extLst>
            <a:ext uri="{FF2B5EF4-FFF2-40B4-BE49-F238E27FC236}">
              <a16:creationId xmlns:a16="http://schemas.microsoft.com/office/drawing/2014/main" id="{5BC90B3B-861A-4CB3-9ED7-5D9D00EA4DB1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79" name="TextBox 4">
          <a:extLst>
            <a:ext uri="{FF2B5EF4-FFF2-40B4-BE49-F238E27FC236}">
              <a16:creationId xmlns:a16="http://schemas.microsoft.com/office/drawing/2014/main" id="{4112CAB8-0EEE-4441-B34C-7FCB4129C87C}"/>
            </a:ext>
          </a:extLst>
        </xdr:cNvPr>
        <xdr:cNvSpPr txBox="1"/>
      </xdr:nvSpPr>
      <xdr:spPr>
        <a:xfrm>
          <a:off x="1909762" y="17125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0" name="TextBox 5">
          <a:extLst>
            <a:ext uri="{FF2B5EF4-FFF2-40B4-BE49-F238E27FC236}">
              <a16:creationId xmlns:a16="http://schemas.microsoft.com/office/drawing/2014/main" id="{DC47C48B-F453-4243-B7AE-E0F5031A570C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1" name="TextBox 6">
          <a:extLst>
            <a:ext uri="{FF2B5EF4-FFF2-40B4-BE49-F238E27FC236}">
              <a16:creationId xmlns:a16="http://schemas.microsoft.com/office/drawing/2014/main" id="{C73BA9DE-E181-4EF9-9CE1-130EC984198F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2" name="TextBox 7">
          <a:extLst>
            <a:ext uri="{FF2B5EF4-FFF2-40B4-BE49-F238E27FC236}">
              <a16:creationId xmlns:a16="http://schemas.microsoft.com/office/drawing/2014/main" id="{877D730B-D4B1-4388-BA2F-6BF9F66A4C28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3" name="TextBox 8">
          <a:extLst>
            <a:ext uri="{FF2B5EF4-FFF2-40B4-BE49-F238E27FC236}">
              <a16:creationId xmlns:a16="http://schemas.microsoft.com/office/drawing/2014/main" id="{5D102581-9049-4625-B492-05DD93178EF8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4" name="TextBox 11">
          <a:extLst>
            <a:ext uri="{FF2B5EF4-FFF2-40B4-BE49-F238E27FC236}">
              <a16:creationId xmlns:a16="http://schemas.microsoft.com/office/drawing/2014/main" id="{DC3F100B-F213-48E6-A5F9-AF70B0D65F8C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5" name="TextBox 12">
          <a:extLst>
            <a:ext uri="{FF2B5EF4-FFF2-40B4-BE49-F238E27FC236}">
              <a16:creationId xmlns:a16="http://schemas.microsoft.com/office/drawing/2014/main" id="{8D423CB5-B042-444F-B60E-0FC759CA6BC0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6" name="TextBox 5286">
          <a:extLst>
            <a:ext uri="{FF2B5EF4-FFF2-40B4-BE49-F238E27FC236}">
              <a16:creationId xmlns:a16="http://schemas.microsoft.com/office/drawing/2014/main" id="{F56F047E-FFBE-4A86-BD3C-FC7651F25289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7" name="TextBox 5287">
          <a:extLst>
            <a:ext uri="{FF2B5EF4-FFF2-40B4-BE49-F238E27FC236}">
              <a16:creationId xmlns:a16="http://schemas.microsoft.com/office/drawing/2014/main" id="{FA22C39C-6844-4EC3-A6B3-60EFFA107ACF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8" name="TextBox 5288">
          <a:extLst>
            <a:ext uri="{FF2B5EF4-FFF2-40B4-BE49-F238E27FC236}">
              <a16:creationId xmlns:a16="http://schemas.microsoft.com/office/drawing/2014/main" id="{73E31F7D-741E-4A0A-965B-144F3D68F8D3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89" name="TextBox 5289">
          <a:extLst>
            <a:ext uri="{FF2B5EF4-FFF2-40B4-BE49-F238E27FC236}">
              <a16:creationId xmlns:a16="http://schemas.microsoft.com/office/drawing/2014/main" id="{3B2DC44E-AB0D-447F-B130-7B4C5D38BA2E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0" name="TextBox 13">
          <a:extLst>
            <a:ext uri="{FF2B5EF4-FFF2-40B4-BE49-F238E27FC236}">
              <a16:creationId xmlns:a16="http://schemas.microsoft.com/office/drawing/2014/main" id="{A33E4793-A5CD-47AB-B190-7D3C5664548D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1" name="TextBox 14">
          <a:extLst>
            <a:ext uri="{FF2B5EF4-FFF2-40B4-BE49-F238E27FC236}">
              <a16:creationId xmlns:a16="http://schemas.microsoft.com/office/drawing/2014/main" id="{87244F4A-9E01-443F-9864-234DFD059012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2" name="TextBox 5292">
          <a:extLst>
            <a:ext uri="{FF2B5EF4-FFF2-40B4-BE49-F238E27FC236}">
              <a16:creationId xmlns:a16="http://schemas.microsoft.com/office/drawing/2014/main" id="{193E0C72-ABBE-45A3-ACAC-DC87C2801D18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3" name="TextBox 5293">
          <a:extLst>
            <a:ext uri="{FF2B5EF4-FFF2-40B4-BE49-F238E27FC236}">
              <a16:creationId xmlns:a16="http://schemas.microsoft.com/office/drawing/2014/main" id="{08645353-1B79-47EE-9E88-F6BA41EDC2FE}"/>
            </a:ext>
          </a:extLst>
        </xdr:cNvPr>
        <xdr:cNvSpPr txBox="1"/>
      </xdr:nvSpPr>
      <xdr:spPr>
        <a:xfrm>
          <a:off x="1909762" y="17907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4" name="TextBox 5294">
          <a:extLst>
            <a:ext uri="{FF2B5EF4-FFF2-40B4-BE49-F238E27FC236}">
              <a16:creationId xmlns:a16="http://schemas.microsoft.com/office/drawing/2014/main" id="{CBF51144-FD55-470B-BDAF-A4BFEA796371}"/>
            </a:ext>
          </a:extLst>
        </xdr:cNvPr>
        <xdr:cNvSpPr txBox="1"/>
      </xdr:nvSpPr>
      <xdr:spPr>
        <a:xfrm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5" name="TextBox 5295">
          <a:extLst>
            <a:ext uri="{FF2B5EF4-FFF2-40B4-BE49-F238E27FC236}">
              <a16:creationId xmlns:a16="http://schemas.microsoft.com/office/drawing/2014/main" id="{86149BC7-BB67-44AD-9727-93C7B45756AD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6" name="TextBox 5296">
          <a:extLst>
            <a:ext uri="{FF2B5EF4-FFF2-40B4-BE49-F238E27FC236}">
              <a16:creationId xmlns:a16="http://schemas.microsoft.com/office/drawing/2014/main" id="{3FDAED14-239D-4171-B215-9DDEE0E67D45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7" name="TextBox 5297">
          <a:extLst>
            <a:ext uri="{FF2B5EF4-FFF2-40B4-BE49-F238E27FC236}">
              <a16:creationId xmlns:a16="http://schemas.microsoft.com/office/drawing/2014/main" id="{3CBCB153-ACBE-49BA-BE86-71CD5FFC5DCD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8" name="TextBox 2">
          <a:extLst>
            <a:ext uri="{FF2B5EF4-FFF2-40B4-BE49-F238E27FC236}">
              <a16:creationId xmlns:a16="http://schemas.microsoft.com/office/drawing/2014/main" id="{6EC107DD-2F88-4650-8845-47192807E427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899" name="TextBox 4">
          <a:extLst>
            <a:ext uri="{FF2B5EF4-FFF2-40B4-BE49-F238E27FC236}">
              <a16:creationId xmlns:a16="http://schemas.microsoft.com/office/drawing/2014/main" id="{20EE2126-CCD8-4879-B804-7BAAC3D9FCD9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0" name="TextBox 5">
          <a:extLst>
            <a:ext uri="{FF2B5EF4-FFF2-40B4-BE49-F238E27FC236}">
              <a16:creationId xmlns:a16="http://schemas.microsoft.com/office/drawing/2014/main" id="{3754281D-2E4F-4772-A051-A4B596415AF7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1" name="TextBox 6">
          <a:extLst>
            <a:ext uri="{FF2B5EF4-FFF2-40B4-BE49-F238E27FC236}">
              <a16:creationId xmlns:a16="http://schemas.microsoft.com/office/drawing/2014/main" id="{877EACA8-259E-4117-91DB-73CE0B1116B5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2" name="TextBox 7">
          <a:extLst>
            <a:ext uri="{FF2B5EF4-FFF2-40B4-BE49-F238E27FC236}">
              <a16:creationId xmlns:a16="http://schemas.microsoft.com/office/drawing/2014/main" id="{552D95DE-CAEC-40B5-8789-5DF15226C781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3" name="TextBox 8">
          <a:extLst>
            <a:ext uri="{FF2B5EF4-FFF2-40B4-BE49-F238E27FC236}">
              <a16:creationId xmlns:a16="http://schemas.microsoft.com/office/drawing/2014/main" id="{AC5C9802-CED9-4F6F-BABA-631E73A9CB57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4" name="TextBox 11">
          <a:extLst>
            <a:ext uri="{FF2B5EF4-FFF2-40B4-BE49-F238E27FC236}">
              <a16:creationId xmlns:a16="http://schemas.microsoft.com/office/drawing/2014/main" id="{77E01075-0702-4101-918A-41BCC06A296D}"/>
            </a:ext>
          </a:extLst>
        </xdr:cNvPr>
        <xdr:cNvSpPr txBox="1"/>
      </xdr:nvSpPr>
      <xdr:spPr>
        <a:xfrm>
          <a:off x="1909762" y="20640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5" name="TextBox 12">
          <a:extLst>
            <a:ext uri="{FF2B5EF4-FFF2-40B4-BE49-F238E27FC236}">
              <a16:creationId xmlns:a16="http://schemas.microsoft.com/office/drawing/2014/main" id="{5CCD698F-AA94-42C1-9742-6D579BF1C60C}"/>
            </a:ext>
          </a:extLst>
        </xdr:cNvPr>
        <xdr:cNvSpPr txBox="1"/>
      </xdr:nvSpPr>
      <xdr:spPr>
        <a:xfrm>
          <a:off x="1909762" y="20640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6" name="TextBox 5306">
          <a:extLst>
            <a:ext uri="{FF2B5EF4-FFF2-40B4-BE49-F238E27FC236}">
              <a16:creationId xmlns:a16="http://schemas.microsoft.com/office/drawing/2014/main" id="{C75D6878-C1D1-4CD1-9F3D-7FBB95DF184E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7" name="TextBox 5307">
          <a:extLst>
            <a:ext uri="{FF2B5EF4-FFF2-40B4-BE49-F238E27FC236}">
              <a16:creationId xmlns:a16="http://schemas.microsoft.com/office/drawing/2014/main" id="{635848D9-EDCE-47C0-9CAA-EBBF59800B6E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8" name="TextBox 1">
          <a:extLst>
            <a:ext uri="{FF2B5EF4-FFF2-40B4-BE49-F238E27FC236}">
              <a16:creationId xmlns:a16="http://schemas.microsoft.com/office/drawing/2014/main" id="{480E2BBF-D173-4DF1-B91E-EB77EBA96454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09" name="TextBox 3">
          <a:extLst>
            <a:ext uri="{FF2B5EF4-FFF2-40B4-BE49-F238E27FC236}">
              <a16:creationId xmlns:a16="http://schemas.microsoft.com/office/drawing/2014/main" id="{9072D686-72FF-4BFE-92F9-D73ED9A96FB4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0" name="TextBox 5310">
          <a:extLst>
            <a:ext uri="{FF2B5EF4-FFF2-40B4-BE49-F238E27FC236}">
              <a16:creationId xmlns:a16="http://schemas.microsoft.com/office/drawing/2014/main" id="{29DD80F9-4483-44F4-9164-490857787AA1}"/>
            </a:ext>
          </a:extLst>
        </xdr:cNvPr>
        <xdr:cNvSpPr txBox="1"/>
      </xdr:nvSpPr>
      <xdr:spPr>
        <a:xfrm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1" name="TextBox 5311">
          <a:extLst>
            <a:ext uri="{FF2B5EF4-FFF2-40B4-BE49-F238E27FC236}">
              <a16:creationId xmlns:a16="http://schemas.microsoft.com/office/drawing/2014/main" id="{C0FA5042-AD19-4384-95A9-397AD7E43DB4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2" name="TextBox 5312">
          <a:extLst>
            <a:ext uri="{FF2B5EF4-FFF2-40B4-BE49-F238E27FC236}">
              <a16:creationId xmlns:a16="http://schemas.microsoft.com/office/drawing/2014/main" id="{DCC75062-4B1F-45A7-BECB-6B3E76587E6C}"/>
            </a:ext>
          </a:extLst>
        </xdr:cNvPr>
        <xdr:cNvSpPr txBox="1"/>
      </xdr:nvSpPr>
      <xdr:spPr>
        <a:xfrm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3" name="TextBox 5313">
          <a:extLst>
            <a:ext uri="{FF2B5EF4-FFF2-40B4-BE49-F238E27FC236}">
              <a16:creationId xmlns:a16="http://schemas.microsoft.com/office/drawing/2014/main" id="{A755F6D0-245E-4261-95D1-8034F92FC42D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4" name="TextBox 5314">
          <a:extLst>
            <a:ext uri="{FF2B5EF4-FFF2-40B4-BE49-F238E27FC236}">
              <a16:creationId xmlns:a16="http://schemas.microsoft.com/office/drawing/2014/main" id="{0F1FC020-2821-4749-9E16-DAF530C8AB83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5" name="TextBox 5315">
          <a:extLst>
            <a:ext uri="{FF2B5EF4-FFF2-40B4-BE49-F238E27FC236}">
              <a16:creationId xmlns:a16="http://schemas.microsoft.com/office/drawing/2014/main" id="{86836D36-65E5-432B-9ABD-5990CA75F6B7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6" name="TextBox 2">
          <a:extLst>
            <a:ext uri="{FF2B5EF4-FFF2-40B4-BE49-F238E27FC236}">
              <a16:creationId xmlns:a16="http://schemas.microsoft.com/office/drawing/2014/main" id="{C7CAC27F-333A-4A28-AC5B-30BA2627E3B2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7" name="TextBox 4">
          <a:extLst>
            <a:ext uri="{FF2B5EF4-FFF2-40B4-BE49-F238E27FC236}">
              <a16:creationId xmlns:a16="http://schemas.microsoft.com/office/drawing/2014/main" id="{F9C38B5D-E0B2-45E0-9616-2586CF6EB10F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8" name="TextBox 5">
          <a:extLst>
            <a:ext uri="{FF2B5EF4-FFF2-40B4-BE49-F238E27FC236}">
              <a16:creationId xmlns:a16="http://schemas.microsoft.com/office/drawing/2014/main" id="{6685DC92-3691-42D2-B2A6-28B17A7549EB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19" name="TextBox 6">
          <a:extLst>
            <a:ext uri="{FF2B5EF4-FFF2-40B4-BE49-F238E27FC236}">
              <a16:creationId xmlns:a16="http://schemas.microsoft.com/office/drawing/2014/main" id="{E613DCA7-D5B0-42E7-86E4-1E650D170954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0" name="TextBox 7">
          <a:extLst>
            <a:ext uri="{FF2B5EF4-FFF2-40B4-BE49-F238E27FC236}">
              <a16:creationId xmlns:a16="http://schemas.microsoft.com/office/drawing/2014/main" id="{F28AA00C-5408-460F-822F-AC9C45118CEB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1" name="TextBox 8">
          <a:extLst>
            <a:ext uri="{FF2B5EF4-FFF2-40B4-BE49-F238E27FC236}">
              <a16:creationId xmlns:a16="http://schemas.microsoft.com/office/drawing/2014/main" id="{E5840208-EEF9-49DA-A830-EF8594416635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2" name="TextBox 11">
          <a:extLst>
            <a:ext uri="{FF2B5EF4-FFF2-40B4-BE49-F238E27FC236}">
              <a16:creationId xmlns:a16="http://schemas.microsoft.com/office/drawing/2014/main" id="{4EC2DE74-2668-49BA-B2DF-AD97D7BC6F50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3" name="TextBox 12">
          <a:extLst>
            <a:ext uri="{FF2B5EF4-FFF2-40B4-BE49-F238E27FC236}">
              <a16:creationId xmlns:a16="http://schemas.microsoft.com/office/drawing/2014/main" id="{9B13BFE5-B175-4A7D-88FD-302FE3858748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4" name="TextBox 5324">
          <a:extLst>
            <a:ext uri="{FF2B5EF4-FFF2-40B4-BE49-F238E27FC236}">
              <a16:creationId xmlns:a16="http://schemas.microsoft.com/office/drawing/2014/main" id="{2560A8C7-5818-4ABB-89A1-089375411CE7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5" name="TextBox 5325">
          <a:extLst>
            <a:ext uri="{FF2B5EF4-FFF2-40B4-BE49-F238E27FC236}">
              <a16:creationId xmlns:a16="http://schemas.microsoft.com/office/drawing/2014/main" id="{D20D0F2A-21E5-476A-BB75-EEC3A17A6DF7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6" name="TextBox 1">
          <a:extLst>
            <a:ext uri="{FF2B5EF4-FFF2-40B4-BE49-F238E27FC236}">
              <a16:creationId xmlns:a16="http://schemas.microsoft.com/office/drawing/2014/main" id="{A57ADAFF-A097-4459-AE27-541C90B251D0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7" name="TextBox 3">
          <a:extLst>
            <a:ext uri="{FF2B5EF4-FFF2-40B4-BE49-F238E27FC236}">
              <a16:creationId xmlns:a16="http://schemas.microsoft.com/office/drawing/2014/main" id="{F223F9EA-B40B-4EC0-A56E-3A674F3F3E9B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8" name="TextBox 5328">
          <a:extLst>
            <a:ext uri="{FF2B5EF4-FFF2-40B4-BE49-F238E27FC236}">
              <a16:creationId xmlns:a16="http://schemas.microsoft.com/office/drawing/2014/main" id="{471491E9-6EF9-4B45-A136-9B60D5B1B5C5}"/>
            </a:ext>
          </a:extLst>
        </xdr:cNvPr>
        <xdr:cNvSpPr txBox="1"/>
      </xdr:nvSpPr>
      <xdr:spPr>
        <a:xfrm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29" name="TextBox 5329">
          <a:extLst>
            <a:ext uri="{FF2B5EF4-FFF2-40B4-BE49-F238E27FC236}">
              <a16:creationId xmlns:a16="http://schemas.microsoft.com/office/drawing/2014/main" id="{DD5EF8E1-6758-4AED-97C6-80027414A96C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0" name="TextBox 5330">
          <a:extLst>
            <a:ext uri="{FF2B5EF4-FFF2-40B4-BE49-F238E27FC236}">
              <a16:creationId xmlns:a16="http://schemas.microsoft.com/office/drawing/2014/main" id="{3EE617E8-6167-4D8A-A88F-E4BF2D7E0AF3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1" name="TextBox 5331">
          <a:extLst>
            <a:ext uri="{FF2B5EF4-FFF2-40B4-BE49-F238E27FC236}">
              <a16:creationId xmlns:a16="http://schemas.microsoft.com/office/drawing/2014/main" id="{4A65C560-0BF0-46B6-AA00-2634E73C56DD}"/>
            </a:ext>
          </a:extLst>
        </xdr:cNvPr>
        <xdr:cNvSpPr txBox="1"/>
      </xdr:nvSpPr>
      <xdr:spPr>
        <a:xfrm>
          <a:off x="1909762" y="19859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2" name="TextBox 2">
          <a:extLst>
            <a:ext uri="{FF2B5EF4-FFF2-40B4-BE49-F238E27FC236}">
              <a16:creationId xmlns:a16="http://schemas.microsoft.com/office/drawing/2014/main" id="{F88D2413-7793-4811-ADA2-0F1FB471C7E4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3" name="TextBox 4">
          <a:extLst>
            <a:ext uri="{FF2B5EF4-FFF2-40B4-BE49-F238E27FC236}">
              <a16:creationId xmlns:a16="http://schemas.microsoft.com/office/drawing/2014/main" id="{8EAA060B-CCB7-4FFF-91D8-81A9F91D85AD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4" name="TextBox 5">
          <a:extLst>
            <a:ext uri="{FF2B5EF4-FFF2-40B4-BE49-F238E27FC236}">
              <a16:creationId xmlns:a16="http://schemas.microsoft.com/office/drawing/2014/main" id="{F998ABB9-86FF-40F7-811B-2727887F34AC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5" name="TextBox 6">
          <a:extLst>
            <a:ext uri="{FF2B5EF4-FFF2-40B4-BE49-F238E27FC236}">
              <a16:creationId xmlns:a16="http://schemas.microsoft.com/office/drawing/2014/main" id="{BFA10B50-7866-4D35-9CC8-01016C20459A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6" name="TextBox 7">
          <a:extLst>
            <a:ext uri="{FF2B5EF4-FFF2-40B4-BE49-F238E27FC236}">
              <a16:creationId xmlns:a16="http://schemas.microsoft.com/office/drawing/2014/main" id="{5F207B80-3619-434D-9229-33A6745BF1A0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7" name="TextBox 8">
          <a:extLst>
            <a:ext uri="{FF2B5EF4-FFF2-40B4-BE49-F238E27FC236}">
              <a16:creationId xmlns:a16="http://schemas.microsoft.com/office/drawing/2014/main" id="{EE6CC9E3-E821-4FCB-8585-28A1109643ED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8" name="TextBox 11">
          <a:extLst>
            <a:ext uri="{FF2B5EF4-FFF2-40B4-BE49-F238E27FC236}">
              <a16:creationId xmlns:a16="http://schemas.microsoft.com/office/drawing/2014/main" id="{C1EF2B68-BB33-4F69-B591-2E8F70770ECC}"/>
            </a:ext>
          </a:extLst>
        </xdr:cNvPr>
        <xdr:cNvSpPr txBox="1"/>
      </xdr:nvSpPr>
      <xdr:spPr>
        <a:xfrm>
          <a:off x="1909762" y="20640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39" name="TextBox 12">
          <a:extLst>
            <a:ext uri="{FF2B5EF4-FFF2-40B4-BE49-F238E27FC236}">
              <a16:creationId xmlns:a16="http://schemas.microsoft.com/office/drawing/2014/main" id="{402F28F4-7A08-447A-9E89-9F64ECD11E06}"/>
            </a:ext>
          </a:extLst>
        </xdr:cNvPr>
        <xdr:cNvSpPr txBox="1"/>
      </xdr:nvSpPr>
      <xdr:spPr>
        <a:xfrm>
          <a:off x="1909762" y="20640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0" name="TextBox 5340">
          <a:extLst>
            <a:ext uri="{FF2B5EF4-FFF2-40B4-BE49-F238E27FC236}">
              <a16:creationId xmlns:a16="http://schemas.microsoft.com/office/drawing/2014/main" id="{D677CB02-008A-4D23-8409-868501F51F0D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1" name="TextBox 5341">
          <a:extLst>
            <a:ext uri="{FF2B5EF4-FFF2-40B4-BE49-F238E27FC236}">
              <a16:creationId xmlns:a16="http://schemas.microsoft.com/office/drawing/2014/main" id="{C518E4CE-E778-4DFC-A614-FB29FE54CE40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2" name="TextBox 1">
          <a:extLst>
            <a:ext uri="{FF2B5EF4-FFF2-40B4-BE49-F238E27FC236}">
              <a16:creationId xmlns:a16="http://schemas.microsoft.com/office/drawing/2014/main" id="{53F3BD1B-0FB5-4765-BF95-416A51139CBF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3" name="TextBox 3">
          <a:extLst>
            <a:ext uri="{FF2B5EF4-FFF2-40B4-BE49-F238E27FC236}">
              <a16:creationId xmlns:a16="http://schemas.microsoft.com/office/drawing/2014/main" id="{3E34738F-22A6-4A32-9EDF-7B6ADAF87D36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4" name="TextBox 5344">
          <a:extLst>
            <a:ext uri="{FF2B5EF4-FFF2-40B4-BE49-F238E27FC236}">
              <a16:creationId xmlns:a16="http://schemas.microsoft.com/office/drawing/2014/main" id="{02C0678B-C24C-4A03-A3C9-46FA94ED11F2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5" name="TextBox 5345">
          <a:extLst>
            <a:ext uri="{FF2B5EF4-FFF2-40B4-BE49-F238E27FC236}">
              <a16:creationId xmlns:a16="http://schemas.microsoft.com/office/drawing/2014/main" id="{DD4C3953-2B4B-4648-80B0-B0EF7C26962B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6" name="TextBox 5346">
          <a:extLst>
            <a:ext uri="{FF2B5EF4-FFF2-40B4-BE49-F238E27FC236}">
              <a16:creationId xmlns:a16="http://schemas.microsoft.com/office/drawing/2014/main" id="{3AD4D10B-136F-4267-9E52-B0A8DA7188AB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7" name="TextBox 5347">
          <a:extLst>
            <a:ext uri="{FF2B5EF4-FFF2-40B4-BE49-F238E27FC236}">
              <a16:creationId xmlns:a16="http://schemas.microsoft.com/office/drawing/2014/main" id="{63761DEE-A230-4C48-93F5-78C19E4C7FB7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8" name="TextBox 15">
          <a:extLst>
            <a:ext uri="{FF2B5EF4-FFF2-40B4-BE49-F238E27FC236}">
              <a16:creationId xmlns:a16="http://schemas.microsoft.com/office/drawing/2014/main" id="{C75318B8-2C59-48B7-B354-235F2F03F5ED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49" name="TextBox 16">
          <a:extLst>
            <a:ext uri="{FF2B5EF4-FFF2-40B4-BE49-F238E27FC236}">
              <a16:creationId xmlns:a16="http://schemas.microsoft.com/office/drawing/2014/main" id="{C1F19D36-9E80-473F-8681-A06CA1AE1C4E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0" name="TextBox 17">
          <a:extLst>
            <a:ext uri="{FF2B5EF4-FFF2-40B4-BE49-F238E27FC236}">
              <a16:creationId xmlns:a16="http://schemas.microsoft.com/office/drawing/2014/main" id="{96D6ABF8-FF7F-43AF-89E9-86F76355B8D1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1" name="TextBox 18">
          <a:extLst>
            <a:ext uri="{FF2B5EF4-FFF2-40B4-BE49-F238E27FC236}">
              <a16:creationId xmlns:a16="http://schemas.microsoft.com/office/drawing/2014/main" id="{8AA7A18D-6A0D-4456-AC0D-424B8D648372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2" name="TextBox 5352">
          <a:extLst>
            <a:ext uri="{FF2B5EF4-FFF2-40B4-BE49-F238E27FC236}">
              <a16:creationId xmlns:a16="http://schemas.microsoft.com/office/drawing/2014/main" id="{75BA4698-D987-4A07-82FF-B8B03F4F5CDF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3" name="TextBox 5353">
          <a:extLst>
            <a:ext uri="{FF2B5EF4-FFF2-40B4-BE49-F238E27FC236}">
              <a16:creationId xmlns:a16="http://schemas.microsoft.com/office/drawing/2014/main" id="{3A16FA3F-12A4-4278-A0BA-4896FBD87706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4" name="TextBox 1">
          <a:extLst>
            <a:ext uri="{FF2B5EF4-FFF2-40B4-BE49-F238E27FC236}">
              <a16:creationId xmlns:a16="http://schemas.microsoft.com/office/drawing/2014/main" id="{425C5B26-2BCC-4568-87DC-53A623A3B9C2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5" name="TextBox 3">
          <a:extLst>
            <a:ext uri="{FF2B5EF4-FFF2-40B4-BE49-F238E27FC236}">
              <a16:creationId xmlns:a16="http://schemas.microsoft.com/office/drawing/2014/main" id="{1862B505-E505-4C2C-9568-003FBACC7E7D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6" name="TextBox 5356">
          <a:extLst>
            <a:ext uri="{FF2B5EF4-FFF2-40B4-BE49-F238E27FC236}">
              <a16:creationId xmlns:a16="http://schemas.microsoft.com/office/drawing/2014/main" id="{BF7CE82C-1F0E-4DE0-9E21-51AE625B7BE8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7" name="TextBox 5357">
          <a:extLst>
            <a:ext uri="{FF2B5EF4-FFF2-40B4-BE49-F238E27FC236}">
              <a16:creationId xmlns:a16="http://schemas.microsoft.com/office/drawing/2014/main" id="{5A3F302C-C731-403C-9B37-E921EF964801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8" name="TextBox 5358">
          <a:extLst>
            <a:ext uri="{FF2B5EF4-FFF2-40B4-BE49-F238E27FC236}">
              <a16:creationId xmlns:a16="http://schemas.microsoft.com/office/drawing/2014/main" id="{E0F5480D-DC35-4218-979C-8FF68205B198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59" name="TextBox 5359">
          <a:extLst>
            <a:ext uri="{FF2B5EF4-FFF2-40B4-BE49-F238E27FC236}">
              <a16:creationId xmlns:a16="http://schemas.microsoft.com/office/drawing/2014/main" id="{4622A874-87CA-468B-906B-43CB4E239A44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0" name="TextBox 5360">
          <a:extLst>
            <a:ext uri="{FF2B5EF4-FFF2-40B4-BE49-F238E27FC236}">
              <a16:creationId xmlns:a16="http://schemas.microsoft.com/office/drawing/2014/main" id="{1A8A829F-47A3-4DFF-A4D7-F88111F3B82B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1" name="TextBox 5361">
          <a:extLst>
            <a:ext uri="{FF2B5EF4-FFF2-40B4-BE49-F238E27FC236}">
              <a16:creationId xmlns:a16="http://schemas.microsoft.com/office/drawing/2014/main" id="{48D5D7C7-9005-420B-A537-35D5DBB6B8F5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2" name="TextBox 5362">
          <a:extLst>
            <a:ext uri="{FF2B5EF4-FFF2-40B4-BE49-F238E27FC236}">
              <a16:creationId xmlns:a16="http://schemas.microsoft.com/office/drawing/2014/main" id="{9163CBCA-5BAB-417A-991D-EB71A05488AE}"/>
            </a:ext>
          </a:extLst>
        </xdr:cNvPr>
        <xdr:cNvSpPr txBox="1"/>
      </xdr:nvSpPr>
      <xdr:spPr>
        <a:xfrm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3" name="TextBox 5363">
          <a:extLst>
            <a:ext uri="{FF2B5EF4-FFF2-40B4-BE49-F238E27FC236}">
              <a16:creationId xmlns:a16="http://schemas.microsoft.com/office/drawing/2014/main" id="{8D82870F-D9CC-4AA7-9539-54517BD4B97B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4" name="TextBox 5364">
          <a:extLst>
            <a:ext uri="{FF2B5EF4-FFF2-40B4-BE49-F238E27FC236}">
              <a16:creationId xmlns:a16="http://schemas.microsoft.com/office/drawing/2014/main" id="{F97BBDC0-2951-4A50-A82D-36C4F81BD7F2}"/>
            </a:ext>
          </a:extLst>
        </xdr:cNvPr>
        <xdr:cNvSpPr txBox="1"/>
      </xdr:nvSpPr>
      <xdr:spPr>
        <a:xfrm>
          <a:off x="1909762" y="15954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5" name="TextBox 5365">
          <a:extLst>
            <a:ext uri="{FF2B5EF4-FFF2-40B4-BE49-F238E27FC236}">
              <a16:creationId xmlns:a16="http://schemas.microsoft.com/office/drawing/2014/main" id="{58071AED-4A1B-47F3-8408-C20BBD5F6C30}"/>
            </a:ext>
          </a:extLst>
        </xdr:cNvPr>
        <xdr:cNvSpPr txBox="1"/>
      </xdr:nvSpPr>
      <xdr:spPr>
        <a:xfrm>
          <a:off x="1909762" y="15563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6" name="TextBox 5366">
          <a:extLst>
            <a:ext uri="{FF2B5EF4-FFF2-40B4-BE49-F238E27FC236}">
              <a16:creationId xmlns:a16="http://schemas.microsoft.com/office/drawing/2014/main" id="{247E9EDA-8F5F-481B-BEC5-8E77816F8443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7" name="TextBox 5367">
          <a:extLst>
            <a:ext uri="{FF2B5EF4-FFF2-40B4-BE49-F238E27FC236}">
              <a16:creationId xmlns:a16="http://schemas.microsoft.com/office/drawing/2014/main" id="{05A516AB-9F3A-44F0-8569-FCFDEB90AB93}"/>
            </a:ext>
          </a:extLst>
        </xdr:cNvPr>
        <xdr:cNvSpPr txBox="1"/>
      </xdr:nvSpPr>
      <xdr:spPr>
        <a:xfrm>
          <a:off x="1909762" y="20250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8" name="TextBox 2">
          <a:extLst>
            <a:ext uri="{FF2B5EF4-FFF2-40B4-BE49-F238E27FC236}">
              <a16:creationId xmlns:a16="http://schemas.microsoft.com/office/drawing/2014/main" id="{F6BAF9E8-8639-474B-8F0F-02DA66D54148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69" name="TextBox 4">
          <a:extLst>
            <a:ext uri="{FF2B5EF4-FFF2-40B4-BE49-F238E27FC236}">
              <a16:creationId xmlns:a16="http://schemas.microsoft.com/office/drawing/2014/main" id="{13F13805-BB7F-4C26-A722-E38D2263097F}"/>
            </a:ext>
          </a:extLst>
        </xdr:cNvPr>
        <xdr:cNvSpPr txBox="1"/>
      </xdr:nvSpPr>
      <xdr:spPr>
        <a:xfrm>
          <a:off x="1909762" y="16344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0" name="TextBox 5">
          <a:extLst>
            <a:ext uri="{FF2B5EF4-FFF2-40B4-BE49-F238E27FC236}">
              <a16:creationId xmlns:a16="http://schemas.microsoft.com/office/drawing/2014/main" id="{29FB4967-0B4C-49AD-A91E-16DFF3F7BFA0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1" name="TextBox 6">
          <a:extLst>
            <a:ext uri="{FF2B5EF4-FFF2-40B4-BE49-F238E27FC236}">
              <a16:creationId xmlns:a16="http://schemas.microsoft.com/office/drawing/2014/main" id="{FAB1E6FB-0F27-4CB9-9184-B9FE2EAF8E48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2" name="TextBox 7">
          <a:extLst>
            <a:ext uri="{FF2B5EF4-FFF2-40B4-BE49-F238E27FC236}">
              <a16:creationId xmlns:a16="http://schemas.microsoft.com/office/drawing/2014/main" id="{AD19E0DA-501F-4533-84C4-9A823184D23C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3" name="TextBox 8">
          <a:extLst>
            <a:ext uri="{FF2B5EF4-FFF2-40B4-BE49-F238E27FC236}">
              <a16:creationId xmlns:a16="http://schemas.microsoft.com/office/drawing/2014/main" id="{28D686E7-2C68-47CD-BA51-526E82146D2A}"/>
            </a:ext>
          </a:extLst>
        </xdr:cNvPr>
        <xdr:cNvSpPr txBox="1"/>
      </xdr:nvSpPr>
      <xdr:spPr>
        <a:xfrm>
          <a:off x="1909762" y="143922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4" name="TextBox 11">
          <a:extLst>
            <a:ext uri="{FF2B5EF4-FFF2-40B4-BE49-F238E27FC236}">
              <a16:creationId xmlns:a16="http://schemas.microsoft.com/office/drawing/2014/main" id="{F5C6F7B8-CFB3-48D1-B549-3B447E332A84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5" name="TextBox 12">
          <a:extLst>
            <a:ext uri="{FF2B5EF4-FFF2-40B4-BE49-F238E27FC236}">
              <a16:creationId xmlns:a16="http://schemas.microsoft.com/office/drawing/2014/main" id="{8DA46A27-EF7D-41FA-9D45-65CE57C59618}"/>
            </a:ext>
          </a:extLst>
        </xdr:cNvPr>
        <xdr:cNvSpPr txBox="1"/>
      </xdr:nvSpPr>
      <xdr:spPr>
        <a:xfrm>
          <a:off x="1909762" y="21031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6" name="TextBox 5376">
          <a:extLst>
            <a:ext uri="{FF2B5EF4-FFF2-40B4-BE49-F238E27FC236}">
              <a16:creationId xmlns:a16="http://schemas.microsoft.com/office/drawing/2014/main" id="{A5E7E97A-CB76-44AB-9244-F41CCA9626A3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7" name="TextBox 5377">
          <a:extLst>
            <a:ext uri="{FF2B5EF4-FFF2-40B4-BE49-F238E27FC236}">
              <a16:creationId xmlns:a16="http://schemas.microsoft.com/office/drawing/2014/main" id="{48244225-97C1-4882-B16D-53940177446A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8" name="TextBox 1">
          <a:extLst>
            <a:ext uri="{FF2B5EF4-FFF2-40B4-BE49-F238E27FC236}">
              <a16:creationId xmlns:a16="http://schemas.microsoft.com/office/drawing/2014/main" id="{DD6CB6C1-04A8-40FB-AD43-5339838C474E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79" name="TextBox 3">
          <a:extLst>
            <a:ext uri="{FF2B5EF4-FFF2-40B4-BE49-F238E27FC236}">
              <a16:creationId xmlns:a16="http://schemas.microsoft.com/office/drawing/2014/main" id="{C5F8ED78-1670-4221-B48A-42845B9C5F65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0" name="TextBox 5380">
          <a:extLst>
            <a:ext uri="{FF2B5EF4-FFF2-40B4-BE49-F238E27FC236}">
              <a16:creationId xmlns:a16="http://schemas.microsoft.com/office/drawing/2014/main" id="{C4131665-6F62-41E9-98C0-7B20989593B0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1" name="TextBox 5381">
          <a:extLst>
            <a:ext uri="{FF2B5EF4-FFF2-40B4-BE49-F238E27FC236}">
              <a16:creationId xmlns:a16="http://schemas.microsoft.com/office/drawing/2014/main" id="{3427BD6C-A433-48B5-B40A-F3E441B41BDB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2" name="TextBox 5382">
          <a:extLst>
            <a:ext uri="{FF2B5EF4-FFF2-40B4-BE49-F238E27FC236}">
              <a16:creationId xmlns:a16="http://schemas.microsoft.com/office/drawing/2014/main" id="{604650D5-94F4-49A3-B7B1-0A85A2C3A45C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3" name="TextBox 5383">
          <a:extLst>
            <a:ext uri="{FF2B5EF4-FFF2-40B4-BE49-F238E27FC236}">
              <a16:creationId xmlns:a16="http://schemas.microsoft.com/office/drawing/2014/main" id="{EB4D0B72-0481-48C7-9720-5CA486738436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4" name="TextBox 13">
          <a:extLst>
            <a:ext uri="{FF2B5EF4-FFF2-40B4-BE49-F238E27FC236}">
              <a16:creationId xmlns:a16="http://schemas.microsoft.com/office/drawing/2014/main" id="{CF9C319D-119E-4018-92B3-35A2912D54FE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5" name="TextBox 14">
          <a:extLst>
            <a:ext uri="{FF2B5EF4-FFF2-40B4-BE49-F238E27FC236}">
              <a16:creationId xmlns:a16="http://schemas.microsoft.com/office/drawing/2014/main" id="{56A71F02-9157-4452-A78A-FBB8D1C38C27}"/>
            </a:ext>
          </a:extLst>
        </xdr:cNvPr>
        <xdr:cNvSpPr txBox="1"/>
      </xdr:nvSpPr>
      <xdr:spPr>
        <a:xfrm>
          <a:off x="1909762" y="15173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6" name="TextBox 5386">
          <a:extLst>
            <a:ext uri="{FF2B5EF4-FFF2-40B4-BE49-F238E27FC236}">
              <a16:creationId xmlns:a16="http://schemas.microsoft.com/office/drawing/2014/main" id="{C3045EC5-FC69-459F-8754-4CB6F8DE9A0B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7" name="TextBox 5387">
          <a:extLst>
            <a:ext uri="{FF2B5EF4-FFF2-40B4-BE49-F238E27FC236}">
              <a16:creationId xmlns:a16="http://schemas.microsoft.com/office/drawing/2014/main" id="{8BEC550B-2290-490C-B7D3-9889D5FE1358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8" name="TextBox 5388">
          <a:extLst>
            <a:ext uri="{FF2B5EF4-FFF2-40B4-BE49-F238E27FC236}">
              <a16:creationId xmlns:a16="http://schemas.microsoft.com/office/drawing/2014/main" id="{47643C5E-92A9-46C9-8DFE-AEECFDF2580C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89" name="TextBox 5389">
          <a:extLst>
            <a:ext uri="{FF2B5EF4-FFF2-40B4-BE49-F238E27FC236}">
              <a16:creationId xmlns:a16="http://schemas.microsoft.com/office/drawing/2014/main" id="{6719661A-258B-471F-BD6C-4189D1842514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0" name="TextBox 13">
          <a:extLst>
            <a:ext uri="{FF2B5EF4-FFF2-40B4-BE49-F238E27FC236}">
              <a16:creationId xmlns:a16="http://schemas.microsoft.com/office/drawing/2014/main" id="{327259B6-C7B1-4340-A957-6895FE3B5210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1" name="TextBox 14">
          <a:extLst>
            <a:ext uri="{FF2B5EF4-FFF2-40B4-BE49-F238E27FC236}">
              <a16:creationId xmlns:a16="http://schemas.microsoft.com/office/drawing/2014/main" id="{4AE92474-A67A-4E64-A642-ACD28A815333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2" name="TextBox 5392">
          <a:extLst>
            <a:ext uri="{FF2B5EF4-FFF2-40B4-BE49-F238E27FC236}">
              <a16:creationId xmlns:a16="http://schemas.microsoft.com/office/drawing/2014/main" id="{A60804C2-CED3-4F8E-A6C1-590CD27F0FC4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3" name="TextBox 5393">
          <a:extLst>
            <a:ext uri="{FF2B5EF4-FFF2-40B4-BE49-F238E27FC236}">
              <a16:creationId xmlns:a16="http://schemas.microsoft.com/office/drawing/2014/main" id="{874AD8CF-E79C-4BD6-A5F3-99B163AA748D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4" name="TextBox 1">
          <a:extLst>
            <a:ext uri="{FF2B5EF4-FFF2-40B4-BE49-F238E27FC236}">
              <a16:creationId xmlns:a16="http://schemas.microsoft.com/office/drawing/2014/main" id="{D800F4A8-7855-4CFD-BF6C-8AB485F6590F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5" name="TextBox 3">
          <a:extLst>
            <a:ext uri="{FF2B5EF4-FFF2-40B4-BE49-F238E27FC236}">
              <a16:creationId xmlns:a16="http://schemas.microsoft.com/office/drawing/2014/main" id="{8CC6E3D6-EA3C-4324-AD6F-EBB6F27275DB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6" name="TextBox 5396">
          <a:extLst>
            <a:ext uri="{FF2B5EF4-FFF2-40B4-BE49-F238E27FC236}">
              <a16:creationId xmlns:a16="http://schemas.microsoft.com/office/drawing/2014/main" id="{D8A6F0CE-F3CA-41A1-8326-F99929F5FDD3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7" name="TextBox 5397">
          <a:extLst>
            <a:ext uri="{FF2B5EF4-FFF2-40B4-BE49-F238E27FC236}">
              <a16:creationId xmlns:a16="http://schemas.microsoft.com/office/drawing/2014/main" id="{B78ABFF0-F120-4036-A8AC-79E4E0BD6DC9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8" name="TextBox 5398">
          <a:extLst>
            <a:ext uri="{FF2B5EF4-FFF2-40B4-BE49-F238E27FC236}">
              <a16:creationId xmlns:a16="http://schemas.microsoft.com/office/drawing/2014/main" id="{D9F0B675-B8E5-4C4A-8D17-FC3DA157F259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9999" name="TextBox 5399">
          <a:extLst>
            <a:ext uri="{FF2B5EF4-FFF2-40B4-BE49-F238E27FC236}">
              <a16:creationId xmlns:a16="http://schemas.microsoft.com/office/drawing/2014/main" id="{C1CAA352-3B05-4F13-BCF8-EECB8AC3AF56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0" name="TextBox 13">
          <a:extLst>
            <a:ext uri="{FF2B5EF4-FFF2-40B4-BE49-F238E27FC236}">
              <a16:creationId xmlns:a16="http://schemas.microsoft.com/office/drawing/2014/main" id="{7F4A4A46-EC2B-4F03-9BAC-9E67FE99A8E0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1" name="TextBox 14">
          <a:extLst>
            <a:ext uri="{FF2B5EF4-FFF2-40B4-BE49-F238E27FC236}">
              <a16:creationId xmlns:a16="http://schemas.microsoft.com/office/drawing/2014/main" id="{198B076E-0CB8-4276-ACFE-0CE3396DE4A3}"/>
            </a:ext>
          </a:extLst>
        </xdr:cNvPr>
        <xdr:cNvSpPr txBox="1"/>
      </xdr:nvSpPr>
      <xdr:spPr>
        <a:xfrm>
          <a:off x="1909762" y="22983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2" name="TextBox 5402">
          <a:extLst>
            <a:ext uri="{FF2B5EF4-FFF2-40B4-BE49-F238E27FC236}">
              <a16:creationId xmlns:a16="http://schemas.microsoft.com/office/drawing/2014/main" id="{462BE897-A3FB-41B7-9B0F-BE9351EAFF6E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3" name="TextBox 5403">
          <a:extLst>
            <a:ext uri="{FF2B5EF4-FFF2-40B4-BE49-F238E27FC236}">
              <a16:creationId xmlns:a16="http://schemas.microsoft.com/office/drawing/2014/main" id="{221B1313-0C77-4CA8-BD85-02C4B5E8C684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4" name="TextBox 1">
          <a:extLst>
            <a:ext uri="{FF2B5EF4-FFF2-40B4-BE49-F238E27FC236}">
              <a16:creationId xmlns:a16="http://schemas.microsoft.com/office/drawing/2014/main" id="{A6AC509D-BCCB-4730-A595-1254D216A65E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5" name="TextBox 3">
          <a:extLst>
            <a:ext uri="{FF2B5EF4-FFF2-40B4-BE49-F238E27FC236}">
              <a16:creationId xmlns:a16="http://schemas.microsoft.com/office/drawing/2014/main" id="{660472BA-5495-4778-B3BE-B5B5C79CFDE8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6" name="TextBox 2">
          <a:extLst>
            <a:ext uri="{FF2B5EF4-FFF2-40B4-BE49-F238E27FC236}">
              <a16:creationId xmlns:a16="http://schemas.microsoft.com/office/drawing/2014/main" id="{30212154-4E36-4DAD-8753-A8965B9C02AA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7" name="TextBox 5407">
          <a:extLst>
            <a:ext uri="{FF2B5EF4-FFF2-40B4-BE49-F238E27FC236}">
              <a16:creationId xmlns:a16="http://schemas.microsoft.com/office/drawing/2014/main" id="{D7683EE3-6B55-4B08-A370-D078977F6C24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8" name="TextBox 5408">
          <a:extLst>
            <a:ext uri="{FF2B5EF4-FFF2-40B4-BE49-F238E27FC236}">
              <a16:creationId xmlns:a16="http://schemas.microsoft.com/office/drawing/2014/main" id="{CD025351-355A-444E-86A3-8ACE2356CC7D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09" name="TextBox 5409">
          <a:extLst>
            <a:ext uri="{FF2B5EF4-FFF2-40B4-BE49-F238E27FC236}">
              <a16:creationId xmlns:a16="http://schemas.microsoft.com/office/drawing/2014/main" id="{6AC9FBD2-4931-46D5-B85D-3605BA5590D2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0" name="TextBox 5410">
          <a:extLst>
            <a:ext uri="{FF2B5EF4-FFF2-40B4-BE49-F238E27FC236}">
              <a16:creationId xmlns:a16="http://schemas.microsoft.com/office/drawing/2014/main" id="{17F0D607-BE5A-4C81-A87E-1C2359A76E3E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1" name="TextBox 5411">
          <a:extLst>
            <a:ext uri="{FF2B5EF4-FFF2-40B4-BE49-F238E27FC236}">
              <a16:creationId xmlns:a16="http://schemas.microsoft.com/office/drawing/2014/main" id="{0C4B9A24-D0F6-4C52-8803-E021EEDD6DE2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2" name="TextBox 2">
          <a:extLst>
            <a:ext uri="{FF2B5EF4-FFF2-40B4-BE49-F238E27FC236}">
              <a16:creationId xmlns:a16="http://schemas.microsoft.com/office/drawing/2014/main" id="{046CEC40-15A6-4051-9609-0AF330B52E00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3" name="TextBox 4">
          <a:extLst>
            <a:ext uri="{FF2B5EF4-FFF2-40B4-BE49-F238E27FC236}">
              <a16:creationId xmlns:a16="http://schemas.microsoft.com/office/drawing/2014/main" id="{E4A41A7E-341D-4111-A345-46D2D675639F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4" name="TextBox 5">
          <a:extLst>
            <a:ext uri="{FF2B5EF4-FFF2-40B4-BE49-F238E27FC236}">
              <a16:creationId xmlns:a16="http://schemas.microsoft.com/office/drawing/2014/main" id="{1722C215-DF8A-4302-9E99-7329360D984C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5" name="TextBox 6">
          <a:extLst>
            <a:ext uri="{FF2B5EF4-FFF2-40B4-BE49-F238E27FC236}">
              <a16:creationId xmlns:a16="http://schemas.microsoft.com/office/drawing/2014/main" id="{A29A3F7A-D5CD-4C03-84B0-D8D71FE35FF6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6" name="TextBox 7">
          <a:extLst>
            <a:ext uri="{FF2B5EF4-FFF2-40B4-BE49-F238E27FC236}">
              <a16:creationId xmlns:a16="http://schemas.microsoft.com/office/drawing/2014/main" id="{166E1B52-48DB-4687-95D8-6DFD3E0AEFD0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7" name="TextBox 8">
          <a:extLst>
            <a:ext uri="{FF2B5EF4-FFF2-40B4-BE49-F238E27FC236}">
              <a16:creationId xmlns:a16="http://schemas.microsoft.com/office/drawing/2014/main" id="{2B1CDA4E-8DF9-45EE-8496-CB165181F387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8" name="TextBox 2">
          <a:extLst>
            <a:ext uri="{FF2B5EF4-FFF2-40B4-BE49-F238E27FC236}">
              <a16:creationId xmlns:a16="http://schemas.microsoft.com/office/drawing/2014/main" id="{EE05C47F-A93F-4F12-AA60-D15E2DF22D83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19" name="TextBox 4">
          <a:extLst>
            <a:ext uri="{FF2B5EF4-FFF2-40B4-BE49-F238E27FC236}">
              <a16:creationId xmlns:a16="http://schemas.microsoft.com/office/drawing/2014/main" id="{B88D9647-3747-45F0-984B-D1441FE60486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0" name="TextBox 5">
          <a:extLst>
            <a:ext uri="{FF2B5EF4-FFF2-40B4-BE49-F238E27FC236}">
              <a16:creationId xmlns:a16="http://schemas.microsoft.com/office/drawing/2014/main" id="{5EEDAB70-187E-4A67-8AA7-2898ABAD4C29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1" name="TextBox 6">
          <a:extLst>
            <a:ext uri="{FF2B5EF4-FFF2-40B4-BE49-F238E27FC236}">
              <a16:creationId xmlns:a16="http://schemas.microsoft.com/office/drawing/2014/main" id="{8BEEF3F6-5B6B-4F3D-BD5C-01BF1BC44384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2" name="TextBox 7">
          <a:extLst>
            <a:ext uri="{FF2B5EF4-FFF2-40B4-BE49-F238E27FC236}">
              <a16:creationId xmlns:a16="http://schemas.microsoft.com/office/drawing/2014/main" id="{3DE4FFDC-7D62-45A4-9137-D514078CB3F6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3" name="TextBox 8">
          <a:extLst>
            <a:ext uri="{FF2B5EF4-FFF2-40B4-BE49-F238E27FC236}">
              <a16:creationId xmlns:a16="http://schemas.microsoft.com/office/drawing/2014/main" id="{C58FDF72-E8FF-46A1-AE44-D6ADCE82D60F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4" name="TextBox 2">
          <a:extLst>
            <a:ext uri="{FF2B5EF4-FFF2-40B4-BE49-F238E27FC236}">
              <a16:creationId xmlns:a16="http://schemas.microsoft.com/office/drawing/2014/main" id="{649F3687-E789-410B-B0EF-AE865649BB4A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5" name="TextBox 4">
          <a:extLst>
            <a:ext uri="{FF2B5EF4-FFF2-40B4-BE49-F238E27FC236}">
              <a16:creationId xmlns:a16="http://schemas.microsoft.com/office/drawing/2014/main" id="{30AC0FC1-6D6E-4806-AE77-E9F581663673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6" name="TextBox 5">
          <a:extLst>
            <a:ext uri="{FF2B5EF4-FFF2-40B4-BE49-F238E27FC236}">
              <a16:creationId xmlns:a16="http://schemas.microsoft.com/office/drawing/2014/main" id="{8191CD28-099E-402E-91C9-5B689D134DEA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7" name="TextBox 6">
          <a:extLst>
            <a:ext uri="{FF2B5EF4-FFF2-40B4-BE49-F238E27FC236}">
              <a16:creationId xmlns:a16="http://schemas.microsoft.com/office/drawing/2014/main" id="{2810B380-3572-4EAF-BC57-635C32F330E2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8" name="TextBox 7">
          <a:extLst>
            <a:ext uri="{FF2B5EF4-FFF2-40B4-BE49-F238E27FC236}">
              <a16:creationId xmlns:a16="http://schemas.microsoft.com/office/drawing/2014/main" id="{FFBA6CA0-CF04-4984-823E-B18E5FB50592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29" name="TextBox 8">
          <a:extLst>
            <a:ext uri="{FF2B5EF4-FFF2-40B4-BE49-F238E27FC236}">
              <a16:creationId xmlns:a16="http://schemas.microsoft.com/office/drawing/2014/main" id="{A97E4DDA-0A64-4F49-B199-1B09516BF307}"/>
            </a:ext>
          </a:extLst>
        </xdr:cNvPr>
        <xdr:cNvSpPr txBox="1"/>
      </xdr:nvSpPr>
      <xdr:spPr>
        <a:xfrm flipH="1"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0" name="TextBox 5430">
          <a:extLst>
            <a:ext uri="{FF2B5EF4-FFF2-40B4-BE49-F238E27FC236}">
              <a16:creationId xmlns:a16="http://schemas.microsoft.com/office/drawing/2014/main" id="{D45F0022-8DED-4A7A-8706-EBCF2FEAA885}"/>
            </a:ext>
          </a:extLst>
        </xdr:cNvPr>
        <xdr:cNvSpPr txBox="1"/>
      </xdr:nvSpPr>
      <xdr:spPr>
        <a:xfrm>
          <a:off x="1909762" y="21812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1" name="TextBox 5431">
          <a:extLst>
            <a:ext uri="{FF2B5EF4-FFF2-40B4-BE49-F238E27FC236}">
              <a16:creationId xmlns:a16="http://schemas.microsoft.com/office/drawing/2014/main" id="{7DEB66C1-50E2-4F40-832D-8AE9F4F69B8B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2" name="TextBox 5432">
          <a:extLst>
            <a:ext uri="{FF2B5EF4-FFF2-40B4-BE49-F238E27FC236}">
              <a16:creationId xmlns:a16="http://schemas.microsoft.com/office/drawing/2014/main" id="{02404329-E9E2-4125-A718-154879B71A3E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3" name="TextBox 5433">
          <a:extLst>
            <a:ext uri="{FF2B5EF4-FFF2-40B4-BE49-F238E27FC236}">
              <a16:creationId xmlns:a16="http://schemas.microsoft.com/office/drawing/2014/main" id="{F40FCFB7-A738-4E35-8111-44F2C8D20156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4" name="TextBox 5434">
          <a:extLst>
            <a:ext uri="{FF2B5EF4-FFF2-40B4-BE49-F238E27FC236}">
              <a16:creationId xmlns:a16="http://schemas.microsoft.com/office/drawing/2014/main" id="{1CD21799-C65B-4B99-9C52-C289A741C69B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5" name="TextBox 13">
          <a:extLst>
            <a:ext uri="{FF2B5EF4-FFF2-40B4-BE49-F238E27FC236}">
              <a16:creationId xmlns:a16="http://schemas.microsoft.com/office/drawing/2014/main" id="{9DE079B7-6907-4C65-9CB0-472D0E72AC04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6" name="TextBox 14">
          <a:extLst>
            <a:ext uri="{FF2B5EF4-FFF2-40B4-BE49-F238E27FC236}">
              <a16:creationId xmlns:a16="http://schemas.microsoft.com/office/drawing/2014/main" id="{A59D8595-E884-4ECF-BF6F-9B131C07EA4B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7" name="TextBox 5437">
          <a:extLst>
            <a:ext uri="{FF2B5EF4-FFF2-40B4-BE49-F238E27FC236}">
              <a16:creationId xmlns:a16="http://schemas.microsoft.com/office/drawing/2014/main" id="{9DEF0F89-6A43-4667-AD77-914EAF877E5B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8" name="TextBox 5438">
          <a:extLst>
            <a:ext uri="{FF2B5EF4-FFF2-40B4-BE49-F238E27FC236}">
              <a16:creationId xmlns:a16="http://schemas.microsoft.com/office/drawing/2014/main" id="{F76C359C-8798-4353-A911-0C859C0160DB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39" name="TextBox 5439">
          <a:extLst>
            <a:ext uri="{FF2B5EF4-FFF2-40B4-BE49-F238E27FC236}">
              <a16:creationId xmlns:a16="http://schemas.microsoft.com/office/drawing/2014/main" id="{C6CAA316-AA16-4CC6-B8F6-FD5D1BB3439D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0" name="TextBox 5440">
          <a:extLst>
            <a:ext uri="{FF2B5EF4-FFF2-40B4-BE49-F238E27FC236}">
              <a16:creationId xmlns:a16="http://schemas.microsoft.com/office/drawing/2014/main" id="{F7626350-4ED0-4382-871A-A31C7CB4A660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1" name="TextBox 13">
          <a:extLst>
            <a:ext uri="{FF2B5EF4-FFF2-40B4-BE49-F238E27FC236}">
              <a16:creationId xmlns:a16="http://schemas.microsoft.com/office/drawing/2014/main" id="{4B785EEA-8D06-42B0-B47B-D668306E4DD1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2" name="TextBox 14">
          <a:extLst>
            <a:ext uri="{FF2B5EF4-FFF2-40B4-BE49-F238E27FC236}">
              <a16:creationId xmlns:a16="http://schemas.microsoft.com/office/drawing/2014/main" id="{BB2B3904-8955-47AC-ACF8-B1D72537870E}"/>
            </a:ext>
          </a:extLst>
        </xdr:cNvPr>
        <xdr:cNvSpPr txBox="1"/>
      </xdr:nvSpPr>
      <xdr:spPr>
        <a:xfrm>
          <a:off x="1909762" y="22593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3" name="TextBox 5443">
          <a:extLst>
            <a:ext uri="{FF2B5EF4-FFF2-40B4-BE49-F238E27FC236}">
              <a16:creationId xmlns:a16="http://schemas.microsoft.com/office/drawing/2014/main" id="{7B7AE303-C1C8-4059-9A09-E02338F405C8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4" name="TextBox 5444">
          <a:extLst>
            <a:ext uri="{FF2B5EF4-FFF2-40B4-BE49-F238E27FC236}">
              <a16:creationId xmlns:a16="http://schemas.microsoft.com/office/drawing/2014/main" id="{EC538D5D-6C6B-48FF-8396-6CD5D4B0034A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5" name="TextBox 5445">
          <a:extLst>
            <a:ext uri="{FF2B5EF4-FFF2-40B4-BE49-F238E27FC236}">
              <a16:creationId xmlns:a16="http://schemas.microsoft.com/office/drawing/2014/main" id="{BF02A06A-8D41-49C0-9A1F-E182464CA73A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6" name="TextBox 5446">
          <a:extLst>
            <a:ext uri="{FF2B5EF4-FFF2-40B4-BE49-F238E27FC236}">
              <a16:creationId xmlns:a16="http://schemas.microsoft.com/office/drawing/2014/main" id="{CCACCAFB-C8B2-4034-8A6F-C8757DFBD3B7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7" name="TextBox 13">
          <a:extLst>
            <a:ext uri="{FF2B5EF4-FFF2-40B4-BE49-F238E27FC236}">
              <a16:creationId xmlns:a16="http://schemas.microsoft.com/office/drawing/2014/main" id="{E966161B-F8E0-44C7-9D27-CEFAB1C03BBC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8" name="TextBox 14">
          <a:extLst>
            <a:ext uri="{FF2B5EF4-FFF2-40B4-BE49-F238E27FC236}">
              <a16:creationId xmlns:a16="http://schemas.microsoft.com/office/drawing/2014/main" id="{59A18407-2EDA-4A9C-8C2B-E0155825BA20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49" name="TextBox 5449">
          <a:extLst>
            <a:ext uri="{FF2B5EF4-FFF2-40B4-BE49-F238E27FC236}">
              <a16:creationId xmlns:a16="http://schemas.microsoft.com/office/drawing/2014/main" id="{7CF2A8EA-75FA-4E00-B9BF-282C6B5C84A3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0" name="TextBox 5450">
          <a:extLst>
            <a:ext uri="{FF2B5EF4-FFF2-40B4-BE49-F238E27FC236}">
              <a16:creationId xmlns:a16="http://schemas.microsoft.com/office/drawing/2014/main" id="{A536CCF0-C86E-41FB-AF0F-D49164F5F026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1" name="TextBox 5451">
          <a:extLst>
            <a:ext uri="{FF2B5EF4-FFF2-40B4-BE49-F238E27FC236}">
              <a16:creationId xmlns:a16="http://schemas.microsoft.com/office/drawing/2014/main" id="{5CE08BC2-7DFF-4BE0-B068-B048F8AEDD0B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2" name="TextBox 5452">
          <a:extLst>
            <a:ext uri="{FF2B5EF4-FFF2-40B4-BE49-F238E27FC236}">
              <a16:creationId xmlns:a16="http://schemas.microsoft.com/office/drawing/2014/main" id="{32AEBC37-2949-42ED-B66D-341F1D565E6D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3" name="TextBox 13">
          <a:extLst>
            <a:ext uri="{FF2B5EF4-FFF2-40B4-BE49-F238E27FC236}">
              <a16:creationId xmlns:a16="http://schemas.microsoft.com/office/drawing/2014/main" id="{83A8DCCE-29FD-4F2B-A7AB-4909B4C77274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4" name="TextBox 14">
          <a:extLst>
            <a:ext uri="{FF2B5EF4-FFF2-40B4-BE49-F238E27FC236}">
              <a16:creationId xmlns:a16="http://schemas.microsoft.com/office/drawing/2014/main" id="{F23DBB58-629C-4863-93F3-09CDB11B1257}"/>
            </a:ext>
          </a:extLst>
        </xdr:cNvPr>
        <xdr:cNvSpPr txBox="1"/>
      </xdr:nvSpPr>
      <xdr:spPr>
        <a:xfrm>
          <a:off x="1909762" y="22202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5" name="TextBox 15">
          <a:extLst>
            <a:ext uri="{FF2B5EF4-FFF2-40B4-BE49-F238E27FC236}">
              <a16:creationId xmlns:a16="http://schemas.microsoft.com/office/drawing/2014/main" id="{5AB31F6D-F28A-4E53-AE2D-9C8C43E1624B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6" name="TextBox 16">
          <a:extLst>
            <a:ext uri="{FF2B5EF4-FFF2-40B4-BE49-F238E27FC236}">
              <a16:creationId xmlns:a16="http://schemas.microsoft.com/office/drawing/2014/main" id="{8265F268-AF8A-4627-904B-21ED28A8E7E3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7" name="TextBox 17">
          <a:extLst>
            <a:ext uri="{FF2B5EF4-FFF2-40B4-BE49-F238E27FC236}">
              <a16:creationId xmlns:a16="http://schemas.microsoft.com/office/drawing/2014/main" id="{695C9D93-90D5-4A2D-BD7A-088E7242B863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8" name="TextBox 18">
          <a:extLst>
            <a:ext uri="{FF2B5EF4-FFF2-40B4-BE49-F238E27FC236}">
              <a16:creationId xmlns:a16="http://schemas.microsoft.com/office/drawing/2014/main" id="{D540B3DF-D8D1-4424-9C76-E8E231AF26A7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59" name="TextBox 5459">
          <a:extLst>
            <a:ext uri="{FF2B5EF4-FFF2-40B4-BE49-F238E27FC236}">
              <a16:creationId xmlns:a16="http://schemas.microsoft.com/office/drawing/2014/main" id="{0328A49E-EC26-4A3F-8AA4-FE1897B2C257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0" name="TextBox 5460">
          <a:extLst>
            <a:ext uri="{FF2B5EF4-FFF2-40B4-BE49-F238E27FC236}">
              <a16:creationId xmlns:a16="http://schemas.microsoft.com/office/drawing/2014/main" id="{9EC241F7-FD64-46AC-A945-A15D46FD8F20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1" name="TextBox 1">
          <a:extLst>
            <a:ext uri="{FF2B5EF4-FFF2-40B4-BE49-F238E27FC236}">
              <a16:creationId xmlns:a16="http://schemas.microsoft.com/office/drawing/2014/main" id="{76260955-7874-4273-909A-D241EED873F7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2" name="TextBox 3">
          <a:extLst>
            <a:ext uri="{FF2B5EF4-FFF2-40B4-BE49-F238E27FC236}">
              <a16:creationId xmlns:a16="http://schemas.microsoft.com/office/drawing/2014/main" id="{A4D448D6-8287-4C7D-BDB3-1D42A335B58D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3" name="TextBox 5463">
          <a:extLst>
            <a:ext uri="{FF2B5EF4-FFF2-40B4-BE49-F238E27FC236}">
              <a16:creationId xmlns:a16="http://schemas.microsoft.com/office/drawing/2014/main" id="{1F110621-FC9B-4E40-A804-9970F7B793C3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4" name="TextBox 5464">
          <a:extLst>
            <a:ext uri="{FF2B5EF4-FFF2-40B4-BE49-F238E27FC236}">
              <a16:creationId xmlns:a16="http://schemas.microsoft.com/office/drawing/2014/main" id="{4B030AFA-F4E5-4533-BF1B-369CFB0F74B9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5" name="TextBox 5465">
          <a:extLst>
            <a:ext uri="{FF2B5EF4-FFF2-40B4-BE49-F238E27FC236}">
              <a16:creationId xmlns:a16="http://schemas.microsoft.com/office/drawing/2014/main" id="{E1D9A599-10DA-4602-A1E9-744A0A1B167E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6" name="TextBox 5466">
          <a:extLst>
            <a:ext uri="{FF2B5EF4-FFF2-40B4-BE49-F238E27FC236}">
              <a16:creationId xmlns:a16="http://schemas.microsoft.com/office/drawing/2014/main" id="{48D8E6C8-A178-49BD-86F3-155C66B6779A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7" name="TextBox 15">
          <a:extLst>
            <a:ext uri="{FF2B5EF4-FFF2-40B4-BE49-F238E27FC236}">
              <a16:creationId xmlns:a16="http://schemas.microsoft.com/office/drawing/2014/main" id="{FAFE1484-B592-4FC4-B39C-93B04AE9D3D3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8" name="TextBox 16">
          <a:extLst>
            <a:ext uri="{FF2B5EF4-FFF2-40B4-BE49-F238E27FC236}">
              <a16:creationId xmlns:a16="http://schemas.microsoft.com/office/drawing/2014/main" id="{109B0073-6D71-4AB7-BAD4-B205A381A10E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69" name="TextBox 17">
          <a:extLst>
            <a:ext uri="{FF2B5EF4-FFF2-40B4-BE49-F238E27FC236}">
              <a16:creationId xmlns:a16="http://schemas.microsoft.com/office/drawing/2014/main" id="{78FCFF42-2B63-4FD5-B765-9D800A86BC6B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0" name="TextBox 18">
          <a:extLst>
            <a:ext uri="{FF2B5EF4-FFF2-40B4-BE49-F238E27FC236}">
              <a16:creationId xmlns:a16="http://schemas.microsoft.com/office/drawing/2014/main" id="{8201816A-7BCF-401F-9C17-35F24084700D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1" name="TextBox 5471">
          <a:extLst>
            <a:ext uri="{FF2B5EF4-FFF2-40B4-BE49-F238E27FC236}">
              <a16:creationId xmlns:a16="http://schemas.microsoft.com/office/drawing/2014/main" id="{3F24CCAB-2A07-40D4-9B03-67F2C4C6749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2" name="TextBox 5472">
          <a:extLst>
            <a:ext uri="{FF2B5EF4-FFF2-40B4-BE49-F238E27FC236}">
              <a16:creationId xmlns:a16="http://schemas.microsoft.com/office/drawing/2014/main" id="{A36EB983-3B68-428C-8757-28C30656405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3" name="TextBox 1">
          <a:extLst>
            <a:ext uri="{FF2B5EF4-FFF2-40B4-BE49-F238E27FC236}">
              <a16:creationId xmlns:a16="http://schemas.microsoft.com/office/drawing/2014/main" id="{70D97CA2-5EAF-4EFC-AA74-754D81A1079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4" name="TextBox 3">
          <a:extLst>
            <a:ext uri="{FF2B5EF4-FFF2-40B4-BE49-F238E27FC236}">
              <a16:creationId xmlns:a16="http://schemas.microsoft.com/office/drawing/2014/main" id="{8E207F45-F81C-4EFB-85FE-E69CCD8836D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5" name="TextBox 5475">
          <a:extLst>
            <a:ext uri="{FF2B5EF4-FFF2-40B4-BE49-F238E27FC236}">
              <a16:creationId xmlns:a16="http://schemas.microsoft.com/office/drawing/2014/main" id="{FE19BFD3-2190-406F-A3F3-A85EA88D6CBD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6" name="TextBox 5476">
          <a:extLst>
            <a:ext uri="{FF2B5EF4-FFF2-40B4-BE49-F238E27FC236}">
              <a16:creationId xmlns:a16="http://schemas.microsoft.com/office/drawing/2014/main" id="{EB328F7F-D7EE-4A8B-986F-B9141D309B12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7" name="TextBox 5477">
          <a:extLst>
            <a:ext uri="{FF2B5EF4-FFF2-40B4-BE49-F238E27FC236}">
              <a16:creationId xmlns:a16="http://schemas.microsoft.com/office/drawing/2014/main" id="{BCEF19DB-26B2-48AB-9614-89CE78E69F6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8" name="TextBox 5478">
          <a:extLst>
            <a:ext uri="{FF2B5EF4-FFF2-40B4-BE49-F238E27FC236}">
              <a16:creationId xmlns:a16="http://schemas.microsoft.com/office/drawing/2014/main" id="{041D9A6D-1CF7-4B38-BD6E-FAA7E5916957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79" name="TextBox 5479">
          <a:extLst>
            <a:ext uri="{FF2B5EF4-FFF2-40B4-BE49-F238E27FC236}">
              <a16:creationId xmlns:a16="http://schemas.microsoft.com/office/drawing/2014/main" id="{EABD2AF8-1145-4159-BEFF-7E7CC3C368FC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0" name="TextBox 5480">
          <a:extLst>
            <a:ext uri="{FF2B5EF4-FFF2-40B4-BE49-F238E27FC236}">
              <a16:creationId xmlns:a16="http://schemas.microsoft.com/office/drawing/2014/main" id="{BE81D1A2-D1B8-4B41-9EAC-2F1FD02102C2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1" name="TextBox 5481">
          <a:extLst>
            <a:ext uri="{FF2B5EF4-FFF2-40B4-BE49-F238E27FC236}">
              <a16:creationId xmlns:a16="http://schemas.microsoft.com/office/drawing/2014/main" id="{5B1E9FA4-F290-49FF-816A-548F6CC3B4E7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2" name="TextBox 5482">
          <a:extLst>
            <a:ext uri="{FF2B5EF4-FFF2-40B4-BE49-F238E27FC236}">
              <a16:creationId xmlns:a16="http://schemas.microsoft.com/office/drawing/2014/main" id="{B59058DF-9C28-4DDE-899D-50A50781757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3" name="TextBox 5483">
          <a:extLst>
            <a:ext uri="{FF2B5EF4-FFF2-40B4-BE49-F238E27FC236}">
              <a16:creationId xmlns:a16="http://schemas.microsoft.com/office/drawing/2014/main" id="{3E311171-AB42-444B-A48B-4EEA81934F8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4" name="TextBox 5484">
          <a:extLst>
            <a:ext uri="{FF2B5EF4-FFF2-40B4-BE49-F238E27FC236}">
              <a16:creationId xmlns:a16="http://schemas.microsoft.com/office/drawing/2014/main" id="{F4D5571C-EDA5-4EDE-9D27-107FAADB666E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5" name="TextBox 15">
          <a:extLst>
            <a:ext uri="{FF2B5EF4-FFF2-40B4-BE49-F238E27FC236}">
              <a16:creationId xmlns:a16="http://schemas.microsoft.com/office/drawing/2014/main" id="{5F455C05-E0DE-4AD1-B8AA-74458914F372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6" name="TextBox 16">
          <a:extLst>
            <a:ext uri="{FF2B5EF4-FFF2-40B4-BE49-F238E27FC236}">
              <a16:creationId xmlns:a16="http://schemas.microsoft.com/office/drawing/2014/main" id="{438C59F1-4703-435A-814C-FB831D0D77B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7" name="TextBox 17">
          <a:extLst>
            <a:ext uri="{FF2B5EF4-FFF2-40B4-BE49-F238E27FC236}">
              <a16:creationId xmlns:a16="http://schemas.microsoft.com/office/drawing/2014/main" id="{5CE29038-503F-4AAF-8E32-29A08082209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8" name="TextBox 18">
          <a:extLst>
            <a:ext uri="{FF2B5EF4-FFF2-40B4-BE49-F238E27FC236}">
              <a16:creationId xmlns:a16="http://schemas.microsoft.com/office/drawing/2014/main" id="{3ED24441-E71C-4EF4-8E88-E7AA543FC06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89" name="TextBox 5489">
          <a:extLst>
            <a:ext uri="{FF2B5EF4-FFF2-40B4-BE49-F238E27FC236}">
              <a16:creationId xmlns:a16="http://schemas.microsoft.com/office/drawing/2014/main" id="{7A388EBE-73BB-433E-B7AD-32B836320D66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0" name="TextBox 5490">
          <a:extLst>
            <a:ext uri="{FF2B5EF4-FFF2-40B4-BE49-F238E27FC236}">
              <a16:creationId xmlns:a16="http://schemas.microsoft.com/office/drawing/2014/main" id="{5B2DEBB4-4070-4691-ABBC-25FB1A982EA5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1" name="TextBox 1">
          <a:extLst>
            <a:ext uri="{FF2B5EF4-FFF2-40B4-BE49-F238E27FC236}">
              <a16:creationId xmlns:a16="http://schemas.microsoft.com/office/drawing/2014/main" id="{B85E8C11-5278-4434-8046-0C725F3A84B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2" name="TextBox 3">
          <a:extLst>
            <a:ext uri="{FF2B5EF4-FFF2-40B4-BE49-F238E27FC236}">
              <a16:creationId xmlns:a16="http://schemas.microsoft.com/office/drawing/2014/main" id="{F5209838-D83F-4E45-B64E-49CD9444996C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3" name="TextBox 5493">
          <a:extLst>
            <a:ext uri="{FF2B5EF4-FFF2-40B4-BE49-F238E27FC236}">
              <a16:creationId xmlns:a16="http://schemas.microsoft.com/office/drawing/2014/main" id="{90FE765E-7F14-4BF5-ADA2-5E483EBDCF5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4" name="TextBox 5494">
          <a:extLst>
            <a:ext uri="{FF2B5EF4-FFF2-40B4-BE49-F238E27FC236}">
              <a16:creationId xmlns:a16="http://schemas.microsoft.com/office/drawing/2014/main" id="{D4EF8D83-B241-4228-95DF-B87C82AE69B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5" name="TextBox 5495">
          <a:extLst>
            <a:ext uri="{FF2B5EF4-FFF2-40B4-BE49-F238E27FC236}">
              <a16:creationId xmlns:a16="http://schemas.microsoft.com/office/drawing/2014/main" id="{B2610CEC-E2D9-4A2F-841F-EC478209A26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6" name="TextBox 5496">
          <a:extLst>
            <a:ext uri="{FF2B5EF4-FFF2-40B4-BE49-F238E27FC236}">
              <a16:creationId xmlns:a16="http://schemas.microsoft.com/office/drawing/2014/main" id="{F62CCEDD-DC32-4888-866D-23DEC6929490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7" name="TextBox 5497">
          <a:extLst>
            <a:ext uri="{FF2B5EF4-FFF2-40B4-BE49-F238E27FC236}">
              <a16:creationId xmlns:a16="http://schemas.microsoft.com/office/drawing/2014/main" id="{51B690B8-675D-43A0-BB76-D631A99F082F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8" name="TextBox 5498">
          <a:extLst>
            <a:ext uri="{FF2B5EF4-FFF2-40B4-BE49-F238E27FC236}">
              <a16:creationId xmlns:a16="http://schemas.microsoft.com/office/drawing/2014/main" id="{DA9D59CF-7D9A-4232-9ACF-4ADF965D8F4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099" name="TextBox 5499">
          <a:extLst>
            <a:ext uri="{FF2B5EF4-FFF2-40B4-BE49-F238E27FC236}">
              <a16:creationId xmlns:a16="http://schemas.microsoft.com/office/drawing/2014/main" id="{4B2FC107-F37A-4D09-A493-C94B5B031B98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0" name="TextBox 5500">
          <a:extLst>
            <a:ext uri="{FF2B5EF4-FFF2-40B4-BE49-F238E27FC236}">
              <a16:creationId xmlns:a16="http://schemas.microsoft.com/office/drawing/2014/main" id="{F9AA387D-1C86-44E2-BF46-5A4AF8014FE1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1" name="TextBox 5501">
          <a:extLst>
            <a:ext uri="{FF2B5EF4-FFF2-40B4-BE49-F238E27FC236}">
              <a16:creationId xmlns:a16="http://schemas.microsoft.com/office/drawing/2014/main" id="{48666F22-29EB-4C7C-AB25-ED85A44CEF54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2" name="TextBox 5502">
          <a:extLst>
            <a:ext uri="{FF2B5EF4-FFF2-40B4-BE49-F238E27FC236}">
              <a16:creationId xmlns:a16="http://schemas.microsoft.com/office/drawing/2014/main" id="{B5A8B8F5-AC08-4DA3-AEBE-B5E979B0E14D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3" name="TextBox 13">
          <a:extLst>
            <a:ext uri="{FF2B5EF4-FFF2-40B4-BE49-F238E27FC236}">
              <a16:creationId xmlns:a16="http://schemas.microsoft.com/office/drawing/2014/main" id="{F8DE35A4-9660-4096-AAB1-FB4B756E5742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4" name="TextBox 14">
          <a:extLst>
            <a:ext uri="{FF2B5EF4-FFF2-40B4-BE49-F238E27FC236}">
              <a16:creationId xmlns:a16="http://schemas.microsoft.com/office/drawing/2014/main" id="{67E007F5-676B-494A-AFB0-AE1811B39BA9}"/>
            </a:ext>
          </a:extLst>
        </xdr:cNvPr>
        <xdr:cNvSpPr txBox="1"/>
      </xdr:nvSpPr>
      <xdr:spPr>
        <a:xfrm>
          <a:off x="1909762" y="264985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5" name="TextBox 5505">
          <a:extLst>
            <a:ext uri="{FF2B5EF4-FFF2-40B4-BE49-F238E27FC236}">
              <a16:creationId xmlns:a16="http://schemas.microsoft.com/office/drawing/2014/main" id="{3B060A49-5115-4C90-AC21-12A56476DCAA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6" name="TextBox 5506">
          <a:extLst>
            <a:ext uri="{FF2B5EF4-FFF2-40B4-BE49-F238E27FC236}">
              <a16:creationId xmlns:a16="http://schemas.microsoft.com/office/drawing/2014/main" id="{1C1D7F0F-23A5-4D9A-A254-EF067A56059D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7" name="TextBox 5507">
          <a:extLst>
            <a:ext uri="{FF2B5EF4-FFF2-40B4-BE49-F238E27FC236}">
              <a16:creationId xmlns:a16="http://schemas.microsoft.com/office/drawing/2014/main" id="{AF454BE8-3CC3-46B0-A0A0-C851E378A740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8" name="TextBox 5508">
          <a:extLst>
            <a:ext uri="{FF2B5EF4-FFF2-40B4-BE49-F238E27FC236}">
              <a16:creationId xmlns:a16="http://schemas.microsoft.com/office/drawing/2014/main" id="{B61966C9-0AB0-4422-B101-70F72F737378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09" name="TextBox 15">
          <a:extLst>
            <a:ext uri="{FF2B5EF4-FFF2-40B4-BE49-F238E27FC236}">
              <a16:creationId xmlns:a16="http://schemas.microsoft.com/office/drawing/2014/main" id="{900DB59B-4048-4301-B2A4-E1CD0F8B21A2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0" name="TextBox 16">
          <a:extLst>
            <a:ext uri="{FF2B5EF4-FFF2-40B4-BE49-F238E27FC236}">
              <a16:creationId xmlns:a16="http://schemas.microsoft.com/office/drawing/2014/main" id="{69B12715-C13F-4844-95BE-FB1369531AC7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1" name="TextBox 17">
          <a:extLst>
            <a:ext uri="{FF2B5EF4-FFF2-40B4-BE49-F238E27FC236}">
              <a16:creationId xmlns:a16="http://schemas.microsoft.com/office/drawing/2014/main" id="{3E41196D-E0D8-4421-84C8-0FB392C504DD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2" name="TextBox 18">
          <a:extLst>
            <a:ext uri="{FF2B5EF4-FFF2-40B4-BE49-F238E27FC236}">
              <a16:creationId xmlns:a16="http://schemas.microsoft.com/office/drawing/2014/main" id="{079E54F6-70D6-468E-A10C-C1707C5CA25F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3" name="TextBox 5513">
          <a:extLst>
            <a:ext uri="{FF2B5EF4-FFF2-40B4-BE49-F238E27FC236}">
              <a16:creationId xmlns:a16="http://schemas.microsoft.com/office/drawing/2014/main" id="{F7969F14-5D15-4F71-8F41-EA1F89B4566A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4" name="TextBox 5514">
          <a:extLst>
            <a:ext uri="{FF2B5EF4-FFF2-40B4-BE49-F238E27FC236}">
              <a16:creationId xmlns:a16="http://schemas.microsoft.com/office/drawing/2014/main" id="{800759B5-85F7-4FCD-AA67-888716805268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5" name="TextBox 1">
          <a:extLst>
            <a:ext uri="{FF2B5EF4-FFF2-40B4-BE49-F238E27FC236}">
              <a16:creationId xmlns:a16="http://schemas.microsoft.com/office/drawing/2014/main" id="{026D5A9C-5609-429A-ABAE-DE2D40301FAF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6" name="TextBox 3">
          <a:extLst>
            <a:ext uri="{FF2B5EF4-FFF2-40B4-BE49-F238E27FC236}">
              <a16:creationId xmlns:a16="http://schemas.microsoft.com/office/drawing/2014/main" id="{78A9E03D-44E4-4007-A499-0DAC83F2759C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7" name="TextBox 5517">
          <a:extLst>
            <a:ext uri="{FF2B5EF4-FFF2-40B4-BE49-F238E27FC236}">
              <a16:creationId xmlns:a16="http://schemas.microsoft.com/office/drawing/2014/main" id="{A957C5BA-A072-42DE-968B-8066A83AFE84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8" name="TextBox 5518">
          <a:extLst>
            <a:ext uri="{FF2B5EF4-FFF2-40B4-BE49-F238E27FC236}">
              <a16:creationId xmlns:a16="http://schemas.microsoft.com/office/drawing/2014/main" id="{12F6C64A-5C3C-4699-A99D-DD76A810AD12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19" name="TextBox 5519">
          <a:extLst>
            <a:ext uri="{FF2B5EF4-FFF2-40B4-BE49-F238E27FC236}">
              <a16:creationId xmlns:a16="http://schemas.microsoft.com/office/drawing/2014/main" id="{03BF65F4-0F06-40D0-A504-0B6CA4F3A851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0" name="TextBox 5520">
          <a:extLst>
            <a:ext uri="{FF2B5EF4-FFF2-40B4-BE49-F238E27FC236}">
              <a16:creationId xmlns:a16="http://schemas.microsoft.com/office/drawing/2014/main" id="{384B0AB9-B5F8-41AA-9A08-99736071E503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1" name="TextBox 5521">
          <a:extLst>
            <a:ext uri="{FF2B5EF4-FFF2-40B4-BE49-F238E27FC236}">
              <a16:creationId xmlns:a16="http://schemas.microsoft.com/office/drawing/2014/main" id="{36250B35-BDAE-41FF-9A72-DB772CDB24E4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2" name="TextBox 5522">
          <a:extLst>
            <a:ext uri="{FF2B5EF4-FFF2-40B4-BE49-F238E27FC236}">
              <a16:creationId xmlns:a16="http://schemas.microsoft.com/office/drawing/2014/main" id="{52E2ECF0-2363-417E-8C40-B96D4D7C48E1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3" name="TextBox 5523">
          <a:extLst>
            <a:ext uri="{FF2B5EF4-FFF2-40B4-BE49-F238E27FC236}">
              <a16:creationId xmlns:a16="http://schemas.microsoft.com/office/drawing/2014/main" id="{21C93462-E6A3-492A-8EE5-CD8359D15AA0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4" name="TextBox 5524">
          <a:extLst>
            <a:ext uri="{FF2B5EF4-FFF2-40B4-BE49-F238E27FC236}">
              <a16:creationId xmlns:a16="http://schemas.microsoft.com/office/drawing/2014/main" id="{694EEB3E-BC4B-4179-A337-F151092E857D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5" name="TextBox 5525">
          <a:extLst>
            <a:ext uri="{FF2B5EF4-FFF2-40B4-BE49-F238E27FC236}">
              <a16:creationId xmlns:a16="http://schemas.microsoft.com/office/drawing/2014/main" id="{1603E1B0-0A90-4508-B632-736A02C2D2E7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6" name="TextBox 5526">
          <a:extLst>
            <a:ext uri="{FF2B5EF4-FFF2-40B4-BE49-F238E27FC236}">
              <a16:creationId xmlns:a16="http://schemas.microsoft.com/office/drawing/2014/main" id="{0A781413-175C-4D3B-BDE3-338E6ADD6576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7" name="TextBox 13">
          <a:extLst>
            <a:ext uri="{FF2B5EF4-FFF2-40B4-BE49-F238E27FC236}">
              <a16:creationId xmlns:a16="http://schemas.microsoft.com/office/drawing/2014/main" id="{77EEC913-D580-4CE5-9514-6FB30E50BCDC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8" name="TextBox 14">
          <a:extLst>
            <a:ext uri="{FF2B5EF4-FFF2-40B4-BE49-F238E27FC236}">
              <a16:creationId xmlns:a16="http://schemas.microsoft.com/office/drawing/2014/main" id="{24251FB5-9CCC-4A5D-AF96-79485C52B3FB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29" name="TextBox 5529">
          <a:extLst>
            <a:ext uri="{FF2B5EF4-FFF2-40B4-BE49-F238E27FC236}">
              <a16:creationId xmlns:a16="http://schemas.microsoft.com/office/drawing/2014/main" id="{C648A8DF-F0C4-470B-8A36-24E347379B5D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0" name="TextBox 5530">
          <a:extLst>
            <a:ext uri="{FF2B5EF4-FFF2-40B4-BE49-F238E27FC236}">
              <a16:creationId xmlns:a16="http://schemas.microsoft.com/office/drawing/2014/main" id="{7FB84147-0568-4059-BF21-4836DD5F68FA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1" name="TextBox 5531">
          <a:extLst>
            <a:ext uri="{FF2B5EF4-FFF2-40B4-BE49-F238E27FC236}">
              <a16:creationId xmlns:a16="http://schemas.microsoft.com/office/drawing/2014/main" id="{5EF222AB-E580-416A-BA46-AC13FA21D056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2" name="TextBox 5532">
          <a:extLst>
            <a:ext uri="{FF2B5EF4-FFF2-40B4-BE49-F238E27FC236}">
              <a16:creationId xmlns:a16="http://schemas.microsoft.com/office/drawing/2014/main" id="{69FDDFA9-EC62-4629-A7D2-2369610638D5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3" name="TextBox 15">
          <a:extLst>
            <a:ext uri="{FF2B5EF4-FFF2-40B4-BE49-F238E27FC236}">
              <a16:creationId xmlns:a16="http://schemas.microsoft.com/office/drawing/2014/main" id="{8BDD6B01-E589-4856-BCF3-C75D4B6FA6C1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4" name="TextBox 16">
          <a:extLst>
            <a:ext uri="{FF2B5EF4-FFF2-40B4-BE49-F238E27FC236}">
              <a16:creationId xmlns:a16="http://schemas.microsoft.com/office/drawing/2014/main" id="{B5B0ED0F-FD42-4631-9F34-9AAF77036F45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5" name="TextBox 17">
          <a:extLst>
            <a:ext uri="{FF2B5EF4-FFF2-40B4-BE49-F238E27FC236}">
              <a16:creationId xmlns:a16="http://schemas.microsoft.com/office/drawing/2014/main" id="{E45CE477-BA70-4F41-AB69-262DAFD867B3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6" name="TextBox 18">
          <a:extLst>
            <a:ext uri="{FF2B5EF4-FFF2-40B4-BE49-F238E27FC236}">
              <a16:creationId xmlns:a16="http://schemas.microsoft.com/office/drawing/2014/main" id="{92D52DB9-83B7-4ED0-AADD-3CDEF728F195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7" name="TextBox 5537">
          <a:extLst>
            <a:ext uri="{FF2B5EF4-FFF2-40B4-BE49-F238E27FC236}">
              <a16:creationId xmlns:a16="http://schemas.microsoft.com/office/drawing/2014/main" id="{61F8A7DA-33D5-4F6C-825E-1661AB9E3289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8" name="TextBox 5538">
          <a:extLst>
            <a:ext uri="{FF2B5EF4-FFF2-40B4-BE49-F238E27FC236}">
              <a16:creationId xmlns:a16="http://schemas.microsoft.com/office/drawing/2014/main" id="{CAAE646B-F814-4D97-8032-4B792D72A4BD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39" name="TextBox 1">
          <a:extLst>
            <a:ext uri="{FF2B5EF4-FFF2-40B4-BE49-F238E27FC236}">
              <a16:creationId xmlns:a16="http://schemas.microsoft.com/office/drawing/2014/main" id="{830EC281-0169-40B8-8A24-C784617AA528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0" name="TextBox 3">
          <a:extLst>
            <a:ext uri="{FF2B5EF4-FFF2-40B4-BE49-F238E27FC236}">
              <a16:creationId xmlns:a16="http://schemas.microsoft.com/office/drawing/2014/main" id="{02CA48D0-B9BF-4B58-8A84-73A2B3D9C264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1" name="TextBox 5541">
          <a:extLst>
            <a:ext uri="{FF2B5EF4-FFF2-40B4-BE49-F238E27FC236}">
              <a16:creationId xmlns:a16="http://schemas.microsoft.com/office/drawing/2014/main" id="{66D2B3FF-C88F-4C7E-AF68-F6DF2AED5DCB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2" name="TextBox 5542">
          <a:extLst>
            <a:ext uri="{FF2B5EF4-FFF2-40B4-BE49-F238E27FC236}">
              <a16:creationId xmlns:a16="http://schemas.microsoft.com/office/drawing/2014/main" id="{2DAF2414-23DD-4EEA-AD86-94879F9FD596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3" name="TextBox 5543">
          <a:extLst>
            <a:ext uri="{FF2B5EF4-FFF2-40B4-BE49-F238E27FC236}">
              <a16:creationId xmlns:a16="http://schemas.microsoft.com/office/drawing/2014/main" id="{75D89F66-2D84-468C-AEC1-02D902AC61CC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4" name="TextBox 5544">
          <a:extLst>
            <a:ext uri="{FF2B5EF4-FFF2-40B4-BE49-F238E27FC236}">
              <a16:creationId xmlns:a16="http://schemas.microsoft.com/office/drawing/2014/main" id="{49B7EDE4-92AE-4A35-A04B-1AC11576C123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5" name="TextBox 5545">
          <a:extLst>
            <a:ext uri="{FF2B5EF4-FFF2-40B4-BE49-F238E27FC236}">
              <a16:creationId xmlns:a16="http://schemas.microsoft.com/office/drawing/2014/main" id="{690345D1-ED31-41EF-839B-76F3E364899B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6" name="TextBox 5546">
          <a:extLst>
            <a:ext uri="{FF2B5EF4-FFF2-40B4-BE49-F238E27FC236}">
              <a16:creationId xmlns:a16="http://schemas.microsoft.com/office/drawing/2014/main" id="{378BB1B2-BDAF-4DEB-B19D-8E622F034F4B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7" name="TextBox 5547">
          <a:extLst>
            <a:ext uri="{FF2B5EF4-FFF2-40B4-BE49-F238E27FC236}">
              <a16:creationId xmlns:a16="http://schemas.microsoft.com/office/drawing/2014/main" id="{9D3A6F57-8311-40A8-925B-C024A3221EAF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8" name="TextBox 5548">
          <a:extLst>
            <a:ext uri="{FF2B5EF4-FFF2-40B4-BE49-F238E27FC236}">
              <a16:creationId xmlns:a16="http://schemas.microsoft.com/office/drawing/2014/main" id="{88E35978-F4C6-4CA8-B5D5-91015E4EB68E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49" name="TextBox 5549">
          <a:extLst>
            <a:ext uri="{FF2B5EF4-FFF2-40B4-BE49-F238E27FC236}">
              <a16:creationId xmlns:a16="http://schemas.microsoft.com/office/drawing/2014/main" id="{B5330A2D-B0DA-44B9-9EB9-0AD94F48287B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0" name="TextBox 5550">
          <a:extLst>
            <a:ext uri="{FF2B5EF4-FFF2-40B4-BE49-F238E27FC236}">
              <a16:creationId xmlns:a16="http://schemas.microsoft.com/office/drawing/2014/main" id="{8DFD8DA1-320C-4505-913D-7A62B6D5D521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1" name="TextBox 13">
          <a:extLst>
            <a:ext uri="{FF2B5EF4-FFF2-40B4-BE49-F238E27FC236}">
              <a16:creationId xmlns:a16="http://schemas.microsoft.com/office/drawing/2014/main" id="{C564B299-9E47-4EE5-824E-B2CDB530F4FD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2" name="TextBox 14">
          <a:extLst>
            <a:ext uri="{FF2B5EF4-FFF2-40B4-BE49-F238E27FC236}">
              <a16:creationId xmlns:a16="http://schemas.microsoft.com/office/drawing/2014/main" id="{22ED0EE4-5E45-4A55-ABFC-382923793DB4}"/>
            </a:ext>
          </a:extLst>
        </xdr:cNvPr>
        <xdr:cNvSpPr txBox="1"/>
      </xdr:nvSpPr>
      <xdr:spPr>
        <a:xfrm>
          <a:off x="1909762" y="280606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3" name="TextBox 5553">
          <a:extLst>
            <a:ext uri="{FF2B5EF4-FFF2-40B4-BE49-F238E27FC236}">
              <a16:creationId xmlns:a16="http://schemas.microsoft.com/office/drawing/2014/main" id="{C222EC11-3C2A-4356-8A2A-67111FBBFBF6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4" name="TextBox 5554">
          <a:extLst>
            <a:ext uri="{FF2B5EF4-FFF2-40B4-BE49-F238E27FC236}">
              <a16:creationId xmlns:a16="http://schemas.microsoft.com/office/drawing/2014/main" id="{E9B830C2-F7CF-4C98-9769-07D1D7B990D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5" name="TextBox 5555">
          <a:extLst>
            <a:ext uri="{FF2B5EF4-FFF2-40B4-BE49-F238E27FC236}">
              <a16:creationId xmlns:a16="http://schemas.microsoft.com/office/drawing/2014/main" id="{119CEF92-F026-4AE0-8F14-EB70F868D9CC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6" name="TextBox 5556">
          <a:extLst>
            <a:ext uri="{FF2B5EF4-FFF2-40B4-BE49-F238E27FC236}">
              <a16:creationId xmlns:a16="http://schemas.microsoft.com/office/drawing/2014/main" id="{9EA970DE-680B-43A8-97FA-C7DF801EB4D0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7" name="TextBox 15">
          <a:extLst>
            <a:ext uri="{FF2B5EF4-FFF2-40B4-BE49-F238E27FC236}">
              <a16:creationId xmlns:a16="http://schemas.microsoft.com/office/drawing/2014/main" id="{456809A6-B8E5-44F3-929B-1CDDA765AF6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8" name="TextBox 16">
          <a:extLst>
            <a:ext uri="{FF2B5EF4-FFF2-40B4-BE49-F238E27FC236}">
              <a16:creationId xmlns:a16="http://schemas.microsoft.com/office/drawing/2014/main" id="{BF8240B2-ABDF-4B39-846D-803913BC2CA1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59" name="TextBox 17">
          <a:extLst>
            <a:ext uri="{FF2B5EF4-FFF2-40B4-BE49-F238E27FC236}">
              <a16:creationId xmlns:a16="http://schemas.microsoft.com/office/drawing/2014/main" id="{F00221CB-A24B-4557-8BD4-CD7B2B8C067B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0" name="TextBox 18">
          <a:extLst>
            <a:ext uri="{FF2B5EF4-FFF2-40B4-BE49-F238E27FC236}">
              <a16:creationId xmlns:a16="http://schemas.microsoft.com/office/drawing/2014/main" id="{87C894A5-71D3-43EA-A744-5C33F66A1C74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1" name="TextBox 5561">
          <a:extLst>
            <a:ext uri="{FF2B5EF4-FFF2-40B4-BE49-F238E27FC236}">
              <a16:creationId xmlns:a16="http://schemas.microsoft.com/office/drawing/2014/main" id="{DEC79B15-88AE-4616-AB09-F2851B5166B0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2" name="TextBox 5562">
          <a:extLst>
            <a:ext uri="{FF2B5EF4-FFF2-40B4-BE49-F238E27FC236}">
              <a16:creationId xmlns:a16="http://schemas.microsoft.com/office/drawing/2014/main" id="{FDA9F046-8013-4A76-91A2-CA0F859159E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3" name="TextBox 1">
          <a:extLst>
            <a:ext uri="{FF2B5EF4-FFF2-40B4-BE49-F238E27FC236}">
              <a16:creationId xmlns:a16="http://schemas.microsoft.com/office/drawing/2014/main" id="{636C0849-3929-4F53-BDD5-931E421D6FB0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4" name="TextBox 3">
          <a:extLst>
            <a:ext uri="{FF2B5EF4-FFF2-40B4-BE49-F238E27FC236}">
              <a16:creationId xmlns:a16="http://schemas.microsoft.com/office/drawing/2014/main" id="{A85B328B-9D00-4FC3-A290-ED069462FEC4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5" name="TextBox 5565">
          <a:extLst>
            <a:ext uri="{FF2B5EF4-FFF2-40B4-BE49-F238E27FC236}">
              <a16:creationId xmlns:a16="http://schemas.microsoft.com/office/drawing/2014/main" id="{785EB8E7-8943-47D6-B61F-029E8A0A9E05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6" name="TextBox 5566">
          <a:extLst>
            <a:ext uri="{FF2B5EF4-FFF2-40B4-BE49-F238E27FC236}">
              <a16:creationId xmlns:a16="http://schemas.microsoft.com/office/drawing/2014/main" id="{237139A6-61C2-40B5-B18A-F35B1FAB147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7" name="TextBox 5567">
          <a:extLst>
            <a:ext uri="{FF2B5EF4-FFF2-40B4-BE49-F238E27FC236}">
              <a16:creationId xmlns:a16="http://schemas.microsoft.com/office/drawing/2014/main" id="{1E20BA08-67A3-4B98-B330-89490C30D91C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8" name="TextBox 5568">
          <a:extLst>
            <a:ext uri="{FF2B5EF4-FFF2-40B4-BE49-F238E27FC236}">
              <a16:creationId xmlns:a16="http://schemas.microsoft.com/office/drawing/2014/main" id="{FBD175E2-03A1-4161-8E42-093958B9FC8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69" name="TextBox 5569">
          <a:extLst>
            <a:ext uri="{FF2B5EF4-FFF2-40B4-BE49-F238E27FC236}">
              <a16:creationId xmlns:a16="http://schemas.microsoft.com/office/drawing/2014/main" id="{AD969FE1-BD4E-4974-8614-B0F23D464C0B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0" name="TextBox 5570">
          <a:extLst>
            <a:ext uri="{FF2B5EF4-FFF2-40B4-BE49-F238E27FC236}">
              <a16:creationId xmlns:a16="http://schemas.microsoft.com/office/drawing/2014/main" id="{83244119-7EC5-4779-B769-89E3CAB26AE2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1" name="TextBox 5571">
          <a:extLst>
            <a:ext uri="{FF2B5EF4-FFF2-40B4-BE49-F238E27FC236}">
              <a16:creationId xmlns:a16="http://schemas.microsoft.com/office/drawing/2014/main" id="{00127EC3-261F-4F25-AE66-E020B0A85F8F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2" name="TextBox 5572">
          <a:extLst>
            <a:ext uri="{FF2B5EF4-FFF2-40B4-BE49-F238E27FC236}">
              <a16:creationId xmlns:a16="http://schemas.microsoft.com/office/drawing/2014/main" id="{6DD351B6-2977-47E6-B038-E995313339AF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3" name="TextBox 5573">
          <a:extLst>
            <a:ext uri="{FF2B5EF4-FFF2-40B4-BE49-F238E27FC236}">
              <a16:creationId xmlns:a16="http://schemas.microsoft.com/office/drawing/2014/main" id="{0C4CCB35-4800-40E8-BD60-0717AAC90E03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4" name="TextBox 5574">
          <a:extLst>
            <a:ext uri="{FF2B5EF4-FFF2-40B4-BE49-F238E27FC236}">
              <a16:creationId xmlns:a16="http://schemas.microsoft.com/office/drawing/2014/main" id="{BA98E7D1-C88D-440D-9820-71C60148F86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5" name="TextBox 13">
          <a:extLst>
            <a:ext uri="{FF2B5EF4-FFF2-40B4-BE49-F238E27FC236}">
              <a16:creationId xmlns:a16="http://schemas.microsoft.com/office/drawing/2014/main" id="{754BE9EF-520F-4345-A54C-AA553D80FDF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6" name="TextBox 14">
          <a:extLst>
            <a:ext uri="{FF2B5EF4-FFF2-40B4-BE49-F238E27FC236}">
              <a16:creationId xmlns:a16="http://schemas.microsoft.com/office/drawing/2014/main" id="{BED8BFBF-1067-4283-9630-275788F64940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7" name="TextBox 5577">
          <a:extLst>
            <a:ext uri="{FF2B5EF4-FFF2-40B4-BE49-F238E27FC236}">
              <a16:creationId xmlns:a16="http://schemas.microsoft.com/office/drawing/2014/main" id="{B70F9714-A7DF-4A7D-8416-6EBA6EE127D6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8" name="TextBox 5578">
          <a:extLst>
            <a:ext uri="{FF2B5EF4-FFF2-40B4-BE49-F238E27FC236}">
              <a16:creationId xmlns:a16="http://schemas.microsoft.com/office/drawing/2014/main" id="{B46F064F-47F4-43B2-A9DE-F82D9337CEE2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79" name="TextBox 5579">
          <a:extLst>
            <a:ext uri="{FF2B5EF4-FFF2-40B4-BE49-F238E27FC236}">
              <a16:creationId xmlns:a16="http://schemas.microsoft.com/office/drawing/2014/main" id="{485459E0-76FB-419B-9CFB-4A45B7F6AE60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0" name="TextBox 5580">
          <a:extLst>
            <a:ext uri="{FF2B5EF4-FFF2-40B4-BE49-F238E27FC236}">
              <a16:creationId xmlns:a16="http://schemas.microsoft.com/office/drawing/2014/main" id="{3E9ECB5D-354E-41AA-B736-4C079692E86D}"/>
            </a:ext>
          </a:extLst>
        </xdr:cNvPr>
        <xdr:cNvSpPr txBox="1"/>
      </xdr:nvSpPr>
      <xdr:spPr>
        <a:xfrm>
          <a:off x="1909762" y="26889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1" name="TextBox 5581">
          <a:extLst>
            <a:ext uri="{FF2B5EF4-FFF2-40B4-BE49-F238E27FC236}">
              <a16:creationId xmlns:a16="http://schemas.microsoft.com/office/drawing/2014/main" id="{97EA5555-C7A5-4288-98B4-1F8C4CA287E0}"/>
            </a:ext>
          </a:extLst>
        </xdr:cNvPr>
        <xdr:cNvSpPr txBox="1"/>
      </xdr:nvSpPr>
      <xdr:spPr>
        <a:xfrm>
          <a:off x="1909762" y="24936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2" name="TextBox 2">
          <a:extLst>
            <a:ext uri="{FF2B5EF4-FFF2-40B4-BE49-F238E27FC236}">
              <a16:creationId xmlns:a16="http://schemas.microsoft.com/office/drawing/2014/main" id="{CF2CECBD-9564-497E-A688-B781424BB0E8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3" name="TextBox 4">
          <a:extLst>
            <a:ext uri="{FF2B5EF4-FFF2-40B4-BE49-F238E27FC236}">
              <a16:creationId xmlns:a16="http://schemas.microsoft.com/office/drawing/2014/main" id="{2194399C-09D7-468A-8413-7ED4D0A7BE83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4" name="TextBox 5">
          <a:extLst>
            <a:ext uri="{FF2B5EF4-FFF2-40B4-BE49-F238E27FC236}">
              <a16:creationId xmlns:a16="http://schemas.microsoft.com/office/drawing/2014/main" id="{E054B7C5-8FC0-4F0F-B5FB-FFC9E9ECE45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5" name="TextBox 6">
          <a:extLst>
            <a:ext uri="{FF2B5EF4-FFF2-40B4-BE49-F238E27FC236}">
              <a16:creationId xmlns:a16="http://schemas.microsoft.com/office/drawing/2014/main" id="{6E6E3C38-D41C-4C16-864E-58B29423C65F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6" name="TextBox 7">
          <a:extLst>
            <a:ext uri="{FF2B5EF4-FFF2-40B4-BE49-F238E27FC236}">
              <a16:creationId xmlns:a16="http://schemas.microsoft.com/office/drawing/2014/main" id="{F587F012-0D07-4DA9-BD91-4E93875EB13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7" name="TextBox 8">
          <a:extLst>
            <a:ext uri="{FF2B5EF4-FFF2-40B4-BE49-F238E27FC236}">
              <a16:creationId xmlns:a16="http://schemas.microsoft.com/office/drawing/2014/main" id="{8F5AFB99-E49D-4902-AD3C-7A17ED8763C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8" name="TextBox 2">
          <a:extLst>
            <a:ext uri="{FF2B5EF4-FFF2-40B4-BE49-F238E27FC236}">
              <a16:creationId xmlns:a16="http://schemas.microsoft.com/office/drawing/2014/main" id="{D5B6DF54-054E-4935-BDD9-721179DD66F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89" name="TextBox 4">
          <a:extLst>
            <a:ext uri="{FF2B5EF4-FFF2-40B4-BE49-F238E27FC236}">
              <a16:creationId xmlns:a16="http://schemas.microsoft.com/office/drawing/2014/main" id="{6810C8BA-E1B7-4DB7-8AAF-22047C2CB136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0" name="TextBox 5">
          <a:extLst>
            <a:ext uri="{FF2B5EF4-FFF2-40B4-BE49-F238E27FC236}">
              <a16:creationId xmlns:a16="http://schemas.microsoft.com/office/drawing/2014/main" id="{602B75C5-ED77-472C-B762-CF3400EE21A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1" name="TextBox 6">
          <a:extLst>
            <a:ext uri="{FF2B5EF4-FFF2-40B4-BE49-F238E27FC236}">
              <a16:creationId xmlns:a16="http://schemas.microsoft.com/office/drawing/2014/main" id="{374D5710-614D-4BE3-A206-246738A2D8E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2" name="TextBox 7">
          <a:extLst>
            <a:ext uri="{FF2B5EF4-FFF2-40B4-BE49-F238E27FC236}">
              <a16:creationId xmlns:a16="http://schemas.microsoft.com/office/drawing/2014/main" id="{E38FB8A4-30F9-4889-8FB5-AD2EB4603DDA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3" name="TextBox 8">
          <a:extLst>
            <a:ext uri="{FF2B5EF4-FFF2-40B4-BE49-F238E27FC236}">
              <a16:creationId xmlns:a16="http://schemas.microsoft.com/office/drawing/2014/main" id="{4DDCAF7B-1C74-483B-8A84-4D26F78E71B2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4" name="TextBox 2">
          <a:extLst>
            <a:ext uri="{FF2B5EF4-FFF2-40B4-BE49-F238E27FC236}">
              <a16:creationId xmlns:a16="http://schemas.microsoft.com/office/drawing/2014/main" id="{35443B9B-92ED-4918-8B7B-B3131426160C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5" name="TextBox 4">
          <a:extLst>
            <a:ext uri="{FF2B5EF4-FFF2-40B4-BE49-F238E27FC236}">
              <a16:creationId xmlns:a16="http://schemas.microsoft.com/office/drawing/2014/main" id="{69FD7A44-1690-4D55-B59F-18E46F960E3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6" name="TextBox 5">
          <a:extLst>
            <a:ext uri="{FF2B5EF4-FFF2-40B4-BE49-F238E27FC236}">
              <a16:creationId xmlns:a16="http://schemas.microsoft.com/office/drawing/2014/main" id="{76FAF2A4-4107-44C0-878B-4B0A61D0B82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7" name="TextBox 6">
          <a:extLst>
            <a:ext uri="{FF2B5EF4-FFF2-40B4-BE49-F238E27FC236}">
              <a16:creationId xmlns:a16="http://schemas.microsoft.com/office/drawing/2014/main" id="{EC95512B-0285-46AB-A1E0-42967EB9EADC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8" name="TextBox 7">
          <a:extLst>
            <a:ext uri="{FF2B5EF4-FFF2-40B4-BE49-F238E27FC236}">
              <a16:creationId xmlns:a16="http://schemas.microsoft.com/office/drawing/2014/main" id="{24ED0187-50DE-4D37-A78D-1221AD16818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199" name="TextBox 8">
          <a:extLst>
            <a:ext uri="{FF2B5EF4-FFF2-40B4-BE49-F238E27FC236}">
              <a16:creationId xmlns:a16="http://schemas.microsoft.com/office/drawing/2014/main" id="{F48E0B9A-65D2-4F98-A2A0-B6D166C41A23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0" name="TextBox 2">
          <a:extLst>
            <a:ext uri="{FF2B5EF4-FFF2-40B4-BE49-F238E27FC236}">
              <a16:creationId xmlns:a16="http://schemas.microsoft.com/office/drawing/2014/main" id="{DACAE516-3DB1-40F4-B1EB-536E87406C4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1" name="TextBox 4">
          <a:extLst>
            <a:ext uri="{FF2B5EF4-FFF2-40B4-BE49-F238E27FC236}">
              <a16:creationId xmlns:a16="http://schemas.microsoft.com/office/drawing/2014/main" id="{D96D62E9-0FED-462B-AC15-90E5F7B6EFA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2" name="TextBox 5">
          <a:extLst>
            <a:ext uri="{FF2B5EF4-FFF2-40B4-BE49-F238E27FC236}">
              <a16:creationId xmlns:a16="http://schemas.microsoft.com/office/drawing/2014/main" id="{8637F38D-6DCC-4A70-B947-FE2D362DD41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3" name="TextBox 6">
          <a:extLst>
            <a:ext uri="{FF2B5EF4-FFF2-40B4-BE49-F238E27FC236}">
              <a16:creationId xmlns:a16="http://schemas.microsoft.com/office/drawing/2014/main" id="{337B72EE-F83D-4F19-8A2C-CD07EE2FA3CB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4" name="TextBox 7">
          <a:extLst>
            <a:ext uri="{FF2B5EF4-FFF2-40B4-BE49-F238E27FC236}">
              <a16:creationId xmlns:a16="http://schemas.microsoft.com/office/drawing/2014/main" id="{64729721-E522-4901-8912-C4949F31A3A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5" name="TextBox 8">
          <a:extLst>
            <a:ext uri="{FF2B5EF4-FFF2-40B4-BE49-F238E27FC236}">
              <a16:creationId xmlns:a16="http://schemas.microsoft.com/office/drawing/2014/main" id="{B227F36F-3253-44A2-968B-20F4F9221850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6" name="TextBox 2">
          <a:extLst>
            <a:ext uri="{FF2B5EF4-FFF2-40B4-BE49-F238E27FC236}">
              <a16:creationId xmlns:a16="http://schemas.microsoft.com/office/drawing/2014/main" id="{E6E566EF-CDC9-4E4D-8786-B14CBCEE1FD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7" name="TextBox 4">
          <a:extLst>
            <a:ext uri="{FF2B5EF4-FFF2-40B4-BE49-F238E27FC236}">
              <a16:creationId xmlns:a16="http://schemas.microsoft.com/office/drawing/2014/main" id="{DF0AD6D8-FD32-40AC-A628-E3B53EF6FEDA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8" name="TextBox 5">
          <a:extLst>
            <a:ext uri="{FF2B5EF4-FFF2-40B4-BE49-F238E27FC236}">
              <a16:creationId xmlns:a16="http://schemas.microsoft.com/office/drawing/2014/main" id="{277B1DFA-E6B6-4AAC-BE03-8A2032D46350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09" name="TextBox 6">
          <a:extLst>
            <a:ext uri="{FF2B5EF4-FFF2-40B4-BE49-F238E27FC236}">
              <a16:creationId xmlns:a16="http://schemas.microsoft.com/office/drawing/2014/main" id="{138E32B7-7505-41E6-A19A-DB6F824EBFB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0" name="TextBox 7">
          <a:extLst>
            <a:ext uri="{FF2B5EF4-FFF2-40B4-BE49-F238E27FC236}">
              <a16:creationId xmlns:a16="http://schemas.microsoft.com/office/drawing/2014/main" id="{C0181085-401A-488D-B5F5-E6A4C82727B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1" name="TextBox 8">
          <a:extLst>
            <a:ext uri="{FF2B5EF4-FFF2-40B4-BE49-F238E27FC236}">
              <a16:creationId xmlns:a16="http://schemas.microsoft.com/office/drawing/2014/main" id="{00A0694A-3634-4663-B8EE-620A3F52836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2" name="TextBox 2">
          <a:extLst>
            <a:ext uri="{FF2B5EF4-FFF2-40B4-BE49-F238E27FC236}">
              <a16:creationId xmlns:a16="http://schemas.microsoft.com/office/drawing/2014/main" id="{43FC960D-294B-46BA-A49A-200455A7781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3" name="TextBox 4">
          <a:extLst>
            <a:ext uri="{FF2B5EF4-FFF2-40B4-BE49-F238E27FC236}">
              <a16:creationId xmlns:a16="http://schemas.microsoft.com/office/drawing/2014/main" id="{07F9C25C-40FA-4AB3-9484-3E06CA55AB1A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4" name="TextBox 5">
          <a:extLst>
            <a:ext uri="{FF2B5EF4-FFF2-40B4-BE49-F238E27FC236}">
              <a16:creationId xmlns:a16="http://schemas.microsoft.com/office/drawing/2014/main" id="{A5C86A6D-A646-4826-8258-5DCD91C6497C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5" name="TextBox 6">
          <a:extLst>
            <a:ext uri="{FF2B5EF4-FFF2-40B4-BE49-F238E27FC236}">
              <a16:creationId xmlns:a16="http://schemas.microsoft.com/office/drawing/2014/main" id="{EB5B2E5D-F7B8-44F1-9BC0-6EC38439AD9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6" name="TextBox 7">
          <a:extLst>
            <a:ext uri="{FF2B5EF4-FFF2-40B4-BE49-F238E27FC236}">
              <a16:creationId xmlns:a16="http://schemas.microsoft.com/office/drawing/2014/main" id="{095033C7-EBE9-4D51-97A3-317155205CE2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7" name="TextBox 8">
          <a:extLst>
            <a:ext uri="{FF2B5EF4-FFF2-40B4-BE49-F238E27FC236}">
              <a16:creationId xmlns:a16="http://schemas.microsoft.com/office/drawing/2014/main" id="{E8F85C0C-01D0-4D2F-9800-270AD942241B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8" name="TextBox 2">
          <a:extLst>
            <a:ext uri="{FF2B5EF4-FFF2-40B4-BE49-F238E27FC236}">
              <a16:creationId xmlns:a16="http://schemas.microsoft.com/office/drawing/2014/main" id="{0F859FA2-A804-4A56-BF40-959D59FDB386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19" name="TextBox 4">
          <a:extLst>
            <a:ext uri="{FF2B5EF4-FFF2-40B4-BE49-F238E27FC236}">
              <a16:creationId xmlns:a16="http://schemas.microsoft.com/office/drawing/2014/main" id="{0242B256-5D5A-4C18-83FB-5989876A87A2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0" name="TextBox 5">
          <a:extLst>
            <a:ext uri="{FF2B5EF4-FFF2-40B4-BE49-F238E27FC236}">
              <a16:creationId xmlns:a16="http://schemas.microsoft.com/office/drawing/2014/main" id="{32197510-61A9-44FA-AC70-F1DE0421427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1" name="TextBox 6">
          <a:extLst>
            <a:ext uri="{FF2B5EF4-FFF2-40B4-BE49-F238E27FC236}">
              <a16:creationId xmlns:a16="http://schemas.microsoft.com/office/drawing/2014/main" id="{8BE946D2-F087-4F6D-BC7D-C4888F0F1CE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2" name="TextBox 7">
          <a:extLst>
            <a:ext uri="{FF2B5EF4-FFF2-40B4-BE49-F238E27FC236}">
              <a16:creationId xmlns:a16="http://schemas.microsoft.com/office/drawing/2014/main" id="{A6982E61-C2DA-4894-B709-E8096DC8D2B8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3" name="TextBox 8">
          <a:extLst>
            <a:ext uri="{FF2B5EF4-FFF2-40B4-BE49-F238E27FC236}">
              <a16:creationId xmlns:a16="http://schemas.microsoft.com/office/drawing/2014/main" id="{5E5A05EB-83E6-469A-84EF-2FDFB0175EF8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4" name="TextBox 2">
          <a:extLst>
            <a:ext uri="{FF2B5EF4-FFF2-40B4-BE49-F238E27FC236}">
              <a16:creationId xmlns:a16="http://schemas.microsoft.com/office/drawing/2014/main" id="{B7015426-F6BC-4EBB-BA30-3A1C062A901F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5" name="TextBox 4">
          <a:extLst>
            <a:ext uri="{FF2B5EF4-FFF2-40B4-BE49-F238E27FC236}">
              <a16:creationId xmlns:a16="http://schemas.microsoft.com/office/drawing/2014/main" id="{F79D7EF5-B537-44CC-B1FC-A33AAE17852F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6" name="TextBox 5">
          <a:extLst>
            <a:ext uri="{FF2B5EF4-FFF2-40B4-BE49-F238E27FC236}">
              <a16:creationId xmlns:a16="http://schemas.microsoft.com/office/drawing/2014/main" id="{925064AA-5C3D-4EC2-97B7-0FF70B2605C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7" name="TextBox 6">
          <a:extLst>
            <a:ext uri="{FF2B5EF4-FFF2-40B4-BE49-F238E27FC236}">
              <a16:creationId xmlns:a16="http://schemas.microsoft.com/office/drawing/2014/main" id="{1FD1CCB1-D573-4705-8F2A-01F191593AA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8" name="TextBox 7">
          <a:extLst>
            <a:ext uri="{FF2B5EF4-FFF2-40B4-BE49-F238E27FC236}">
              <a16:creationId xmlns:a16="http://schemas.microsoft.com/office/drawing/2014/main" id="{77A08313-CC75-48B8-BDAC-A0F5459E24E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29" name="TextBox 8">
          <a:extLst>
            <a:ext uri="{FF2B5EF4-FFF2-40B4-BE49-F238E27FC236}">
              <a16:creationId xmlns:a16="http://schemas.microsoft.com/office/drawing/2014/main" id="{E80D0101-F9C0-4089-9350-CBE9A97BE3F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0" name="TextBox 2">
          <a:extLst>
            <a:ext uri="{FF2B5EF4-FFF2-40B4-BE49-F238E27FC236}">
              <a16:creationId xmlns:a16="http://schemas.microsoft.com/office/drawing/2014/main" id="{38585760-CC46-41CB-9878-0B18D4B4CF1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1" name="TextBox 4">
          <a:extLst>
            <a:ext uri="{FF2B5EF4-FFF2-40B4-BE49-F238E27FC236}">
              <a16:creationId xmlns:a16="http://schemas.microsoft.com/office/drawing/2014/main" id="{3A27F596-DBFA-4D05-BBC0-12D5B96BEB6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2" name="TextBox 5">
          <a:extLst>
            <a:ext uri="{FF2B5EF4-FFF2-40B4-BE49-F238E27FC236}">
              <a16:creationId xmlns:a16="http://schemas.microsoft.com/office/drawing/2014/main" id="{73AC8073-ED6E-484E-B797-BBAF4A77BD50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3" name="TextBox 6">
          <a:extLst>
            <a:ext uri="{FF2B5EF4-FFF2-40B4-BE49-F238E27FC236}">
              <a16:creationId xmlns:a16="http://schemas.microsoft.com/office/drawing/2014/main" id="{AECD26C1-273F-450E-BEF5-C5AB13301ED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4" name="TextBox 7">
          <a:extLst>
            <a:ext uri="{FF2B5EF4-FFF2-40B4-BE49-F238E27FC236}">
              <a16:creationId xmlns:a16="http://schemas.microsoft.com/office/drawing/2014/main" id="{CA175A62-5979-400C-B9DD-83B99297F63F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5" name="TextBox 8">
          <a:extLst>
            <a:ext uri="{FF2B5EF4-FFF2-40B4-BE49-F238E27FC236}">
              <a16:creationId xmlns:a16="http://schemas.microsoft.com/office/drawing/2014/main" id="{1603F188-2387-466F-94DB-A3AEB771E4E0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6" name="TextBox 2">
          <a:extLst>
            <a:ext uri="{FF2B5EF4-FFF2-40B4-BE49-F238E27FC236}">
              <a16:creationId xmlns:a16="http://schemas.microsoft.com/office/drawing/2014/main" id="{88321539-097E-455F-8581-0D8C35AF831F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7" name="TextBox 4">
          <a:extLst>
            <a:ext uri="{FF2B5EF4-FFF2-40B4-BE49-F238E27FC236}">
              <a16:creationId xmlns:a16="http://schemas.microsoft.com/office/drawing/2014/main" id="{3413389D-CD2B-4BE9-AE63-5C748A091C6B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8" name="TextBox 5">
          <a:extLst>
            <a:ext uri="{FF2B5EF4-FFF2-40B4-BE49-F238E27FC236}">
              <a16:creationId xmlns:a16="http://schemas.microsoft.com/office/drawing/2014/main" id="{D62809F7-7F6E-410C-9231-150C796A4076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39" name="TextBox 6">
          <a:extLst>
            <a:ext uri="{FF2B5EF4-FFF2-40B4-BE49-F238E27FC236}">
              <a16:creationId xmlns:a16="http://schemas.microsoft.com/office/drawing/2014/main" id="{DBD99896-56FA-4FC6-A969-38FDA6B122B3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0" name="TextBox 7">
          <a:extLst>
            <a:ext uri="{FF2B5EF4-FFF2-40B4-BE49-F238E27FC236}">
              <a16:creationId xmlns:a16="http://schemas.microsoft.com/office/drawing/2014/main" id="{2DD1B3C6-0081-42DD-A533-BA036701C9D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1" name="TextBox 8">
          <a:extLst>
            <a:ext uri="{FF2B5EF4-FFF2-40B4-BE49-F238E27FC236}">
              <a16:creationId xmlns:a16="http://schemas.microsoft.com/office/drawing/2014/main" id="{CE55F840-F6E1-48F3-BACD-8974EC7AC62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2" name="TextBox 2">
          <a:extLst>
            <a:ext uri="{FF2B5EF4-FFF2-40B4-BE49-F238E27FC236}">
              <a16:creationId xmlns:a16="http://schemas.microsoft.com/office/drawing/2014/main" id="{1537E057-E8AA-4A32-B460-DF621E2EF66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3" name="TextBox 4">
          <a:extLst>
            <a:ext uri="{FF2B5EF4-FFF2-40B4-BE49-F238E27FC236}">
              <a16:creationId xmlns:a16="http://schemas.microsoft.com/office/drawing/2014/main" id="{183F8085-FA9E-46E0-AF01-B582E6D34576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4" name="TextBox 5">
          <a:extLst>
            <a:ext uri="{FF2B5EF4-FFF2-40B4-BE49-F238E27FC236}">
              <a16:creationId xmlns:a16="http://schemas.microsoft.com/office/drawing/2014/main" id="{ADE4E269-F09C-4F1A-837C-A1B18FCB9C4B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5" name="TextBox 6">
          <a:extLst>
            <a:ext uri="{FF2B5EF4-FFF2-40B4-BE49-F238E27FC236}">
              <a16:creationId xmlns:a16="http://schemas.microsoft.com/office/drawing/2014/main" id="{0CDF9FDB-D965-4B69-B7DA-097A69AF871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6" name="TextBox 7">
          <a:extLst>
            <a:ext uri="{FF2B5EF4-FFF2-40B4-BE49-F238E27FC236}">
              <a16:creationId xmlns:a16="http://schemas.microsoft.com/office/drawing/2014/main" id="{C096FDED-6C65-43B2-9729-83695CD7D00C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7" name="TextBox 8">
          <a:extLst>
            <a:ext uri="{FF2B5EF4-FFF2-40B4-BE49-F238E27FC236}">
              <a16:creationId xmlns:a16="http://schemas.microsoft.com/office/drawing/2014/main" id="{22E047AF-0241-46F7-B614-F337B595AC1C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8" name="TextBox 2">
          <a:extLst>
            <a:ext uri="{FF2B5EF4-FFF2-40B4-BE49-F238E27FC236}">
              <a16:creationId xmlns:a16="http://schemas.microsoft.com/office/drawing/2014/main" id="{395F32C2-104D-4C95-84D1-EDA7F8B08BD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49" name="TextBox 4">
          <a:extLst>
            <a:ext uri="{FF2B5EF4-FFF2-40B4-BE49-F238E27FC236}">
              <a16:creationId xmlns:a16="http://schemas.microsoft.com/office/drawing/2014/main" id="{70BA4296-DFBE-428A-823D-FFAA06FA474E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0" name="TextBox 5">
          <a:extLst>
            <a:ext uri="{FF2B5EF4-FFF2-40B4-BE49-F238E27FC236}">
              <a16:creationId xmlns:a16="http://schemas.microsoft.com/office/drawing/2014/main" id="{827C3939-B11F-4F83-80CC-941885F1CCBA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1" name="TextBox 6">
          <a:extLst>
            <a:ext uri="{FF2B5EF4-FFF2-40B4-BE49-F238E27FC236}">
              <a16:creationId xmlns:a16="http://schemas.microsoft.com/office/drawing/2014/main" id="{DC059FAF-FE75-450C-9937-6B1E5327A088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2" name="TextBox 7">
          <a:extLst>
            <a:ext uri="{FF2B5EF4-FFF2-40B4-BE49-F238E27FC236}">
              <a16:creationId xmlns:a16="http://schemas.microsoft.com/office/drawing/2014/main" id="{5A45336F-FDCF-4267-8F54-B920EE9FEF6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3" name="TextBox 8">
          <a:extLst>
            <a:ext uri="{FF2B5EF4-FFF2-40B4-BE49-F238E27FC236}">
              <a16:creationId xmlns:a16="http://schemas.microsoft.com/office/drawing/2014/main" id="{8C40CF2B-DCDA-4C60-A815-2336F6999EC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4" name="TextBox 2">
          <a:extLst>
            <a:ext uri="{FF2B5EF4-FFF2-40B4-BE49-F238E27FC236}">
              <a16:creationId xmlns:a16="http://schemas.microsoft.com/office/drawing/2014/main" id="{0B5FF6F0-331F-4466-8E0E-B702EA7129E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5" name="TextBox 4">
          <a:extLst>
            <a:ext uri="{FF2B5EF4-FFF2-40B4-BE49-F238E27FC236}">
              <a16:creationId xmlns:a16="http://schemas.microsoft.com/office/drawing/2014/main" id="{C51A9347-3ED2-4DCC-988E-E0D4BEFCB6C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6" name="TextBox 5">
          <a:extLst>
            <a:ext uri="{FF2B5EF4-FFF2-40B4-BE49-F238E27FC236}">
              <a16:creationId xmlns:a16="http://schemas.microsoft.com/office/drawing/2014/main" id="{453B3A86-DBF3-4EFE-8C09-DB58FC50F6D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7" name="TextBox 6">
          <a:extLst>
            <a:ext uri="{FF2B5EF4-FFF2-40B4-BE49-F238E27FC236}">
              <a16:creationId xmlns:a16="http://schemas.microsoft.com/office/drawing/2014/main" id="{94F17760-0AE7-4B19-B605-397F014F0E2E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8" name="TextBox 7">
          <a:extLst>
            <a:ext uri="{FF2B5EF4-FFF2-40B4-BE49-F238E27FC236}">
              <a16:creationId xmlns:a16="http://schemas.microsoft.com/office/drawing/2014/main" id="{CF7CF00E-8F8C-49DA-8385-C265522AF903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59" name="TextBox 8">
          <a:extLst>
            <a:ext uri="{FF2B5EF4-FFF2-40B4-BE49-F238E27FC236}">
              <a16:creationId xmlns:a16="http://schemas.microsoft.com/office/drawing/2014/main" id="{2F3F48E9-3DB4-4D72-8666-BDE0DF1DD1DB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0" name="TextBox 2">
          <a:extLst>
            <a:ext uri="{FF2B5EF4-FFF2-40B4-BE49-F238E27FC236}">
              <a16:creationId xmlns:a16="http://schemas.microsoft.com/office/drawing/2014/main" id="{B6D16C6A-0F58-4BDA-A829-B93791F851AA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1" name="TextBox 4">
          <a:extLst>
            <a:ext uri="{FF2B5EF4-FFF2-40B4-BE49-F238E27FC236}">
              <a16:creationId xmlns:a16="http://schemas.microsoft.com/office/drawing/2014/main" id="{586DD6C1-040B-47F5-B8EC-1DC8B1399CB4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2" name="TextBox 5">
          <a:extLst>
            <a:ext uri="{FF2B5EF4-FFF2-40B4-BE49-F238E27FC236}">
              <a16:creationId xmlns:a16="http://schemas.microsoft.com/office/drawing/2014/main" id="{FA415E31-15E9-460C-9A50-F892030F1AB6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3" name="TextBox 6">
          <a:extLst>
            <a:ext uri="{FF2B5EF4-FFF2-40B4-BE49-F238E27FC236}">
              <a16:creationId xmlns:a16="http://schemas.microsoft.com/office/drawing/2014/main" id="{A1B2416E-A5FA-4B54-A709-20E296898936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4" name="TextBox 7">
          <a:extLst>
            <a:ext uri="{FF2B5EF4-FFF2-40B4-BE49-F238E27FC236}">
              <a16:creationId xmlns:a16="http://schemas.microsoft.com/office/drawing/2014/main" id="{C87ABE63-3C90-45C1-8464-3E110FA100B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5" name="TextBox 8">
          <a:extLst>
            <a:ext uri="{FF2B5EF4-FFF2-40B4-BE49-F238E27FC236}">
              <a16:creationId xmlns:a16="http://schemas.microsoft.com/office/drawing/2014/main" id="{1C9283CE-9A47-4439-8D12-63F98A425523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6" name="TextBox 2">
          <a:extLst>
            <a:ext uri="{FF2B5EF4-FFF2-40B4-BE49-F238E27FC236}">
              <a16:creationId xmlns:a16="http://schemas.microsoft.com/office/drawing/2014/main" id="{F090F439-E180-4B79-8945-A285CD04FC07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7" name="TextBox 4">
          <a:extLst>
            <a:ext uri="{FF2B5EF4-FFF2-40B4-BE49-F238E27FC236}">
              <a16:creationId xmlns:a16="http://schemas.microsoft.com/office/drawing/2014/main" id="{ABD84D20-FA33-4E98-A828-CFAC5F153C1D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8" name="TextBox 5">
          <a:extLst>
            <a:ext uri="{FF2B5EF4-FFF2-40B4-BE49-F238E27FC236}">
              <a16:creationId xmlns:a16="http://schemas.microsoft.com/office/drawing/2014/main" id="{391692BB-BC05-48AD-B8D5-4EB147A47FF6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69" name="TextBox 6">
          <a:extLst>
            <a:ext uri="{FF2B5EF4-FFF2-40B4-BE49-F238E27FC236}">
              <a16:creationId xmlns:a16="http://schemas.microsoft.com/office/drawing/2014/main" id="{14B142DA-8145-45AC-B2EE-4AB449DAAEE2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0" name="TextBox 7">
          <a:extLst>
            <a:ext uri="{FF2B5EF4-FFF2-40B4-BE49-F238E27FC236}">
              <a16:creationId xmlns:a16="http://schemas.microsoft.com/office/drawing/2014/main" id="{6C9458B3-E8BF-499E-AAB1-2A84023753D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1" name="TextBox 8">
          <a:extLst>
            <a:ext uri="{FF2B5EF4-FFF2-40B4-BE49-F238E27FC236}">
              <a16:creationId xmlns:a16="http://schemas.microsoft.com/office/drawing/2014/main" id="{CBEB217C-A14F-4D5B-8A0B-13AE83213CB8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2" name="TextBox 2">
          <a:extLst>
            <a:ext uri="{FF2B5EF4-FFF2-40B4-BE49-F238E27FC236}">
              <a16:creationId xmlns:a16="http://schemas.microsoft.com/office/drawing/2014/main" id="{F44F4176-85CE-47CD-A205-FA22D7CB2B22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3" name="TextBox 4">
          <a:extLst>
            <a:ext uri="{FF2B5EF4-FFF2-40B4-BE49-F238E27FC236}">
              <a16:creationId xmlns:a16="http://schemas.microsoft.com/office/drawing/2014/main" id="{032D9170-54D1-47C5-A270-727BCABE98CC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4" name="TextBox 5">
          <a:extLst>
            <a:ext uri="{FF2B5EF4-FFF2-40B4-BE49-F238E27FC236}">
              <a16:creationId xmlns:a16="http://schemas.microsoft.com/office/drawing/2014/main" id="{1ABCDFE7-2277-484D-B4C4-92C76E5D7B0E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5" name="TextBox 6">
          <a:extLst>
            <a:ext uri="{FF2B5EF4-FFF2-40B4-BE49-F238E27FC236}">
              <a16:creationId xmlns:a16="http://schemas.microsoft.com/office/drawing/2014/main" id="{FC4B6F21-AA10-4AC5-8390-40F84F871E7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6" name="TextBox 7">
          <a:extLst>
            <a:ext uri="{FF2B5EF4-FFF2-40B4-BE49-F238E27FC236}">
              <a16:creationId xmlns:a16="http://schemas.microsoft.com/office/drawing/2014/main" id="{DA9B6573-D5A4-4A35-8657-289E1BCB6355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7" name="TextBox 8">
          <a:extLst>
            <a:ext uri="{FF2B5EF4-FFF2-40B4-BE49-F238E27FC236}">
              <a16:creationId xmlns:a16="http://schemas.microsoft.com/office/drawing/2014/main" id="{7092B44B-BE73-4620-9374-130890418949}"/>
            </a:ext>
          </a:extLst>
        </xdr:cNvPr>
        <xdr:cNvSpPr txBox="1"/>
      </xdr:nvSpPr>
      <xdr:spPr>
        <a:xfrm flipH="1">
          <a:off x="1909762" y="26108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8" name="TextBox 2">
          <a:extLst>
            <a:ext uri="{FF2B5EF4-FFF2-40B4-BE49-F238E27FC236}">
              <a16:creationId xmlns:a16="http://schemas.microsoft.com/office/drawing/2014/main" id="{80669DFD-7003-40ED-A92E-375A4F454FDB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79" name="TextBox 4">
          <a:extLst>
            <a:ext uri="{FF2B5EF4-FFF2-40B4-BE49-F238E27FC236}">
              <a16:creationId xmlns:a16="http://schemas.microsoft.com/office/drawing/2014/main" id="{4ECFF79C-190E-4BE8-8B96-0289F19586EC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0" name="TextBox 5">
          <a:extLst>
            <a:ext uri="{FF2B5EF4-FFF2-40B4-BE49-F238E27FC236}">
              <a16:creationId xmlns:a16="http://schemas.microsoft.com/office/drawing/2014/main" id="{BB02D993-0263-42B9-9659-BCEBB9EFCE0D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1" name="TextBox 6">
          <a:extLst>
            <a:ext uri="{FF2B5EF4-FFF2-40B4-BE49-F238E27FC236}">
              <a16:creationId xmlns:a16="http://schemas.microsoft.com/office/drawing/2014/main" id="{483327C6-C3C2-4E64-BB4B-18BA2EE7AFC3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2" name="TextBox 7">
          <a:extLst>
            <a:ext uri="{FF2B5EF4-FFF2-40B4-BE49-F238E27FC236}">
              <a16:creationId xmlns:a16="http://schemas.microsoft.com/office/drawing/2014/main" id="{06FCCA02-55BC-49D3-A50E-6156533CF968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3" name="TextBox 8">
          <a:extLst>
            <a:ext uri="{FF2B5EF4-FFF2-40B4-BE49-F238E27FC236}">
              <a16:creationId xmlns:a16="http://schemas.microsoft.com/office/drawing/2014/main" id="{739A95AB-0E52-4FB0-AD96-B3F1F549BB61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4" name="TextBox 2">
          <a:extLst>
            <a:ext uri="{FF2B5EF4-FFF2-40B4-BE49-F238E27FC236}">
              <a16:creationId xmlns:a16="http://schemas.microsoft.com/office/drawing/2014/main" id="{1E4BDACD-FFB2-45C3-B503-BAA508FB1E63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5" name="TextBox 4">
          <a:extLst>
            <a:ext uri="{FF2B5EF4-FFF2-40B4-BE49-F238E27FC236}">
              <a16:creationId xmlns:a16="http://schemas.microsoft.com/office/drawing/2014/main" id="{DD88B122-2841-411D-A97E-A7D452F3A928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6" name="TextBox 5">
          <a:extLst>
            <a:ext uri="{FF2B5EF4-FFF2-40B4-BE49-F238E27FC236}">
              <a16:creationId xmlns:a16="http://schemas.microsoft.com/office/drawing/2014/main" id="{AB2EE997-8C4B-4563-BCCD-A5BAF3CE1238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7" name="TextBox 6">
          <a:extLst>
            <a:ext uri="{FF2B5EF4-FFF2-40B4-BE49-F238E27FC236}">
              <a16:creationId xmlns:a16="http://schemas.microsoft.com/office/drawing/2014/main" id="{49D962BC-6306-49BE-BDFA-F549B31DA6FE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8" name="TextBox 7">
          <a:extLst>
            <a:ext uri="{FF2B5EF4-FFF2-40B4-BE49-F238E27FC236}">
              <a16:creationId xmlns:a16="http://schemas.microsoft.com/office/drawing/2014/main" id="{E9F341AB-D720-47B0-903D-F00FB3339844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89" name="TextBox 8">
          <a:extLst>
            <a:ext uri="{FF2B5EF4-FFF2-40B4-BE49-F238E27FC236}">
              <a16:creationId xmlns:a16="http://schemas.microsoft.com/office/drawing/2014/main" id="{EABD1DF2-2B54-4C2E-9E7E-95E12FC267A5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0" name="TextBox 2">
          <a:extLst>
            <a:ext uri="{FF2B5EF4-FFF2-40B4-BE49-F238E27FC236}">
              <a16:creationId xmlns:a16="http://schemas.microsoft.com/office/drawing/2014/main" id="{3A1A7193-7E22-492F-9882-6CE949FD114C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1" name="TextBox 4">
          <a:extLst>
            <a:ext uri="{FF2B5EF4-FFF2-40B4-BE49-F238E27FC236}">
              <a16:creationId xmlns:a16="http://schemas.microsoft.com/office/drawing/2014/main" id="{980FAFE8-7D3D-4BE8-9DF2-318313BF7923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2" name="TextBox 5">
          <a:extLst>
            <a:ext uri="{FF2B5EF4-FFF2-40B4-BE49-F238E27FC236}">
              <a16:creationId xmlns:a16="http://schemas.microsoft.com/office/drawing/2014/main" id="{07757AB3-9256-4C64-B200-7B1DAB7149DE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3" name="TextBox 6">
          <a:extLst>
            <a:ext uri="{FF2B5EF4-FFF2-40B4-BE49-F238E27FC236}">
              <a16:creationId xmlns:a16="http://schemas.microsoft.com/office/drawing/2014/main" id="{4998E7C4-743E-4CF3-966B-B4EE382FED56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4" name="TextBox 7">
          <a:extLst>
            <a:ext uri="{FF2B5EF4-FFF2-40B4-BE49-F238E27FC236}">
              <a16:creationId xmlns:a16="http://schemas.microsoft.com/office/drawing/2014/main" id="{BD4ADE8D-4C3B-4F79-A070-B2E3DB6D9AC3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5" name="TextBox 8">
          <a:extLst>
            <a:ext uri="{FF2B5EF4-FFF2-40B4-BE49-F238E27FC236}">
              <a16:creationId xmlns:a16="http://schemas.microsoft.com/office/drawing/2014/main" id="{7A7B9D71-0CB0-4257-9480-BBF0A125C090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6" name="TextBox 2">
          <a:extLst>
            <a:ext uri="{FF2B5EF4-FFF2-40B4-BE49-F238E27FC236}">
              <a16:creationId xmlns:a16="http://schemas.microsoft.com/office/drawing/2014/main" id="{4B8AD194-821C-4A20-9D57-F3AC2E3C0B81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7" name="TextBox 4">
          <a:extLst>
            <a:ext uri="{FF2B5EF4-FFF2-40B4-BE49-F238E27FC236}">
              <a16:creationId xmlns:a16="http://schemas.microsoft.com/office/drawing/2014/main" id="{2590D759-E2B8-428B-A31B-C7CF8C5284B4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8" name="TextBox 5">
          <a:extLst>
            <a:ext uri="{FF2B5EF4-FFF2-40B4-BE49-F238E27FC236}">
              <a16:creationId xmlns:a16="http://schemas.microsoft.com/office/drawing/2014/main" id="{37056E53-E2CC-4F31-B91D-5DD0DE3B2B11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299" name="TextBox 6">
          <a:extLst>
            <a:ext uri="{FF2B5EF4-FFF2-40B4-BE49-F238E27FC236}">
              <a16:creationId xmlns:a16="http://schemas.microsoft.com/office/drawing/2014/main" id="{2792E01E-94F1-446E-8226-55B39BBD1DEC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0" name="TextBox 7">
          <a:extLst>
            <a:ext uri="{FF2B5EF4-FFF2-40B4-BE49-F238E27FC236}">
              <a16:creationId xmlns:a16="http://schemas.microsoft.com/office/drawing/2014/main" id="{60BD3186-446B-4C81-B88F-420D87866860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1" name="TextBox 8">
          <a:extLst>
            <a:ext uri="{FF2B5EF4-FFF2-40B4-BE49-F238E27FC236}">
              <a16:creationId xmlns:a16="http://schemas.microsoft.com/office/drawing/2014/main" id="{B0DE73D2-609A-4A7E-8AF9-1A8C4ADF4714}"/>
            </a:ext>
          </a:extLst>
        </xdr:cNvPr>
        <xdr:cNvSpPr txBox="1"/>
      </xdr:nvSpPr>
      <xdr:spPr>
        <a:xfrm flipH="1">
          <a:off x="1909762" y="257175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2" name="TextBox 15">
          <a:extLst>
            <a:ext uri="{FF2B5EF4-FFF2-40B4-BE49-F238E27FC236}">
              <a16:creationId xmlns:a16="http://schemas.microsoft.com/office/drawing/2014/main" id="{42B038B8-1CC1-4FD7-8548-11C3454A5107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3" name="TextBox 16">
          <a:extLst>
            <a:ext uri="{FF2B5EF4-FFF2-40B4-BE49-F238E27FC236}">
              <a16:creationId xmlns:a16="http://schemas.microsoft.com/office/drawing/2014/main" id="{69C799AE-CEEC-415E-93A5-CB615241F0E3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4" name="TextBox 17">
          <a:extLst>
            <a:ext uri="{FF2B5EF4-FFF2-40B4-BE49-F238E27FC236}">
              <a16:creationId xmlns:a16="http://schemas.microsoft.com/office/drawing/2014/main" id="{19E94F79-4F55-41B3-A94C-4614D6AC090C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5" name="TextBox 18">
          <a:extLst>
            <a:ext uri="{FF2B5EF4-FFF2-40B4-BE49-F238E27FC236}">
              <a16:creationId xmlns:a16="http://schemas.microsoft.com/office/drawing/2014/main" id="{4C1BC52F-F074-4363-A200-92DF91B0BC37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6" name="TextBox 15">
          <a:extLst>
            <a:ext uri="{FF2B5EF4-FFF2-40B4-BE49-F238E27FC236}">
              <a16:creationId xmlns:a16="http://schemas.microsoft.com/office/drawing/2014/main" id="{45CC8D8D-81ED-4233-8B49-EE21235E43B5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7" name="TextBox 16">
          <a:extLst>
            <a:ext uri="{FF2B5EF4-FFF2-40B4-BE49-F238E27FC236}">
              <a16:creationId xmlns:a16="http://schemas.microsoft.com/office/drawing/2014/main" id="{0217B337-4888-4AD1-B662-6F8CB210FBEE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8" name="TextBox 17">
          <a:extLst>
            <a:ext uri="{FF2B5EF4-FFF2-40B4-BE49-F238E27FC236}">
              <a16:creationId xmlns:a16="http://schemas.microsoft.com/office/drawing/2014/main" id="{BA13C814-A8E3-4C21-B76A-822F08EA42EE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09" name="TextBox 18">
          <a:extLst>
            <a:ext uri="{FF2B5EF4-FFF2-40B4-BE49-F238E27FC236}">
              <a16:creationId xmlns:a16="http://schemas.microsoft.com/office/drawing/2014/main" id="{7FA45F5A-149A-4B95-9B86-45CBF14BAE02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0" name="TextBox 5710">
          <a:extLst>
            <a:ext uri="{FF2B5EF4-FFF2-40B4-BE49-F238E27FC236}">
              <a16:creationId xmlns:a16="http://schemas.microsoft.com/office/drawing/2014/main" id="{D5E0004B-A382-4BCB-A7B2-3EBC079892A6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1" name="TextBox 5711">
          <a:extLst>
            <a:ext uri="{FF2B5EF4-FFF2-40B4-BE49-F238E27FC236}">
              <a16:creationId xmlns:a16="http://schemas.microsoft.com/office/drawing/2014/main" id="{ACE00E99-00AF-4935-8A89-36AE9AECBBD1}"/>
            </a:ext>
          </a:extLst>
        </xdr:cNvPr>
        <xdr:cNvSpPr txBox="1"/>
      </xdr:nvSpPr>
      <xdr:spPr>
        <a:xfrm>
          <a:off x="1909762" y="24155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2" name="TextBox 15">
          <a:extLst>
            <a:ext uri="{FF2B5EF4-FFF2-40B4-BE49-F238E27FC236}">
              <a16:creationId xmlns:a16="http://schemas.microsoft.com/office/drawing/2014/main" id="{9D5B63E2-8DFC-4956-8149-656E65613518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3" name="TextBox 16">
          <a:extLst>
            <a:ext uri="{FF2B5EF4-FFF2-40B4-BE49-F238E27FC236}">
              <a16:creationId xmlns:a16="http://schemas.microsoft.com/office/drawing/2014/main" id="{305B2353-F9C7-4E59-91EB-C5EB6B5A3990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4" name="TextBox 17">
          <a:extLst>
            <a:ext uri="{FF2B5EF4-FFF2-40B4-BE49-F238E27FC236}">
              <a16:creationId xmlns:a16="http://schemas.microsoft.com/office/drawing/2014/main" id="{32DFD187-53E3-4D55-BED7-C61FCFAB0BE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5" name="TextBox 18">
          <a:extLst>
            <a:ext uri="{FF2B5EF4-FFF2-40B4-BE49-F238E27FC236}">
              <a16:creationId xmlns:a16="http://schemas.microsoft.com/office/drawing/2014/main" id="{CF02933B-A787-4CB4-AB34-D269A540F236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6" name="TextBox 15">
          <a:extLst>
            <a:ext uri="{FF2B5EF4-FFF2-40B4-BE49-F238E27FC236}">
              <a16:creationId xmlns:a16="http://schemas.microsoft.com/office/drawing/2014/main" id="{1900E9E4-9ABB-445D-A8D6-DBED986D999F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7" name="TextBox 16">
          <a:extLst>
            <a:ext uri="{FF2B5EF4-FFF2-40B4-BE49-F238E27FC236}">
              <a16:creationId xmlns:a16="http://schemas.microsoft.com/office/drawing/2014/main" id="{6F66E5C6-D8B0-414D-B9B1-40A3723147B5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8" name="TextBox 17">
          <a:extLst>
            <a:ext uri="{FF2B5EF4-FFF2-40B4-BE49-F238E27FC236}">
              <a16:creationId xmlns:a16="http://schemas.microsoft.com/office/drawing/2014/main" id="{95F3509C-FA5D-4059-9DFE-F23E27AE907A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19" name="TextBox 18">
          <a:extLst>
            <a:ext uri="{FF2B5EF4-FFF2-40B4-BE49-F238E27FC236}">
              <a16:creationId xmlns:a16="http://schemas.microsoft.com/office/drawing/2014/main" id="{521D93D1-80E3-47A4-B23E-F703F150B59D}"/>
            </a:ext>
          </a:extLst>
        </xdr:cNvPr>
        <xdr:cNvSpPr txBox="1"/>
      </xdr:nvSpPr>
      <xdr:spPr>
        <a:xfrm>
          <a:off x="1909762" y="2454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0" name="TextBox 5720">
          <a:extLst>
            <a:ext uri="{FF2B5EF4-FFF2-40B4-BE49-F238E27FC236}">
              <a16:creationId xmlns:a16="http://schemas.microsoft.com/office/drawing/2014/main" id="{0F54DD89-DF11-4D44-BB12-F903A9539B31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1" name="TextBox 5721">
          <a:extLst>
            <a:ext uri="{FF2B5EF4-FFF2-40B4-BE49-F238E27FC236}">
              <a16:creationId xmlns:a16="http://schemas.microsoft.com/office/drawing/2014/main" id="{E8CFB861-338A-49BB-8E2E-440619B15786}"/>
            </a:ext>
          </a:extLst>
        </xdr:cNvPr>
        <xdr:cNvSpPr txBox="1"/>
      </xdr:nvSpPr>
      <xdr:spPr>
        <a:xfrm>
          <a:off x="1909762" y="23764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2" name="TextBox 5722">
          <a:extLst>
            <a:ext uri="{FF2B5EF4-FFF2-40B4-BE49-F238E27FC236}">
              <a16:creationId xmlns:a16="http://schemas.microsoft.com/office/drawing/2014/main" id="{9092467F-4D76-42A9-9B77-62BC17A4051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3" name="TextBox 5723">
          <a:extLst>
            <a:ext uri="{FF2B5EF4-FFF2-40B4-BE49-F238E27FC236}">
              <a16:creationId xmlns:a16="http://schemas.microsoft.com/office/drawing/2014/main" id="{63A053B4-122B-4C09-95E8-112DE385279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4" name="TextBox 5724">
          <a:extLst>
            <a:ext uri="{FF2B5EF4-FFF2-40B4-BE49-F238E27FC236}">
              <a16:creationId xmlns:a16="http://schemas.microsoft.com/office/drawing/2014/main" id="{ACF8A851-DBC6-403E-A8E0-3C7858F2BD3E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5" name="TextBox 5725">
          <a:extLst>
            <a:ext uri="{FF2B5EF4-FFF2-40B4-BE49-F238E27FC236}">
              <a16:creationId xmlns:a16="http://schemas.microsoft.com/office/drawing/2014/main" id="{1E8DC77F-586A-4B62-8A0A-A9B9E03AF75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6" name="TextBox 5726">
          <a:extLst>
            <a:ext uri="{FF2B5EF4-FFF2-40B4-BE49-F238E27FC236}">
              <a16:creationId xmlns:a16="http://schemas.microsoft.com/office/drawing/2014/main" id="{2D2BAD99-E6DD-4508-994D-1D78AFEB4878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7" name="TextBox 5727">
          <a:extLst>
            <a:ext uri="{FF2B5EF4-FFF2-40B4-BE49-F238E27FC236}">
              <a16:creationId xmlns:a16="http://schemas.microsoft.com/office/drawing/2014/main" id="{FDF40427-E909-4FC1-BFE5-8253F5A614A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8" name="TextBox 1">
          <a:extLst>
            <a:ext uri="{FF2B5EF4-FFF2-40B4-BE49-F238E27FC236}">
              <a16:creationId xmlns:a16="http://schemas.microsoft.com/office/drawing/2014/main" id="{4F37886D-48A8-43FF-B46D-F15A4A25CF6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29" name="TextBox 3">
          <a:extLst>
            <a:ext uri="{FF2B5EF4-FFF2-40B4-BE49-F238E27FC236}">
              <a16:creationId xmlns:a16="http://schemas.microsoft.com/office/drawing/2014/main" id="{4616C4E4-20A0-4A83-B334-FAC7887C86B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0" name="TextBox 5730">
          <a:extLst>
            <a:ext uri="{FF2B5EF4-FFF2-40B4-BE49-F238E27FC236}">
              <a16:creationId xmlns:a16="http://schemas.microsoft.com/office/drawing/2014/main" id="{59356880-3125-4013-8722-F28C2685EDA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1" name="TextBox 5731">
          <a:extLst>
            <a:ext uri="{FF2B5EF4-FFF2-40B4-BE49-F238E27FC236}">
              <a16:creationId xmlns:a16="http://schemas.microsoft.com/office/drawing/2014/main" id="{DE2BB4F8-F292-4895-A6B2-9CCF16EBE6E4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2" name="TextBox 5732">
          <a:extLst>
            <a:ext uri="{FF2B5EF4-FFF2-40B4-BE49-F238E27FC236}">
              <a16:creationId xmlns:a16="http://schemas.microsoft.com/office/drawing/2014/main" id="{98E4E6A6-A7AB-4C90-A0DA-80148E23422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3" name="TextBox 5733">
          <a:extLst>
            <a:ext uri="{FF2B5EF4-FFF2-40B4-BE49-F238E27FC236}">
              <a16:creationId xmlns:a16="http://schemas.microsoft.com/office/drawing/2014/main" id="{0CE660F9-F9FC-48B2-A714-0198B15B336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4" name="TextBox 5734">
          <a:extLst>
            <a:ext uri="{FF2B5EF4-FFF2-40B4-BE49-F238E27FC236}">
              <a16:creationId xmlns:a16="http://schemas.microsoft.com/office/drawing/2014/main" id="{E404E8FD-7188-4FA3-B321-28685A233F4F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5" name="TextBox 5735">
          <a:extLst>
            <a:ext uri="{FF2B5EF4-FFF2-40B4-BE49-F238E27FC236}">
              <a16:creationId xmlns:a16="http://schemas.microsoft.com/office/drawing/2014/main" id="{A1FAC313-0880-4D14-AF76-168629CEC854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6" name="TextBox 1">
          <a:extLst>
            <a:ext uri="{FF2B5EF4-FFF2-40B4-BE49-F238E27FC236}">
              <a16:creationId xmlns:a16="http://schemas.microsoft.com/office/drawing/2014/main" id="{329B819D-E4DE-49F2-A6B2-267365EB0CBF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7" name="TextBox 3">
          <a:extLst>
            <a:ext uri="{FF2B5EF4-FFF2-40B4-BE49-F238E27FC236}">
              <a16:creationId xmlns:a16="http://schemas.microsoft.com/office/drawing/2014/main" id="{02E65BFA-2184-4E87-BA2F-232F0EDD80E3}"/>
            </a:ext>
          </a:extLst>
        </xdr:cNvPr>
        <xdr:cNvSpPr txBox="1"/>
      </xdr:nvSpPr>
      <xdr:spPr>
        <a:xfrm>
          <a:off x="1909762" y="27670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8" name="TextBox 5738">
          <a:extLst>
            <a:ext uri="{FF2B5EF4-FFF2-40B4-BE49-F238E27FC236}">
              <a16:creationId xmlns:a16="http://schemas.microsoft.com/office/drawing/2014/main" id="{0D519A91-A2D2-4F8E-98A5-46E26C758247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39" name="TextBox 5739">
          <a:extLst>
            <a:ext uri="{FF2B5EF4-FFF2-40B4-BE49-F238E27FC236}">
              <a16:creationId xmlns:a16="http://schemas.microsoft.com/office/drawing/2014/main" id="{649D7858-75FC-4E57-BB9F-A76E8C01D256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0" name="TextBox 5740">
          <a:extLst>
            <a:ext uri="{FF2B5EF4-FFF2-40B4-BE49-F238E27FC236}">
              <a16:creationId xmlns:a16="http://schemas.microsoft.com/office/drawing/2014/main" id="{4CD606BA-6839-499A-89D7-B0BCC54A6870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1" name="TextBox 5741">
          <a:extLst>
            <a:ext uri="{FF2B5EF4-FFF2-40B4-BE49-F238E27FC236}">
              <a16:creationId xmlns:a16="http://schemas.microsoft.com/office/drawing/2014/main" id="{5B8D6A7A-2E6B-4442-8003-2E8A13296B7E}"/>
            </a:ext>
          </a:extLst>
        </xdr:cNvPr>
        <xdr:cNvSpPr txBox="1"/>
      </xdr:nvSpPr>
      <xdr:spPr>
        <a:xfrm>
          <a:off x="1909762" y="253269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2" name="TextBox 5742">
          <a:extLst>
            <a:ext uri="{FF2B5EF4-FFF2-40B4-BE49-F238E27FC236}">
              <a16:creationId xmlns:a16="http://schemas.microsoft.com/office/drawing/2014/main" id="{9B25E608-273A-4E42-8D79-C084D634912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3" name="TextBox 5743">
          <a:extLst>
            <a:ext uri="{FF2B5EF4-FFF2-40B4-BE49-F238E27FC236}">
              <a16:creationId xmlns:a16="http://schemas.microsoft.com/office/drawing/2014/main" id="{9DF1904B-0DEA-4A41-A400-FE30E1AF069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4" name="TextBox 5744">
          <a:extLst>
            <a:ext uri="{FF2B5EF4-FFF2-40B4-BE49-F238E27FC236}">
              <a16:creationId xmlns:a16="http://schemas.microsoft.com/office/drawing/2014/main" id="{288969C0-8D34-4DDC-A889-0BFB38A81D5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5" name="TextBox 5745">
          <a:extLst>
            <a:ext uri="{FF2B5EF4-FFF2-40B4-BE49-F238E27FC236}">
              <a16:creationId xmlns:a16="http://schemas.microsoft.com/office/drawing/2014/main" id="{4D8834F8-39E4-400E-8361-21CEB01FD6A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6" name="TextBox 15">
          <a:extLst>
            <a:ext uri="{FF2B5EF4-FFF2-40B4-BE49-F238E27FC236}">
              <a16:creationId xmlns:a16="http://schemas.microsoft.com/office/drawing/2014/main" id="{2928E2BC-7CA5-430F-9B65-06174CC3D781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7" name="TextBox 16">
          <a:extLst>
            <a:ext uri="{FF2B5EF4-FFF2-40B4-BE49-F238E27FC236}">
              <a16:creationId xmlns:a16="http://schemas.microsoft.com/office/drawing/2014/main" id="{D07B415F-D0EC-4A9F-87EE-A04E8A1FD22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8" name="TextBox 17">
          <a:extLst>
            <a:ext uri="{FF2B5EF4-FFF2-40B4-BE49-F238E27FC236}">
              <a16:creationId xmlns:a16="http://schemas.microsoft.com/office/drawing/2014/main" id="{F28F0902-3590-4905-8E7A-D08825D56478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49" name="TextBox 18">
          <a:extLst>
            <a:ext uri="{FF2B5EF4-FFF2-40B4-BE49-F238E27FC236}">
              <a16:creationId xmlns:a16="http://schemas.microsoft.com/office/drawing/2014/main" id="{A643B33D-7621-489E-8F5C-F410FC5C6E68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0" name="TextBox 5750">
          <a:extLst>
            <a:ext uri="{FF2B5EF4-FFF2-40B4-BE49-F238E27FC236}">
              <a16:creationId xmlns:a16="http://schemas.microsoft.com/office/drawing/2014/main" id="{0B92DBB4-3AA8-484E-9E3E-4DB1191867B8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1" name="TextBox 5751">
          <a:extLst>
            <a:ext uri="{FF2B5EF4-FFF2-40B4-BE49-F238E27FC236}">
              <a16:creationId xmlns:a16="http://schemas.microsoft.com/office/drawing/2014/main" id="{2794408C-36E6-492F-BA09-1E1A27A9CF9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2" name="TextBox 1">
          <a:extLst>
            <a:ext uri="{FF2B5EF4-FFF2-40B4-BE49-F238E27FC236}">
              <a16:creationId xmlns:a16="http://schemas.microsoft.com/office/drawing/2014/main" id="{9696B3B5-AF15-430E-A80D-D0C3738B564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3" name="TextBox 3">
          <a:extLst>
            <a:ext uri="{FF2B5EF4-FFF2-40B4-BE49-F238E27FC236}">
              <a16:creationId xmlns:a16="http://schemas.microsoft.com/office/drawing/2014/main" id="{808B937A-A411-43B9-8E96-57AB50F989A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4" name="TextBox 5754">
          <a:extLst>
            <a:ext uri="{FF2B5EF4-FFF2-40B4-BE49-F238E27FC236}">
              <a16:creationId xmlns:a16="http://schemas.microsoft.com/office/drawing/2014/main" id="{64A62A1B-69D7-48EE-932A-93D4C5156255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5" name="TextBox 5755">
          <a:extLst>
            <a:ext uri="{FF2B5EF4-FFF2-40B4-BE49-F238E27FC236}">
              <a16:creationId xmlns:a16="http://schemas.microsoft.com/office/drawing/2014/main" id="{DD6BF3E5-4137-4278-9B88-F4D269CE10B2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6" name="TextBox 5756">
          <a:extLst>
            <a:ext uri="{FF2B5EF4-FFF2-40B4-BE49-F238E27FC236}">
              <a16:creationId xmlns:a16="http://schemas.microsoft.com/office/drawing/2014/main" id="{CF61288E-5CA4-4B32-A6C1-4B575C2C0308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7" name="TextBox 5757">
          <a:extLst>
            <a:ext uri="{FF2B5EF4-FFF2-40B4-BE49-F238E27FC236}">
              <a16:creationId xmlns:a16="http://schemas.microsoft.com/office/drawing/2014/main" id="{6A784BDE-0D81-4F09-AD31-5D1AA1E2680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8" name="TextBox 5758">
          <a:extLst>
            <a:ext uri="{FF2B5EF4-FFF2-40B4-BE49-F238E27FC236}">
              <a16:creationId xmlns:a16="http://schemas.microsoft.com/office/drawing/2014/main" id="{A2F6B4C4-19DE-4B1E-BE77-CFB4B75348D3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59" name="TextBox 5759">
          <a:extLst>
            <a:ext uri="{FF2B5EF4-FFF2-40B4-BE49-F238E27FC236}">
              <a16:creationId xmlns:a16="http://schemas.microsoft.com/office/drawing/2014/main" id="{77D387E7-6B58-4D2C-A050-32948703860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0" name="TextBox 5760">
          <a:extLst>
            <a:ext uri="{FF2B5EF4-FFF2-40B4-BE49-F238E27FC236}">
              <a16:creationId xmlns:a16="http://schemas.microsoft.com/office/drawing/2014/main" id="{8B927A2A-5186-4873-BD8D-76C3D8BCBE60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1" name="TextBox 5761">
          <a:extLst>
            <a:ext uri="{FF2B5EF4-FFF2-40B4-BE49-F238E27FC236}">
              <a16:creationId xmlns:a16="http://schemas.microsoft.com/office/drawing/2014/main" id="{AC826FAE-098B-4F17-8AB1-CA4733F55345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2" name="TextBox 5762">
          <a:extLst>
            <a:ext uri="{FF2B5EF4-FFF2-40B4-BE49-F238E27FC236}">
              <a16:creationId xmlns:a16="http://schemas.microsoft.com/office/drawing/2014/main" id="{4B00BEAC-70EF-45F7-9CFF-F6694BF05E00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3" name="TextBox 5763">
          <a:extLst>
            <a:ext uri="{FF2B5EF4-FFF2-40B4-BE49-F238E27FC236}">
              <a16:creationId xmlns:a16="http://schemas.microsoft.com/office/drawing/2014/main" id="{6A69AA11-5969-4506-A2BB-850343754BE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4" name="TextBox 13">
          <a:extLst>
            <a:ext uri="{FF2B5EF4-FFF2-40B4-BE49-F238E27FC236}">
              <a16:creationId xmlns:a16="http://schemas.microsoft.com/office/drawing/2014/main" id="{8B48E8E3-5FB3-41EA-98F4-6B5A546F4DE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5" name="TextBox 14">
          <a:extLst>
            <a:ext uri="{FF2B5EF4-FFF2-40B4-BE49-F238E27FC236}">
              <a16:creationId xmlns:a16="http://schemas.microsoft.com/office/drawing/2014/main" id="{023C020A-1DB9-4823-A863-5B9BC622A618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6" name="TextBox 5766">
          <a:extLst>
            <a:ext uri="{FF2B5EF4-FFF2-40B4-BE49-F238E27FC236}">
              <a16:creationId xmlns:a16="http://schemas.microsoft.com/office/drawing/2014/main" id="{16B21653-DD64-486A-BE3A-BFDF8275B54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7" name="TextBox 5767">
          <a:extLst>
            <a:ext uri="{FF2B5EF4-FFF2-40B4-BE49-F238E27FC236}">
              <a16:creationId xmlns:a16="http://schemas.microsoft.com/office/drawing/2014/main" id="{C03AE1B6-AB00-4D87-B765-87D94BF4C8E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8" name="TextBox 5768">
          <a:extLst>
            <a:ext uri="{FF2B5EF4-FFF2-40B4-BE49-F238E27FC236}">
              <a16:creationId xmlns:a16="http://schemas.microsoft.com/office/drawing/2014/main" id="{529D29AB-7E96-4C88-94E9-8783248C2FE7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69" name="TextBox 5769">
          <a:extLst>
            <a:ext uri="{FF2B5EF4-FFF2-40B4-BE49-F238E27FC236}">
              <a16:creationId xmlns:a16="http://schemas.microsoft.com/office/drawing/2014/main" id="{D9BB769F-301E-4AF7-8CF8-17C28E6656C1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0" name="TextBox 15">
          <a:extLst>
            <a:ext uri="{FF2B5EF4-FFF2-40B4-BE49-F238E27FC236}">
              <a16:creationId xmlns:a16="http://schemas.microsoft.com/office/drawing/2014/main" id="{88404161-7230-4DAF-BAA3-E64534F51F7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1" name="TextBox 16">
          <a:extLst>
            <a:ext uri="{FF2B5EF4-FFF2-40B4-BE49-F238E27FC236}">
              <a16:creationId xmlns:a16="http://schemas.microsoft.com/office/drawing/2014/main" id="{0B20397C-F3FA-4A4A-BD46-4629DBA9F874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2" name="TextBox 17">
          <a:extLst>
            <a:ext uri="{FF2B5EF4-FFF2-40B4-BE49-F238E27FC236}">
              <a16:creationId xmlns:a16="http://schemas.microsoft.com/office/drawing/2014/main" id="{737F7B6D-D181-4407-A352-555C74BE6D79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3" name="TextBox 18">
          <a:extLst>
            <a:ext uri="{FF2B5EF4-FFF2-40B4-BE49-F238E27FC236}">
              <a16:creationId xmlns:a16="http://schemas.microsoft.com/office/drawing/2014/main" id="{09F57EE5-7645-4477-A66D-9370408F68FF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4" name="TextBox 5774">
          <a:extLst>
            <a:ext uri="{FF2B5EF4-FFF2-40B4-BE49-F238E27FC236}">
              <a16:creationId xmlns:a16="http://schemas.microsoft.com/office/drawing/2014/main" id="{360058FC-D548-4B3E-A307-735827B9D57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5" name="TextBox 5775">
          <a:extLst>
            <a:ext uri="{FF2B5EF4-FFF2-40B4-BE49-F238E27FC236}">
              <a16:creationId xmlns:a16="http://schemas.microsoft.com/office/drawing/2014/main" id="{818CF239-EFF5-4054-B16A-6B69D66ACB43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6" name="TextBox 1">
          <a:extLst>
            <a:ext uri="{FF2B5EF4-FFF2-40B4-BE49-F238E27FC236}">
              <a16:creationId xmlns:a16="http://schemas.microsoft.com/office/drawing/2014/main" id="{D07C2C42-BDFB-4498-AC94-A6EEB1481853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7" name="TextBox 3">
          <a:extLst>
            <a:ext uri="{FF2B5EF4-FFF2-40B4-BE49-F238E27FC236}">
              <a16:creationId xmlns:a16="http://schemas.microsoft.com/office/drawing/2014/main" id="{9FB69893-A281-4320-A7BC-50479067834D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8" name="TextBox 5778">
          <a:extLst>
            <a:ext uri="{FF2B5EF4-FFF2-40B4-BE49-F238E27FC236}">
              <a16:creationId xmlns:a16="http://schemas.microsoft.com/office/drawing/2014/main" id="{CB4D1357-679F-4648-AD5A-66548A69B76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79" name="TextBox 5779">
          <a:extLst>
            <a:ext uri="{FF2B5EF4-FFF2-40B4-BE49-F238E27FC236}">
              <a16:creationId xmlns:a16="http://schemas.microsoft.com/office/drawing/2014/main" id="{03FDDB1F-FE04-4ED8-9EA2-FF2921837304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0" name="TextBox 5780">
          <a:extLst>
            <a:ext uri="{FF2B5EF4-FFF2-40B4-BE49-F238E27FC236}">
              <a16:creationId xmlns:a16="http://schemas.microsoft.com/office/drawing/2014/main" id="{A66FDE98-3F88-4D50-8435-D8F1440EAF4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1" name="TextBox 5781">
          <a:extLst>
            <a:ext uri="{FF2B5EF4-FFF2-40B4-BE49-F238E27FC236}">
              <a16:creationId xmlns:a16="http://schemas.microsoft.com/office/drawing/2014/main" id="{8CBADA26-3FED-47F4-8AC9-8C180E472E73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2" name="TextBox 5782">
          <a:extLst>
            <a:ext uri="{FF2B5EF4-FFF2-40B4-BE49-F238E27FC236}">
              <a16:creationId xmlns:a16="http://schemas.microsoft.com/office/drawing/2014/main" id="{D32152CF-8156-443F-B794-5D7E7DDC391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3" name="TextBox 5783">
          <a:extLst>
            <a:ext uri="{FF2B5EF4-FFF2-40B4-BE49-F238E27FC236}">
              <a16:creationId xmlns:a16="http://schemas.microsoft.com/office/drawing/2014/main" id="{DE3BC9A2-55C9-4945-86F3-9E0F2DA27125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4" name="TextBox 5784">
          <a:extLst>
            <a:ext uri="{FF2B5EF4-FFF2-40B4-BE49-F238E27FC236}">
              <a16:creationId xmlns:a16="http://schemas.microsoft.com/office/drawing/2014/main" id="{004FF74E-73D7-43D2-B0A6-FCF0BEEBD25B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5" name="TextBox 5785">
          <a:extLst>
            <a:ext uri="{FF2B5EF4-FFF2-40B4-BE49-F238E27FC236}">
              <a16:creationId xmlns:a16="http://schemas.microsoft.com/office/drawing/2014/main" id="{D2A255D7-F970-48CE-9A62-24B6F7BE1F8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6" name="TextBox 5786">
          <a:extLst>
            <a:ext uri="{FF2B5EF4-FFF2-40B4-BE49-F238E27FC236}">
              <a16:creationId xmlns:a16="http://schemas.microsoft.com/office/drawing/2014/main" id="{DC5DC84D-176F-4A49-90DA-196D259AA3EE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7" name="TextBox 5787">
          <a:extLst>
            <a:ext uri="{FF2B5EF4-FFF2-40B4-BE49-F238E27FC236}">
              <a16:creationId xmlns:a16="http://schemas.microsoft.com/office/drawing/2014/main" id="{8C24FCBF-C9DE-448D-B8F3-37FEDF368235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8" name="TextBox 13">
          <a:extLst>
            <a:ext uri="{FF2B5EF4-FFF2-40B4-BE49-F238E27FC236}">
              <a16:creationId xmlns:a16="http://schemas.microsoft.com/office/drawing/2014/main" id="{695739E4-7159-4DFC-8408-2E956C6AE86C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89" name="TextBox 14">
          <a:extLst>
            <a:ext uri="{FF2B5EF4-FFF2-40B4-BE49-F238E27FC236}">
              <a16:creationId xmlns:a16="http://schemas.microsoft.com/office/drawing/2014/main" id="{7A15D70A-EF5E-49BA-9B0C-D4F138F34AF6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0" name="TextBox 5790">
          <a:extLst>
            <a:ext uri="{FF2B5EF4-FFF2-40B4-BE49-F238E27FC236}">
              <a16:creationId xmlns:a16="http://schemas.microsoft.com/office/drawing/2014/main" id="{6E771623-3751-4941-BC6E-C5C6029806A1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1" name="TextBox 5791">
          <a:extLst>
            <a:ext uri="{FF2B5EF4-FFF2-40B4-BE49-F238E27FC236}">
              <a16:creationId xmlns:a16="http://schemas.microsoft.com/office/drawing/2014/main" id="{C8A6659F-490B-4360-9EDA-BA758A6884EC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2" name="TextBox 5792">
          <a:extLst>
            <a:ext uri="{FF2B5EF4-FFF2-40B4-BE49-F238E27FC236}">
              <a16:creationId xmlns:a16="http://schemas.microsoft.com/office/drawing/2014/main" id="{42ED3D12-4055-4525-A1F4-9288EA808E8B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3" name="TextBox 5793">
          <a:extLst>
            <a:ext uri="{FF2B5EF4-FFF2-40B4-BE49-F238E27FC236}">
              <a16:creationId xmlns:a16="http://schemas.microsoft.com/office/drawing/2014/main" id="{C0CCC41D-18B7-4780-A6D3-3F1A93C7E424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4" name="TextBox 15">
          <a:extLst>
            <a:ext uri="{FF2B5EF4-FFF2-40B4-BE49-F238E27FC236}">
              <a16:creationId xmlns:a16="http://schemas.microsoft.com/office/drawing/2014/main" id="{99A3C589-A804-418A-970F-5159E043C848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5" name="TextBox 16">
          <a:extLst>
            <a:ext uri="{FF2B5EF4-FFF2-40B4-BE49-F238E27FC236}">
              <a16:creationId xmlns:a16="http://schemas.microsoft.com/office/drawing/2014/main" id="{424182D9-BA7C-4828-8997-7C3485AE01EB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6" name="TextBox 17">
          <a:extLst>
            <a:ext uri="{FF2B5EF4-FFF2-40B4-BE49-F238E27FC236}">
              <a16:creationId xmlns:a16="http://schemas.microsoft.com/office/drawing/2014/main" id="{7BE249F8-C41B-4338-A5B1-6F66C5C7FD9F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7" name="TextBox 18">
          <a:extLst>
            <a:ext uri="{FF2B5EF4-FFF2-40B4-BE49-F238E27FC236}">
              <a16:creationId xmlns:a16="http://schemas.microsoft.com/office/drawing/2014/main" id="{DA8BF38A-0126-42D0-81F8-CB7587912C00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8" name="TextBox 5798">
          <a:extLst>
            <a:ext uri="{FF2B5EF4-FFF2-40B4-BE49-F238E27FC236}">
              <a16:creationId xmlns:a16="http://schemas.microsoft.com/office/drawing/2014/main" id="{FEF92954-DC76-48E7-9B4B-874D5800FC82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399" name="TextBox 5799">
          <a:extLst>
            <a:ext uri="{FF2B5EF4-FFF2-40B4-BE49-F238E27FC236}">
              <a16:creationId xmlns:a16="http://schemas.microsoft.com/office/drawing/2014/main" id="{60DF1463-61A1-4A55-9FFB-65B89D66A459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0" name="TextBox 1">
          <a:extLst>
            <a:ext uri="{FF2B5EF4-FFF2-40B4-BE49-F238E27FC236}">
              <a16:creationId xmlns:a16="http://schemas.microsoft.com/office/drawing/2014/main" id="{8FBA8F10-1878-442B-ABC7-9D6E69F46988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1" name="TextBox 3">
          <a:extLst>
            <a:ext uri="{FF2B5EF4-FFF2-40B4-BE49-F238E27FC236}">
              <a16:creationId xmlns:a16="http://schemas.microsoft.com/office/drawing/2014/main" id="{50B07B8B-9F9B-4522-8A86-927751DF967D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2" name="TextBox 5802">
          <a:extLst>
            <a:ext uri="{FF2B5EF4-FFF2-40B4-BE49-F238E27FC236}">
              <a16:creationId xmlns:a16="http://schemas.microsoft.com/office/drawing/2014/main" id="{D37415CE-3EDF-4875-A5A4-776DFA85B71B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3" name="TextBox 5803">
          <a:extLst>
            <a:ext uri="{FF2B5EF4-FFF2-40B4-BE49-F238E27FC236}">
              <a16:creationId xmlns:a16="http://schemas.microsoft.com/office/drawing/2014/main" id="{3C922A4F-C113-45BF-A28C-5201F4F4B5C5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4" name="TextBox 5804">
          <a:extLst>
            <a:ext uri="{FF2B5EF4-FFF2-40B4-BE49-F238E27FC236}">
              <a16:creationId xmlns:a16="http://schemas.microsoft.com/office/drawing/2014/main" id="{C1C59211-90AA-498F-BB5A-3C71151524BB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5" name="TextBox 5805">
          <a:extLst>
            <a:ext uri="{FF2B5EF4-FFF2-40B4-BE49-F238E27FC236}">
              <a16:creationId xmlns:a16="http://schemas.microsoft.com/office/drawing/2014/main" id="{B7E289F7-00F5-494B-9C7C-8B7FC65CBD6C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6" name="TextBox 5806">
          <a:extLst>
            <a:ext uri="{FF2B5EF4-FFF2-40B4-BE49-F238E27FC236}">
              <a16:creationId xmlns:a16="http://schemas.microsoft.com/office/drawing/2014/main" id="{E7125E38-8CD0-4CD8-BA55-BDF86A86A4EA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7" name="TextBox 5807">
          <a:extLst>
            <a:ext uri="{FF2B5EF4-FFF2-40B4-BE49-F238E27FC236}">
              <a16:creationId xmlns:a16="http://schemas.microsoft.com/office/drawing/2014/main" id="{CAEBA9EA-90E9-4753-A117-1C985F1ED4EF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8" name="TextBox 5808">
          <a:extLst>
            <a:ext uri="{FF2B5EF4-FFF2-40B4-BE49-F238E27FC236}">
              <a16:creationId xmlns:a16="http://schemas.microsoft.com/office/drawing/2014/main" id="{51AEC4D5-D954-45E3-897A-1CBBBE0AFED3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09" name="TextBox 5809">
          <a:extLst>
            <a:ext uri="{FF2B5EF4-FFF2-40B4-BE49-F238E27FC236}">
              <a16:creationId xmlns:a16="http://schemas.microsoft.com/office/drawing/2014/main" id="{D220239B-5E4C-45BC-A71A-24EDD50C9F2F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0" name="TextBox 5810">
          <a:extLst>
            <a:ext uri="{FF2B5EF4-FFF2-40B4-BE49-F238E27FC236}">
              <a16:creationId xmlns:a16="http://schemas.microsoft.com/office/drawing/2014/main" id="{39068274-9011-4BE7-A922-A35F65213604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1" name="TextBox 5811">
          <a:extLst>
            <a:ext uri="{FF2B5EF4-FFF2-40B4-BE49-F238E27FC236}">
              <a16:creationId xmlns:a16="http://schemas.microsoft.com/office/drawing/2014/main" id="{23664EC4-780B-4661-943A-38FCA025CB68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2" name="TextBox 13">
          <a:extLst>
            <a:ext uri="{FF2B5EF4-FFF2-40B4-BE49-F238E27FC236}">
              <a16:creationId xmlns:a16="http://schemas.microsoft.com/office/drawing/2014/main" id="{A2CD306B-0D15-4EEE-B0A1-366E95A70E3F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3" name="TextBox 14">
          <a:extLst>
            <a:ext uri="{FF2B5EF4-FFF2-40B4-BE49-F238E27FC236}">
              <a16:creationId xmlns:a16="http://schemas.microsoft.com/office/drawing/2014/main" id="{725FCE6D-2C2B-45A0-8A02-002FB1ABBAFB}"/>
            </a:ext>
          </a:extLst>
        </xdr:cNvPr>
        <xdr:cNvSpPr txBox="1"/>
      </xdr:nvSpPr>
      <xdr:spPr>
        <a:xfrm>
          <a:off x="1909762" y="284511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4" name="TextBox 5814">
          <a:extLst>
            <a:ext uri="{FF2B5EF4-FFF2-40B4-BE49-F238E27FC236}">
              <a16:creationId xmlns:a16="http://schemas.microsoft.com/office/drawing/2014/main" id="{F1501F22-C53E-4B6A-B634-A305B6D306DB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5" name="TextBox 5815">
          <a:extLst>
            <a:ext uri="{FF2B5EF4-FFF2-40B4-BE49-F238E27FC236}">
              <a16:creationId xmlns:a16="http://schemas.microsoft.com/office/drawing/2014/main" id="{00DBA369-728A-418E-97A0-E3AC7462C30B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6" name="TextBox 5816">
          <a:extLst>
            <a:ext uri="{FF2B5EF4-FFF2-40B4-BE49-F238E27FC236}">
              <a16:creationId xmlns:a16="http://schemas.microsoft.com/office/drawing/2014/main" id="{E0F06159-EBAE-4220-845B-38E19A7B462B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7" name="TextBox 5817">
          <a:extLst>
            <a:ext uri="{FF2B5EF4-FFF2-40B4-BE49-F238E27FC236}">
              <a16:creationId xmlns:a16="http://schemas.microsoft.com/office/drawing/2014/main" id="{6E98E0C1-F807-492B-9EB9-81C1FF62523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8" name="TextBox 15">
          <a:extLst>
            <a:ext uri="{FF2B5EF4-FFF2-40B4-BE49-F238E27FC236}">
              <a16:creationId xmlns:a16="http://schemas.microsoft.com/office/drawing/2014/main" id="{A8C5DFF8-17F9-46F8-A250-CD09EA74B99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19" name="TextBox 16">
          <a:extLst>
            <a:ext uri="{FF2B5EF4-FFF2-40B4-BE49-F238E27FC236}">
              <a16:creationId xmlns:a16="http://schemas.microsoft.com/office/drawing/2014/main" id="{E269850D-09AC-4820-B667-88DDC13679BF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0" name="TextBox 17">
          <a:extLst>
            <a:ext uri="{FF2B5EF4-FFF2-40B4-BE49-F238E27FC236}">
              <a16:creationId xmlns:a16="http://schemas.microsoft.com/office/drawing/2014/main" id="{3B635ECD-66CF-46F7-9177-55FDAE6CE6A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1" name="TextBox 18">
          <a:extLst>
            <a:ext uri="{FF2B5EF4-FFF2-40B4-BE49-F238E27FC236}">
              <a16:creationId xmlns:a16="http://schemas.microsoft.com/office/drawing/2014/main" id="{BA40A8D5-7110-4B4B-A1F7-E9FAF4024ED1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2" name="TextBox 5822">
          <a:extLst>
            <a:ext uri="{FF2B5EF4-FFF2-40B4-BE49-F238E27FC236}">
              <a16:creationId xmlns:a16="http://schemas.microsoft.com/office/drawing/2014/main" id="{0FE1223C-6D6C-4083-BC33-F0C10E215916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3" name="TextBox 5823">
          <a:extLst>
            <a:ext uri="{FF2B5EF4-FFF2-40B4-BE49-F238E27FC236}">
              <a16:creationId xmlns:a16="http://schemas.microsoft.com/office/drawing/2014/main" id="{77B2AB8C-AE99-4AB2-9DE5-DB61C281B838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4" name="TextBox 1">
          <a:extLst>
            <a:ext uri="{FF2B5EF4-FFF2-40B4-BE49-F238E27FC236}">
              <a16:creationId xmlns:a16="http://schemas.microsoft.com/office/drawing/2014/main" id="{749DA891-5909-47AD-B536-51EA83DA36D4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5" name="TextBox 3">
          <a:extLst>
            <a:ext uri="{FF2B5EF4-FFF2-40B4-BE49-F238E27FC236}">
              <a16:creationId xmlns:a16="http://schemas.microsoft.com/office/drawing/2014/main" id="{E968D008-856C-43D0-9F4B-499DE6A94834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6" name="TextBox 5826">
          <a:extLst>
            <a:ext uri="{FF2B5EF4-FFF2-40B4-BE49-F238E27FC236}">
              <a16:creationId xmlns:a16="http://schemas.microsoft.com/office/drawing/2014/main" id="{F20C8A67-E859-4D58-A9A4-2B0389F3DA83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7" name="TextBox 5827">
          <a:extLst>
            <a:ext uri="{FF2B5EF4-FFF2-40B4-BE49-F238E27FC236}">
              <a16:creationId xmlns:a16="http://schemas.microsoft.com/office/drawing/2014/main" id="{0E1ADF9F-BAA0-4166-BAF1-89C57726C33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8" name="TextBox 5828">
          <a:extLst>
            <a:ext uri="{FF2B5EF4-FFF2-40B4-BE49-F238E27FC236}">
              <a16:creationId xmlns:a16="http://schemas.microsoft.com/office/drawing/2014/main" id="{93E6A3FD-B17C-47CA-A69B-D3FBC7214CAF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29" name="TextBox 5829">
          <a:extLst>
            <a:ext uri="{FF2B5EF4-FFF2-40B4-BE49-F238E27FC236}">
              <a16:creationId xmlns:a16="http://schemas.microsoft.com/office/drawing/2014/main" id="{85F72012-176C-42F5-BD7E-FD02735AF669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0" name="TextBox 5830">
          <a:extLst>
            <a:ext uri="{FF2B5EF4-FFF2-40B4-BE49-F238E27FC236}">
              <a16:creationId xmlns:a16="http://schemas.microsoft.com/office/drawing/2014/main" id="{3F075340-89CE-49E3-87F6-6FCD088200EF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1" name="TextBox 5831">
          <a:extLst>
            <a:ext uri="{FF2B5EF4-FFF2-40B4-BE49-F238E27FC236}">
              <a16:creationId xmlns:a16="http://schemas.microsoft.com/office/drawing/2014/main" id="{24AEC6A9-4179-43A7-9CCA-D25D975DB7BB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2" name="TextBox 5832">
          <a:extLst>
            <a:ext uri="{FF2B5EF4-FFF2-40B4-BE49-F238E27FC236}">
              <a16:creationId xmlns:a16="http://schemas.microsoft.com/office/drawing/2014/main" id="{C01343A5-A2C8-4758-8C39-F7924137F83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3" name="TextBox 5833">
          <a:extLst>
            <a:ext uri="{FF2B5EF4-FFF2-40B4-BE49-F238E27FC236}">
              <a16:creationId xmlns:a16="http://schemas.microsoft.com/office/drawing/2014/main" id="{98A9F557-6A63-4986-B20A-F0661B0E3A9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4" name="TextBox 5834">
          <a:extLst>
            <a:ext uri="{FF2B5EF4-FFF2-40B4-BE49-F238E27FC236}">
              <a16:creationId xmlns:a16="http://schemas.microsoft.com/office/drawing/2014/main" id="{09888BD7-469F-4E4C-ABFF-16D743EB67EE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5" name="TextBox 5835">
          <a:extLst>
            <a:ext uri="{FF2B5EF4-FFF2-40B4-BE49-F238E27FC236}">
              <a16:creationId xmlns:a16="http://schemas.microsoft.com/office/drawing/2014/main" id="{0BED467B-8FD3-4EB8-85A7-A3E3DD7FF552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6" name="TextBox 13">
          <a:extLst>
            <a:ext uri="{FF2B5EF4-FFF2-40B4-BE49-F238E27FC236}">
              <a16:creationId xmlns:a16="http://schemas.microsoft.com/office/drawing/2014/main" id="{92C76757-70F1-4C33-B010-C2BF06F0257C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7" name="TextBox 14">
          <a:extLst>
            <a:ext uri="{FF2B5EF4-FFF2-40B4-BE49-F238E27FC236}">
              <a16:creationId xmlns:a16="http://schemas.microsoft.com/office/drawing/2014/main" id="{9B01B693-8F35-4772-AA26-97146E5D64D5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8" name="TextBox 5838">
          <a:extLst>
            <a:ext uri="{FF2B5EF4-FFF2-40B4-BE49-F238E27FC236}">
              <a16:creationId xmlns:a16="http://schemas.microsoft.com/office/drawing/2014/main" id="{63CE2661-5FD2-407B-B99B-8372C361983F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39" name="TextBox 5839">
          <a:extLst>
            <a:ext uri="{FF2B5EF4-FFF2-40B4-BE49-F238E27FC236}">
              <a16:creationId xmlns:a16="http://schemas.microsoft.com/office/drawing/2014/main" id="{418AE211-1F86-4614-9D3D-1DA3F2D1967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0" name="TextBox 5840">
          <a:extLst>
            <a:ext uri="{FF2B5EF4-FFF2-40B4-BE49-F238E27FC236}">
              <a16:creationId xmlns:a16="http://schemas.microsoft.com/office/drawing/2014/main" id="{518701BA-41C7-4D7A-9DCD-326FD1167334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1" name="TextBox 5841">
          <a:extLst>
            <a:ext uri="{FF2B5EF4-FFF2-40B4-BE49-F238E27FC236}">
              <a16:creationId xmlns:a16="http://schemas.microsoft.com/office/drawing/2014/main" id="{413B5569-925B-4DB1-963E-2944FAAC0A61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2" name="TextBox 5842">
          <a:extLst>
            <a:ext uri="{FF2B5EF4-FFF2-40B4-BE49-F238E27FC236}">
              <a16:creationId xmlns:a16="http://schemas.microsoft.com/office/drawing/2014/main" id="{8435073B-C6EE-4DAA-9061-A9D7F32D846A}"/>
            </a:ext>
          </a:extLst>
        </xdr:cNvPr>
        <xdr:cNvSpPr txBox="1"/>
      </xdr:nvSpPr>
      <xdr:spPr>
        <a:xfrm>
          <a:off x="1909762" y="272796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3" name="TextBox 5843">
          <a:extLst>
            <a:ext uri="{FF2B5EF4-FFF2-40B4-BE49-F238E27FC236}">
              <a16:creationId xmlns:a16="http://schemas.microsoft.com/office/drawing/2014/main" id="{2A192978-B65B-4274-A760-5D0F52CDC437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4" name="TextBox 5844">
          <a:extLst>
            <a:ext uri="{FF2B5EF4-FFF2-40B4-BE49-F238E27FC236}">
              <a16:creationId xmlns:a16="http://schemas.microsoft.com/office/drawing/2014/main" id="{7959321C-76A3-4C02-9BCF-38BDA81BDDC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5" name="TextBox 5845">
          <a:extLst>
            <a:ext uri="{FF2B5EF4-FFF2-40B4-BE49-F238E27FC236}">
              <a16:creationId xmlns:a16="http://schemas.microsoft.com/office/drawing/2014/main" id="{32379BAA-FB3B-4C19-8003-44EB5C0CF6B7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6" name="TextBox 5846">
          <a:extLst>
            <a:ext uri="{FF2B5EF4-FFF2-40B4-BE49-F238E27FC236}">
              <a16:creationId xmlns:a16="http://schemas.microsoft.com/office/drawing/2014/main" id="{E299C0E3-710C-4336-9C09-EFCB0D0A71EA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7" name="TextBox 15">
          <a:extLst>
            <a:ext uri="{FF2B5EF4-FFF2-40B4-BE49-F238E27FC236}">
              <a16:creationId xmlns:a16="http://schemas.microsoft.com/office/drawing/2014/main" id="{0575FCF6-58A1-44BD-84C7-4BBAA72C86D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8" name="TextBox 16">
          <a:extLst>
            <a:ext uri="{FF2B5EF4-FFF2-40B4-BE49-F238E27FC236}">
              <a16:creationId xmlns:a16="http://schemas.microsoft.com/office/drawing/2014/main" id="{44386959-A571-4632-A444-FA8348CB32B3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49" name="TextBox 17">
          <a:extLst>
            <a:ext uri="{FF2B5EF4-FFF2-40B4-BE49-F238E27FC236}">
              <a16:creationId xmlns:a16="http://schemas.microsoft.com/office/drawing/2014/main" id="{95D0E7D1-809B-495A-BB4C-60E0566927CC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0" name="TextBox 18">
          <a:extLst>
            <a:ext uri="{FF2B5EF4-FFF2-40B4-BE49-F238E27FC236}">
              <a16:creationId xmlns:a16="http://schemas.microsoft.com/office/drawing/2014/main" id="{886E1327-EC5D-4BDD-94CA-9DF60664851C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1" name="TextBox 5851">
          <a:extLst>
            <a:ext uri="{FF2B5EF4-FFF2-40B4-BE49-F238E27FC236}">
              <a16:creationId xmlns:a16="http://schemas.microsoft.com/office/drawing/2014/main" id="{A5AE4128-2B24-4654-ACB0-BD19F32D09CC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2" name="TextBox 5852">
          <a:extLst>
            <a:ext uri="{FF2B5EF4-FFF2-40B4-BE49-F238E27FC236}">
              <a16:creationId xmlns:a16="http://schemas.microsoft.com/office/drawing/2014/main" id="{75A0D90A-0EE9-4EBF-8B27-8273F9EC595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3" name="TextBox 1">
          <a:extLst>
            <a:ext uri="{FF2B5EF4-FFF2-40B4-BE49-F238E27FC236}">
              <a16:creationId xmlns:a16="http://schemas.microsoft.com/office/drawing/2014/main" id="{65CEF8CF-10EA-4C63-9CBA-DA134FD3E6F8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4" name="TextBox 3">
          <a:extLst>
            <a:ext uri="{FF2B5EF4-FFF2-40B4-BE49-F238E27FC236}">
              <a16:creationId xmlns:a16="http://schemas.microsoft.com/office/drawing/2014/main" id="{DC968014-B023-493E-80BD-91CEF15FE42A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5" name="TextBox 5855">
          <a:extLst>
            <a:ext uri="{FF2B5EF4-FFF2-40B4-BE49-F238E27FC236}">
              <a16:creationId xmlns:a16="http://schemas.microsoft.com/office/drawing/2014/main" id="{F3FA0588-A843-40B0-A844-E962F2E81DD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6" name="TextBox 5856">
          <a:extLst>
            <a:ext uri="{FF2B5EF4-FFF2-40B4-BE49-F238E27FC236}">
              <a16:creationId xmlns:a16="http://schemas.microsoft.com/office/drawing/2014/main" id="{A78DA2DF-34EC-4029-9DCE-D51A10B6583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7" name="TextBox 5857">
          <a:extLst>
            <a:ext uri="{FF2B5EF4-FFF2-40B4-BE49-F238E27FC236}">
              <a16:creationId xmlns:a16="http://schemas.microsoft.com/office/drawing/2014/main" id="{E8CB36FE-445D-41F8-A766-D709F123991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8" name="TextBox 5858">
          <a:extLst>
            <a:ext uri="{FF2B5EF4-FFF2-40B4-BE49-F238E27FC236}">
              <a16:creationId xmlns:a16="http://schemas.microsoft.com/office/drawing/2014/main" id="{C4EE7540-AA1B-4A42-A0FD-2F494D068A99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59" name="TextBox 5859">
          <a:extLst>
            <a:ext uri="{FF2B5EF4-FFF2-40B4-BE49-F238E27FC236}">
              <a16:creationId xmlns:a16="http://schemas.microsoft.com/office/drawing/2014/main" id="{455CAB02-12EC-400E-9BD3-681D97BEB6B3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0" name="TextBox 5860">
          <a:extLst>
            <a:ext uri="{FF2B5EF4-FFF2-40B4-BE49-F238E27FC236}">
              <a16:creationId xmlns:a16="http://schemas.microsoft.com/office/drawing/2014/main" id="{20A5A3FB-0084-4632-B96F-02733167908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1" name="TextBox 5861">
          <a:extLst>
            <a:ext uri="{FF2B5EF4-FFF2-40B4-BE49-F238E27FC236}">
              <a16:creationId xmlns:a16="http://schemas.microsoft.com/office/drawing/2014/main" id="{51A0A68C-0012-48AA-A82D-23A0EC09543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2" name="TextBox 5862">
          <a:extLst>
            <a:ext uri="{FF2B5EF4-FFF2-40B4-BE49-F238E27FC236}">
              <a16:creationId xmlns:a16="http://schemas.microsoft.com/office/drawing/2014/main" id="{9F99E854-083B-4E2F-ACF4-B1F7E3EF7523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3" name="TextBox 5863">
          <a:extLst>
            <a:ext uri="{FF2B5EF4-FFF2-40B4-BE49-F238E27FC236}">
              <a16:creationId xmlns:a16="http://schemas.microsoft.com/office/drawing/2014/main" id="{5A992E75-AE2C-48DA-A1F5-ACFAA5E267A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4" name="TextBox 5864">
          <a:extLst>
            <a:ext uri="{FF2B5EF4-FFF2-40B4-BE49-F238E27FC236}">
              <a16:creationId xmlns:a16="http://schemas.microsoft.com/office/drawing/2014/main" id="{8C6F0C26-7E40-46C8-B020-02104257266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5" name="TextBox 13">
          <a:extLst>
            <a:ext uri="{FF2B5EF4-FFF2-40B4-BE49-F238E27FC236}">
              <a16:creationId xmlns:a16="http://schemas.microsoft.com/office/drawing/2014/main" id="{88240748-905B-4B6E-97B6-E45C7032C05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6" name="TextBox 14">
          <a:extLst>
            <a:ext uri="{FF2B5EF4-FFF2-40B4-BE49-F238E27FC236}">
              <a16:creationId xmlns:a16="http://schemas.microsoft.com/office/drawing/2014/main" id="{C8112557-6B8E-416B-A429-300306BEA6FA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7" name="TextBox 5867">
          <a:extLst>
            <a:ext uri="{FF2B5EF4-FFF2-40B4-BE49-F238E27FC236}">
              <a16:creationId xmlns:a16="http://schemas.microsoft.com/office/drawing/2014/main" id="{47CF8D1A-DECD-4A2E-93F8-1465A2B38445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8" name="TextBox 5868">
          <a:extLst>
            <a:ext uri="{FF2B5EF4-FFF2-40B4-BE49-F238E27FC236}">
              <a16:creationId xmlns:a16="http://schemas.microsoft.com/office/drawing/2014/main" id="{F2AE7EF3-62E9-4119-93BD-D1A1065F1F4F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69" name="TextBox 5869">
          <a:extLst>
            <a:ext uri="{FF2B5EF4-FFF2-40B4-BE49-F238E27FC236}">
              <a16:creationId xmlns:a16="http://schemas.microsoft.com/office/drawing/2014/main" id="{21D333F7-2ACB-474E-943F-D8187DFBD81F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0" name="TextBox 5870">
          <a:extLst>
            <a:ext uri="{FF2B5EF4-FFF2-40B4-BE49-F238E27FC236}">
              <a16:creationId xmlns:a16="http://schemas.microsoft.com/office/drawing/2014/main" id="{CA4A7F8D-4A2F-4E2E-B870-3734F1A40C7D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1" name="TextBox 15">
          <a:extLst>
            <a:ext uri="{FF2B5EF4-FFF2-40B4-BE49-F238E27FC236}">
              <a16:creationId xmlns:a16="http://schemas.microsoft.com/office/drawing/2014/main" id="{DC133720-F38D-43FE-9C5C-78132F86F7DC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2" name="TextBox 16">
          <a:extLst>
            <a:ext uri="{FF2B5EF4-FFF2-40B4-BE49-F238E27FC236}">
              <a16:creationId xmlns:a16="http://schemas.microsoft.com/office/drawing/2014/main" id="{71757EB9-DAFD-4DE1-AABA-BFF84387AA76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3" name="TextBox 17">
          <a:extLst>
            <a:ext uri="{FF2B5EF4-FFF2-40B4-BE49-F238E27FC236}">
              <a16:creationId xmlns:a16="http://schemas.microsoft.com/office/drawing/2014/main" id="{5CF025BF-A069-46F5-B0D4-EAC8A639C871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4" name="TextBox 18">
          <a:extLst>
            <a:ext uri="{FF2B5EF4-FFF2-40B4-BE49-F238E27FC236}">
              <a16:creationId xmlns:a16="http://schemas.microsoft.com/office/drawing/2014/main" id="{C570A8C8-A0C4-4B97-97BB-171402599DAE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5" name="TextBox 5875">
          <a:extLst>
            <a:ext uri="{FF2B5EF4-FFF2-40B4-BE49-F238E27FC236}">
              <a16:creationId xmlns:a16="http://schemas.microsoft.com/office/drawing/2014/main" id="{CDAC7622-4BF4-4CDA-9336-D3FE428B3440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6" name="TextBox 5876">
          <a:extLst>
            <a:ext uri="{FF2B5EF4-FFF2-40B4-BE49-F238E27FC236}">
              <a16:creationId xmlns:a16="http://schemas.microsoft.com/office/drawing/2014/main" id="{7D471B4C-1DAA-49AB-8F68-F21CB5A34E7B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7" name="TextBox 1">
          <a:extLst>
            <a:ext uri="{FF2B5EF4-FFF2-40B4-BE49-F238E27FC236}">
              <a16:creationId xmlns:a16="http://schemas.microsoft.com/office/drawing/2014/main" id="{A506B7F6-3CE4-4EC9-A5A1-E54B8FE686FF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8" name="TextBox 3">
          <a:extLst>
            <a:ext uri="{FF2B5EF4-FFF2-40B4-BE49-F238E27FC236}">
              <a16:creationId xmlns:a16="http://schemas.microsoft.com/office/drawing/2014/main" id="{40F18FAF-02F9-421E-A5A8-6EC963D668C4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79" name="TextBox 5879">
          <a:extLst>
            <a:ext uri="{FF2B5EF4-FFF2-40B4-BE49-F238E27FC236}">
              <a16:creationId xmlns:a16="http://schemas.microsoft.com/office/drawing/2014/main" id="{B564F2AB-15A6-4DB2-8511-E7905AAA15F7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0" name="TextBox 5880">
          <a:extLst>
            <a:ext uri="{FF2B5EF4-FFF2-40B4-BE49-F238E27FC236}">
              <a16:creationId xmlns:a16="http://schemas.microsoft.com/office/drawing/2014/main" id="{602E7036-C2EB-4CDF-BC54-64A2A840BA69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1" name="TextBox 5881">
          <a:extLst>
            <a:ext uri="{FF2B5EF4-FFF2-40B4-BE49-F238E27FC236}">
              <a16:creationId xmlns:a16="http://schemas.microsoft.com/office/drawing/2014/main" id="{ED4B663C-2AB6-4F5A-809D-A9D7CCB6147B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2" name="TextBox 5882">
          <a:extLst>
            <a:ext uri="{FF2B5EF4-FFF2-40B4-BE49-F238E27FC236}">
              <a16:creationId xmlns:a16="http://schemas.microsoft.com/office/drawing/2014/main" id="{2717DB8A-5A3A-4C6B-BC3E-9231D32A42A6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3" name="TextBox 5883">
          <a:extLst>
            <a:ext uri="{FF2B5EF4-FFF2-40B4-BE49-F238E27FC236}">
              <a16:creationId xmlns:a16="http://schemas.microsoft.com/office/drawing/2014/main" id="{3BC5FC92-03C5-4777-91BD-35292C1A7A82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4" name="TextBox 5884">
          <a:extLst>
            <a:ext uri="{FF2B5EF4-FFF2-40B4-BE49-F238E27FC236}">
              <a16:creationId xmlns:a16="http://schemas.microsoft.com/office/drawing/2014/main" id="{511D3DDA-10B5-40AC-8641-1FF8D5D53108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5" name="TextBox 5885">
          <a:extLst>
            <a:ext uri="{FF2B5EF4-FFF2-40B4-BE49-F238E27FC236}">
              <a16:creationId xmlns:a16="http://schemas.microsoft.com/office/drawing/2014/main" id="{6B1DCB0E-8846-4DA7-937B-48D8CE59EA91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6" name="TextBox 5886">
          <a:extLst>
            <a:ext uri="{FF2B5EF4-FFF2-40B4-BE49-F238E27FC236}">
              <a16:creationId xmlns:a16="http://schemas.microsoft.com/office/drawing/2014/main" id="{B2D254E8-9BA4-42DB-927E-6A6DC853EC90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7" name="TextBox 5887">
          <a:extLst>
            <a:ext uri="{FF2B5EF4-FFF2-40B4-BE49-F238E27FC236}">
              <a16:creationId xmlns:a16="http://schemas.microsoft.com/office/drawing/2014/main" id="{8A3D56E6-2AFD-4073-AD09-5E02CD099E52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8" name="TextBox 5888">
          <a:extLst>
            <a:ext uri="{FF2B5EF4-FFF2-40B4-BE49-F238E27FC236}">
              <a16:creationId xmlns:a16="http://schemas.microsoft.com/office/drawing/2014/main" id="{C5AD1B83-94B3-48BF-A6F4-C98C4C372C70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89" name="TextBox 13">
          <a:extLst>
            <a:ext uri="{FF2B5EF4-FFF2-40B4-BE49-F238E27FC236}">
              <a16:creationId xmlns:a16="http://schemas.microsoft.com/office/drawing/2014/main" id="{6931FC26-F613-4E77-B8DE-69895006EF17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0" name="TextBox 14">
          <a:extLst>
            <a:ext uri="{FF2B5EF4-FFF2-40B4-BE49-F238E27FC236}">
              <a16:creationId xmlns:a16="http://schemas.microsoft.com/office/drawing/2014/main" id="{EC22F645-CFA3-4E1C-9ECA-A0AB779147D8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1" name="TextBox 5891">
          <a:extLst>
            <a:ext uri="{FF2B5EF4-FFF2-40B4-BE49-F238E27FC236}">
              <a16:creationId xmlns:a16="http://schemas.microsoft.com/office/drawing/2014/main" id="{4FCA189D-BFA6-4477-A679-8D19F4969A39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2" name="TextBox 5892">
          <a:extLst>
            <a:ext uri="{FF2B5EF4-FFF2-40B4-BE49-F238E27FC236}">
              <a16:creationId xmlns:a16="http://schemas.microsoft.com/office/drawing/2014/main" id="{FF91EAFA-9CC4-4F8E-8EF5-4F49FB92598A}"/>
            </a:ext>
          </a:extLst>
        </xdr:cNvPr>
        <xdr:cNvSpPr txBox="1"/>
      </xdr:nvSpPr>
      <xdr:spPr>
        <a:xfrm>
          <a:off x="1909762" y="288417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3" name="TextBox 5893">
          <a:extLst>
            <a:ext uri="{FF2B5EF4-FFF2-40B4-BE49-F238E27FC236}">
              <a16:creationId xmlns:a16="http://schemas.microsoft.com/office/drawing/2014/main" id="{84B53946-022C-4526-A923-2FD93C094E0D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4" name="TextBox 5894">
          <a:extLst>
            <a:ext uri="{FF2B5EF4-FFF2-40B4-BE49-F238E27FC236}">
              <a16:creationId xmlns:a16="http://schemas.microsoft.com/office/drawing/2014/main" id="{C588E334-4239-466B-8A95-0FFE696048F0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5" name="TextBox 1">
          <a:extLst>
            <a:ext uri="{FF2B5EF4-FFF2-40B4-BE49-F238E27FC236}">
              <a16:creationId xmlns:a16="http://schemas.microsoft.com/office/drawing/2014/main" id="{C4B0F6C6-23DA-488A-84D3-D25FA000F02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6" name="TextBox 3">
          <a:extLst>
            <a:ext uri="{FF2B5EF4-FFF2-40B4-BE49-F238E27FC236}">
              <a16:creationId xmlns:a16="http://schemas.microsoft.com/office/drawing/2014/main" id="{94749E28-A5D5-4DC2-89B9-504A7C09307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7" name="TextBox 5897">
          <a:extLst>
            <a:ext uri="{FF2B5EF4-FFF2-40B4-BE49-F238E27FC236}">
              <a16:creationId xmlns:a16="http://schemas.microsoft.com/office/drawing/2014/main" id="{21D4D81D-2926-47D5-9F82-1599B4AB9C67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8" name="TextBox 5898">
          <a:extLst>
            <a:ext uri="{FF2B5EF4-FFF2-40B4-BE49-F238E27FC236}">
              <a16:creationId xmlns:a16="http://schemas.microsoft.com/office/drawing/2014/main" id="{10428BD0-8761-46CD-954D-C30E939EE2B6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499" name="TextBox 5899">
          <a:extLst>
            <a:ext uri="{FF2B5EF4-FFF2-40B4-BE49-F238E27FC236}">
              <a16:creationId xmlns:a16="http://schemas.microsoft.com/office/drawing/2014/main" id="{8A2A0DB0-7075-4445-8A97-AF46F3700381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0" name="TextBox 5900">
          <a:extLst>
            <a:ext uri="{FF2B5EF4-FFF2-40B4-BE49-F238E27FC236}">
              <a16:creationId xmlns:a16="http://schemas.microsoft.com/office/drawing/2014/main" id="{9977EF9D-12E9-40E9-B20F-40D95C31F96F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1" name="TextBox 5901">
          <a:extLst>
            <a:ext uri="{FF2B5EF4-FFF2-40B4-BE49-F238E27FC236}">
              <a16:creationId xmlns:a16="http://schemas.microsoft.com/office/drawing/2014/main" id="{BF9FC430-ADF3-466B-A56F-7DFB9FA901DB}"/>
            </a:ext>
          </a:extLst>
        </xdr:cNvPr>
        <xdr:cNvSpPr txBox="1"/>
      </xdr:nvSpPr>
      <xdr:spPr>
        <a:xfrm>
          <a:off x="1909762" y="29232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2" name="TextBox 5902">
          <a:extLst>
            <a:ext uri="{FF2B5EF4-FFF2-40B4-BE49-F238E27FC236}">
              <a16:creationId xmlns:a16="http://schemas.microsoft.com/office/drawing/2014/main" id="{B20CB7A3-028F-42FA-B15F-92CDCB2A2AB0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3" name="TextBox 5903">
          <a:extLst>
            <a:ext uri="{FF2B5EF4-FFF2-40B4-BE49-F238E27FC236}">
              <a16:creationId xmlns:a16="http://schemas.microsoft.com/office/drawing/2014/main" id="{E2A77EB5-FF01-457D-8B65-3AE1D9B1395F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4" name="TextBox 1">
          <a:extLst>
            <a:ext uri="{FF2B5EF4-FFF2-40B4-BE49-F238E27FC236}">
              <a16:creationId xmlns:a16="http://schemas.microsoft.com/office/drawing/2014/main" id="{271D16AC-F35C-43FC-8918-F0F26950DE1A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5" name="TextBox 3">
          <a:extLst>
            <a:ext uri="{FF2B5EF4-FFF2-40B4-BE49-F238E27FC236}">
              <a16:creationId xmlns:a16="http://schemas.microsoft.com/office/drawing/2014/main" id="{934583BD-CD59-497C-AB7D-D6C8AA01118B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6" name="TextBox 5906">
          <a:extLst>
            <a:ext uri="{FF2B5EF4-FFF2-40B4-BE49-F238E27FC236}">
              <a16:creationId xmlns:a16="http://schemas.microsoft.com/office/drawing/2014/main" id="{DF733680-C8C2-48A4-890B-135D0616064A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7" name="TextBox 5907">
          <a:extLst>
            <a:ext uri="{FF2B5EF4-FFF2-40B4-BE49-F238E27FC236}">
              <a16:creationId xmlns:a16="http://schemas.microsoft.com/office/drawing/2014/main" id="{88310362-47B8-437F-8C22-8D50C83546D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8" name="TextBox 5908">
          <a:extLst>
            <a:ext uri="{FF2B5EF4-FFF2-40B4-BE49-F238E27FC236}">
              <a16:creationId xmlns:a16="http://schemas.microsoft.com/office/drawing/2014/main" id="{E8CE331F-4B58-436F-971E-F3209EEF8197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09" name="TextBox 5909">
          <a:extLst>
            <a:ext uri="{FF2B5EF4-FFF2-40B4-BE49-F238E27FC236}">
              <a16:creationId xmlns:a16="http://schemas.microsoft.com/office/drawing/2014/main" id="{80C2EA0B-C308-4AD7-9D19-FADE3610C069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0" name="TextBox 15">
          <a:extLst>
            <a:ext uri="{FF2B5EF4-FFF2-40B4-BE49-F238E27FC236}">
              <a16:creationId xmlns:a16="http://schemas.microsoft.com/office/drawing/2014/main" id="{76EF28ED-F1C5-4BC8-BA3C-9EE3CC09BAA5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1" name="TextBox 16">
          <a:extLst>
            <a:ext uri="{FF2B5EF4-FFF2-40B4-BE49-F238E27FC236}">
              <a16:creationId xmlns:a16="http://schemas.microsoft.com/office/drawing/2014/main" id="{D9971CEF-B424-4D0C-8444-694BAC6A1C73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2" name="TextBox 17">
          <a:extLst>
            <a:ext uri="{FF2B5EF4-FFF2-40B4-BE49-F238E27FC236}">
              <a16:creationId xmlns:a16="http://schemas.microsoft.com/office/drawing/2014/main" id="{9A26D509-9001-4F47-B617-05E9C7B4051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3" name="TextBox 18">
          <a:extLst>
            <a:ext uri="{FF2B5EF4-FFF2-40B4-BE49-F238E27FC236}">
              <a16:creationId xmlns:a16="http://schemas.microsoft.com/office/drawing/2014/main" id="{98B83E48-C220-4A05-BB67-FB97A90616EB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4" name="TextBox 5914">
          <a:extLst>
            <a:ext uri="{FF2B5EF4-FFF2-40B4-BE49-F238E27FC236}">
              <a16:creationId xmlns:a16="http://schemas.microsoft.com/office/drawing/2014/main" id="{817980B8-B9BD-4D3C-8E5E-BC6FD22B74BE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5" name="TextBox 5915">
          <a:extLst>
            <a:ext uri="{FF2B5EF4-FFF2-40B4-BE49-F238E27FC236}">
              <a16:creationId xmlns:a16="http://schemas.microsoft.com/office/drawing/2014/main" id="{D76B3CF2-DFEC-4A2E-89EC-5BE088E89DB2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6" name="TextBox 1">
          <a:extLst>
            <a:ext uri="{FF2B5EF4-FFF2-40B4-BE49-F238E27FC236}">
              <a16:creationId xmlns:a16="http://schemas.microsoft.com/office/drawing/2014/main" id="{07084C01-0FDD-4B4C-AB77-7DDC7A8EC27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7" name="TextBox 3">
          <a:extLst>
            <a:ext uri="{FF2B5EF4-FFF2-40B4-BE49-F238E27FC236}">
              <a16:creationId xmlns:a16="http://schemas.microsoft.com/office/drawing/2014/main" id="{6E4453F3-0284-4353-874E-46760D39F413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8" name="TextBox 5918">
          <a:extLst>
            <a:ext uri="{FF2B5EF4-FFF2-40B4-BE49-F238E27FC236}">
              <a16:creationId xmlns:a16="http://schemas.microsoft.com/office/drawing/2014/main" id="{25B3F7E5-CB85-4993-BAC9-B5576E7E8858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19" name="TextBox 5919">
          <a:extLst>
            <a:ext uri="{FF2B5EF4-FFF2-40B4-BE49-F238E27FC236}">
              <a16:creationId xmlns:a16="http://schemas.microsoft.com/office/drawing/2014/main" id="{B8D97399-6033-45C0-9FE6-6163C185B9E4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0" name="TextBox 5920">
          <a:extLst>
            <a:ext uri="{FF2B5EF4-FFF2-40B4-BE49-F238E27FC236}">
              <a16:creationId xmlns:a16="http://schemas.microsoft.com/office/drawing/2014/main" id="{F278BDDA-4524-48FA-B4F8-0B020BFA9F9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1" name="TextBox 5921">
          <a:extLst>
            <a:ext uri="{FF2B5EF4-FFF2-40B4-BE49-F238E27FC236}">
              <a16:creationId xmlns:a16="http://schemas.microsoft.com/office/drawing/2014/main" id="{A9F595E8-FA1A-4F26-BBC2-CFEDDE0C4366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2" name="TextBox 5922">
          <a:extLst>
            <a:ext uri="{FF2B5EF4-FFF2-40B4-BE49-F238E27FC236}">
              <a16:creationId xmlns:a16="http://schemas.microsoft.com/office/drawing/2014/main" id="{3DA131BB-BB28-4CCB-A47C-DC7CE1006B5E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3" name="TextBox 5923">
          <a:extLst>
            <a:ext uri="{FF2B5EF4-FFF2-40B4-BE49-F238E27FC236}">
              <a16:creationId xmlns:a16="http://schemas.microsoft.com/office/drawing/2014/main" id="{98C9402C-891C-406D-97F9-4F6382EA8714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4" name="TextBox 5924">
          <a:extLst>
            <a:ext uri="{FF2B5EF4-FFF2-40B4-BE49-F238E27FC236}">
              <a16:creationId xmlns:a16="http://schemas.microsoft.com/office/drawing/2014/main" id="{649B07C6-ED99-406F-9EC8-F49DEDF4385F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5" name="TextBox 5925">
          <a:extLst>
            <a:ext uri="{FF2B5EF4-FFF2-40B4-BE49-F238E27FC236}">
              <a16:creationId xmlns:a16="http://schemas.microsoft.com/office/drawing/2014/main" id="{9F6710CC-0CA9-412E-A313-73D98165BBDD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6" name="TextBox 5926">
          <a:extLst>
            <a:ext uri="{FF2B5EF4-FFF2-40B4-BE49-F238E27FC236}">
              <a16:creationId xmlns:a16="http://schemas.microsoft.com/office/drawing/2014/main" id="{F81042CA-BD1B-439B-B9B4-2A7C51EE88F7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7" name="TextBox 5927">
          <a:extLst>
            <a:ext uri="{FF2B5EF4-FFF2-40B4-BE49-F238E27FC236}">
              <a16:creationId xmlns:a16="http://schemas.microsoft.com/office/drawing/2014/main" id="{F57A0FE7-ABAE-4042-9D85-5E68EEB0C40E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8" name="TextBox 13">
          <a:extLst>
            <a:ext uri="{FF2B5EF4-FFF2-40B4-BE49-F238E27FC236}">
              <a16:creationId xmlns:a16="http://schemas.microsoft.com/office/drawing/2014/main" id="{A28F6D30-F596-481C-BD40-C33B135AB043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29" name="TextBox 14">
          <a:extLst>
            <a:ext uri="{FF2B5EF4-FFF2-40B4-BE49-F238E27FC236}">
              <a16:creationId xmlns:a16="http://schemas.microsoft.com/office/drawing/2014/main" id="{FE07AD63-0CCB-45C8-B5E8-5901EAB70DA4}"/>
            </a:ext>
          </a:extLst>
        </xdr:cNvPr>
        <xdr:cNvSpPr txBox="1"/>
      </xdr:nvSpPr>
      <xdr:spPr>
        <a:xfrm>
          <a:off x="1909762" y="304038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0" name="TextBox 5930">
          <a:extLst>
            <a:ext uri="{FF2B5EF4-FFF2-40B4-BE49-F238E27FC236}">
              <a16:creationId xmlns:a16="http://schemas.microsoft.com/office/drawing/2014/main" id="{C046886C-17E2-4B2F-BA7A-BCDB470818FB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1" name="TextBox 5931">
          <a:extLst>
            <a:ext uri="{FF2B5EF4-FFF2-40B4-BE49-F238E27FC236}">
              <a16:creationId xmlns:a16="http://schemas.microsoft.com/office/drawing/2014/main" id="{2B08DE0E-3F40-415A-8BB0-9B82D4902E4C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2" name="TextBox 5932">
          <a:extLst>
            <a:ext uri="{FF2B5EF4-FFF2-40B4-BE49-F238E27FC236}">
              <a16:creationId xmlns:a16="http://schemas.microsoft.com/office/drawing/2014/main" id="{996104B5-7124-469F-A3E2-734782AB4700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3" name="TextBox 5933">
          <a:extLst>
            <a:ext uri="{FF2B5EF4-FFF2-40B4-BE49-F238E27FC236}">
              <a16:creationId xmlns:a16="http://schemas.microsoft.com/office/drawing/2014/main" id="{96EE5721-A146-41F2-8DF6-19AD40D3945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4" name="TextBox 15">
          <a:extLst>
            <a:ext uri="{FF2B5EF4-FFF2-40B4-BE49-F238E27FC236}">
              <a16:creationId xmlns:a16="http://schemas.microsoft.com/office/drawing/2014/main" id="{4123FE3A-F895-4D29-9760-D7A2C3EEDB18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5" name="TextBox 16">
          <a:extLst>
            <a:ext uri="{FF2B5EF4-FFF2-40B4-BE49-F238E27FC236}">
              <a16:creationId xmlns:a16="http://schemas.microsoft.com/office/drawing/2014/main" id="{ADB2F8D4-D255-4B6B-B059-62EC1E39B26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6" name="TextBox 17">
          <a:extLst>
            <a:ext uri="{FF2B5EF4-FFF2-40B4-BE49-F238E27FC236}">
              <a16:creationId xmlns:a16="http://schemas.microsoft.com/office/drawing/2014/main" id="{8BED22C1-F45E-4BCD-B991-BDCE8057AD8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7" name="TextBox 18">
          <a:extLst>
            <a:ext uri="{FF2B5EF4-FFF2-40B4-BE49-F238E27FC236}">
              <a16:creationId xmlns:a16="http://schemas.microsoft.com/office/drawing/2014/main" id="{2A977108-0178-4525-9E19-0663317DD283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8" name="TextBox 5938">
          <a:extLst>
            <a:ext uri="{FF2B5EF4-FFF2-40B4-BE49-F238E27FC236}">
              <a16:creationId xmlns:a16="http://schemas.microsoft.com/office/drawing/2014/main" id="{79431168-4A82-472A-9479-4B3D6A8BF30A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39" name="TextBox 5939">
          <a:extLst>
            <a:ext uri="{FF2B5EF4-FFF2-40B4-BE49-F238E27FC236}">
              <a16:creationId xmlns:a16="http://schemas.microsoft.com/office/drawing/2014/main" id="{9E89AAB9-AF96-4656-9897-CAED1C29F29B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0" name="TextBox 1">
          <a:extLst>
            <a:ext uri="{FF2B5EF4-FFF2-40B4-BE49-F238E27FC236}">
              <a16:creationId xmlns:a16="http://schemas.microsoft.com/office/drawing/2014/main" id="{DEA54971-43B1-4A4D-B2DF-7A957BBF6B32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1" name="TextBox 3">
          <a:extLst>
            <a:ext uri="{FF2B5EF4-FFF2-40B4-BE49-F238E27FC236}">
              <a16:creationId xmlns:a16="http://schemas.microsoft.com/office/drawing/2014/main" id="{A29774CF-4AD1-4BDB-8FAE-66908DA5E5FB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2" name="TextBox 5942">
          <a:extLst>
            <a:ext uri="{FF2B5EF4-FFF2-40B4-BE49-F238E27FC236}">
              <a16:creationId xmlns:a16="http://schemas.microsoft.com/office/drawing/2014/main" id="{CCC069C1-A422-4F0A-B053-DB787715911C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3" name="TextBox 5943">
          <a:extLst>
            <a:ext uri="{FF2B5EF4-FFF2-40B4-BE49-F238E27FC236}">
              <a16:creationId xmlns:a16="http://schemas.microsoft.com/office/drawing/2014/main" id="{8053DCAC-D877-4964-A783-1CE417E9BF64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4" name="TextBox 5944">
          <a:extLst>
            <a:ext uri="{FF2B5EF4-FFF2-40B4-BE49-F238E27FC236}">
              <a16:creationId xmlns:a16="http://schemas.microsoft.com/office/drawing/2014/main" id="{7EBB5E65-5EA9-455D-AE9B-9E261B7F4D4B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5" name="TextBox 5945">
          <a:extLst>
            <a:ext uri="{FF2B5EF4-FFF2-40B4-BE49-F238E27FC236}">
              <a16:creationId xmlns:a16="http://schemas.microsoft.com/office/drawing/2014/main" id="{4041B5B7-00F8-40CF-8E84-B557A42ABE9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6" name="TextBox 5946">
          <a:extLst>
            <a:ext uri="{FF2B5EF4-FFF2-40B4-BE49-F238E27FC236}">
              <a16:creationId xmlns:a16="http://schemas.microsoft.com/office/drawing/2014/main" id="{BEA2F1DC-4075-4709-9FF5-8D2AB787C314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7" name="TextBox 5947">
          <a:extLst>
            <a:ext uri="{FF2B5EF4-FFF2-40B4-BE49-F238E27FC236}">
              <a16:creationId xmlns:a16="http://schemas.microsoft.com/office/drawing/2014/main" id="{87809A7E-6158-4333-AD85-FC5942EEB3C7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8" name="TextBox 5948">
          <a:extLst>
            <a:ext uri="{FF2B5EF4-FFF2-40B4-BE49-F238E27FC236}">
              <a16:creationId xmlns:a16="http://schemas.microsoft.com/office/drawing/2014/main" id="{E24DB757-7FA4-431E-8F7A-0D3F48DBE5F2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49" name="TextBox 5949">
          <a:extLst>
            <a:ext uri="{FF2B5EF4-FFF2-40B4-BE49-F238E27FC236}">
              <a16:creationId xmlns:a16="http://schemas.microsoft.com/office/drawing/2014/main" id="{32D5AEAA-DDBD-4EDF-A914-135D06C422C6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0" name="TextBox 5950">
          <a:extLst>
            <a:ext uri="{FF2B5EF4-FFF2-40B4-BE49-F238E27FC236}">
              <a16:creationId xmlns:a16="http://schemas.microsoft.com/office/drawing/2014/main" id="{784BA769-92F7-47D7-A3F7-FFE6ED025461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1" name="TextBox 5951">
          <a:extLst>
            <a:ext uri="{FF2B5EF4-FFF2-40B4-BE49-F238E27FC236}">
              <a16:creationId xmlns:a16="http://schemas.microsoft.com/office/drawing/2014/main" id="{09809357-721A-488A-8030-FD181A140B82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2" name="TextBox 13">
          <a:extLst>
            <a:ext uri="{FF2B5EF4-FFF2-40B4-BE49-F238E27FC236}">
              <a16:creationId xmlns:a16="http://schemas.microsoft.com/office/drawing/2014/main" id="{7F6B3309-6092-4938-9CF1-EE9D0F71280E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3" name="TextBox 14">
          <a:extLst>
            <a:ext uri="{FF2B5EF4-FFF2-40B4-BE49-F238E27FC236}">
              <a16:creationId xmlns:a16="http://schemas.microsoft.com/office/drawing/2014/main" id="{320B697F-E687-4748-94B9-11B9D01B4BFD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4" name="TextBox 5954">
          <a:extLst>
            <a:ext uri="{FF2B5EF4-FFF2-40B4-BE49-F238E27FC236}">
              <a16:creationId xmlns:a16="http://schemas.microsoft.com/office/drawing/2014/main" id="{35220794-9B06-4E00-A58F-3008734EDAE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5" name="TextBox 5955">
          <a:extLst>
            <a:ext uri="{FF2B5EF4-FFF2-40B4-BE49-F238E27FC236}">
              <a16:creationId xmlns:a16="http://schemas.microsoft.com/office/drawing/2014/main" id="{947712C3-BF28-4BC4-81BD-897817DE3E28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6" name="TextBox 5956">
          <a:extLst>
            <a:ext uri="{FF2B5EF4-FFF2-40B4-BE49-F238E27FC236}">
              <a16:creationId xmlns:a16="http://schemas.microsoft.com/office/drawing/2014/main" id="{2AEE93FC-8961-4E53-9B91-2B0A4DF7E689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7" name="TextBox 5957">
          <a:extLst>
            <a:ext uri="{FF2B5EF4-FFF2-40B4-BE49-F238E27FC236}">
              <a16:creationId xmlns:a16="http://schemas.microsoft.com/office/drawing/2014/main" id="{3CF4BB48-7DB6-4BCC-AC0B-DC985D1060B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8" name="TextBox 15">
          <a:extLst>
            <a:ext uri="{FF2B5EF4-FFF2-40B4-BE49-F238E27FC236}">
              <a16:creationId xmlns:a16="http://schemas.microsoft.com/office/drawing/2014/main" id="{E3D3D9DC-7393-4891-A281-9AE00ED8524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59" name="TextBox 16">
          <a:extLst>
            <a:ext uri="{FF2B5EF4-FFF2-40B4-BE49-F238E27FC236}">
              <a16:creationId xmlns:a16="http://schemas.microsoft.com/office/drawing/2014/main" id="{F3E5D980-5B11-40C0-88E0-A9354A542A3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0" name="TextBox 17">
          <a:extLst>
            <a:ext uri="{FF2B5EF4-FFF2-40B4-BE49-F238E27FC236}">
              <a16:creationId xmlns:a16="http://schemas.microsoft.com/office/drawing/2014/main" id="{459D98FE-FB19-4E0D-B176-CA2C8B29C3E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1" name="TextBox 18">
          <a:extLst>
            <a:ext uri="{FF2B5EF4-FFF2-40B4-BE49-F238E27FC236}">
              <a16:creationId xmlns:a16="http://schemas.microsoft.com/office/drawing/2014/main" id="{8F222AA1-8024-4CB4-B438-58AC1A1C6C2D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2" name="TextBox 5962">
          <a:extLst>
            <a:ext uri="{FF2B5EF4-FFF2-40B4-BE49-F238E27FC236}">
              <a16:creationId xmlns:a16="http://schemas.microsoft.com/office/drawing/2014/main" id="{7B3BC964-C927-41E0-96C3-7EF7EE4DC15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3" name="TextBox 5963">
          <a:extLst>
            <a:ext uri="{FF2B5EF4-FFF2-40B4-BE49-F238E27FC236}">
              <a16:creationId xmlns:a16="http://schemas.microsoft.com/office/drawing/2014/main" id="{A2E1C559-7B2E-40A4-A836-008923C5D70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4" name="TextBox 1">
          <a:extLst>
            <a:ext uri="{FF2B5EF4-FFF2-40B4-BE49-F238E27FC236}">
              <a16:creationId xmlns:a16="http://schemas.microsoft.com/office/drawing/2014/main" id="{85C43421-E025-41F5-9A2C-AE77A89639D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5" name="TextBox 3">
          <a:extLst>
            <a:ext uri="{FF2B5EF4-FFF2-40B4-BE49-F238E27FC236}">
              <a16:creationId xmlns:a16="http://schemas.microsoft.com/office/drawing/2014/main" id="{4FF22DC5-9CAA-4355-8A8E-B90FA9E92A34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6" name="TextBox 5966">
          <a:extLst>
            <a:ext uri="{FF2B5EF4-FFF2-40B4-BE49-F238E27FC236}">
              <a16:creationId xmlns:a16="http://schemas.microsoft.com/office/drawing/2014/main" id="{AC7FE0BC-DCFE-4DE5-B87F-54DB53C10D5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7" name="TextBox 5967">
          <a:extLst>
            <a:ext uri="{FF2B5EF4-FFF2-40B4-BE49-F238E27FC236}">
              <a16:creationId xmlns:a16="http://schemas.microsoft.com/office/drawing/2014/main" id="{16338CA5-0957-4DCA-9080-8E1BF826954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8" name="TextBox 5968">
          <a:extLst>
            <a:ext uri="{FF2B5EF4-FFF2-40B4-BE49-F238E27FC236}">
              <a16:creationId xmlns:a16="http://schemas.microsoft.com/office/drawing/2014/main" id="{B67547A7-E77B-48C3-93D0-376C16D665D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69" name="TextBox 5969">
          <a:extLst>
            <a:ext uri="{FF2B5EF4-FFF2-40B4-BE49-F238E27FC236}">
              <a16:creationId xmlns:a16="http://schemas.microsoft.com/office/drawing/2014/main" id="{FD4474D4-4B37-4A0A-9CFA-D164F51C252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0" name="TextBox 5970">
          <a:extLst>
            <a:ext uri="{FF2B5EF4-FFF2-40B4-BE49-F238E27FC236}">
              <a16:creationId xmlns:a16="http://schemas.microsoft.com/office/drawing/2014/main" id="{B9E139A9-D5DB-4F2D-BD87-1383E588E52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1" name="TextBox 5971">
          <a:extLst>
            <a:ext uri="{FF2B5EF4-FFF2-40B4-BE49-F238E27FC236}">
              <a16:creationId xmlns:a16="http://schemas.microsoft.com/office/drawing/2014/main" id="{607EFB66-38D6-4D48-A17A-2E43EF9FBCD2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2" name="TextBox 5972">
          <a:extLst>
            <a:ext uri="{FF2B5EF4-FFF2-40B4-BE49-F238E27FC236}">
              <a16:creationId xmlns:a16="http://schemas.microsoft.com/office/drawing/2014/main" id="{99311DED-BEB6-43C0-865E-7CC88B01406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3" name="TextBox 5973">
          <a:extLst>
            <a:ext uri="{FF2B5EF4-FFF2-40B4-BE49-F238E27FC236}">
              <a16:creationId xmlns:a16="http://schemas.microsoft.com/office/drawing/2014/main" id="{7EF10299-BDCF-486B-B682-B46B9EBD96DA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4" name="TextBox 5974">
          <a:extLst>
            <a:ext uri="{FF2B5EF4-FFF2-40B4-BE49-F238E27FC236}">
              <a16:creationId xmlns:a16="http://schemas.microsoft.com/office/drawing/2014/main" id="{A55353CF-3F6F-4D1B-AF46-2E2F65D6D17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5" name="TextBox 5975">
          <a:extLst>
            <a:ext uri="{FF2B5EF4-FFF2-40B4-BE49-F238E27FC236}">
              <a16:creationId xmlns:a16="http://schemas.microsoft.com/office/drawing/2014/main" id="{C9A7B520-5C77-49D6-AF92-219ACB903B19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6" name="TextBox 13">
          <a:extLst>
            <a:ext uri="{FF2B5EF4-FFF2-40B4-BE49-F238E27FC236}">
              <a16:creationId xmlns:a16="http://schemas.microsoft.com/office/drawing/2014/main" id="{BCD2E1C6-E6E7-4792-8A62-B9E9E5434F34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7" name="TextBox 14">
          <a:extLst>
            <a:ext uri="{FF2B5EF4-FFF2-40B4-BE49-F238E27FC236}">
              <a16:creationId xmlns:a16="http://schemas.microsoft.com/office/drawing/2014/main" id="{27AFFC48-BFB8-48A4-8DB4-085C8310845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8" name="TextBox 5978">
          <a:extLst>
            <a:ext uri="{FF2B5EF4-FFF2-40B4-BE49-F238E27FC236}">
              <a16:creationId xmlns:a16="http://schemas.microsoft.com/office/drawing/2014/main" id="{28DD68FE-152D-4068-ABE7-F41EA1CD6D6B}"/>
            </a:ext>
          </a:extLst>
        </xdr:cNvPr>
        <xdr:cNvSpPr txBox="1"/>
      </xdr:nvSpPr>
      <xdr:spPr>
        <a:xfrm>
          <a:off x="1909762" y="35090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79" name="TextBox 5979">
          <a:extLst>
            <a:ext uri="{FF2B5EF4-FFF2-40B4-BE49-F238E27FC236}">
              <a16:creationId xmlns:a16="http://schemas.microsoft.com/office/drawing/2014/main" id="{D526A8D4-A2F0-45A4-BDB5-0C51F5F452A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0" name="TextBox 5980">
          <a:extLst>
            <a:ext uri="{FF2B5EF4-FFF2-40B4-BE49-F238E27FC236}">
              <a16:creationId xmlns:a16="http://schemas.microsoft.com/office/drawing/2014/main" id="{AEBEA963-9A30-4DBB-AD36-024DB2FF190D}"/>
            </a:ext>
          </a:extLst>
        </xdr:cNvPr>
        <xdr:cNvSpPr txBox="1"/>
      </xdr:nvSpPr>
      <xdr:spPr>
        <a:xfrm>
          <a:off x="1909762" y="35090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1" name="TextBox 5981">
          <a:extLst>
            <a:ext uri="{FF2B5EF4-FFF2-40B4-BE49-F238E27FC236}">
              <a16:creationId xmlns:a16="http://schemas.microsoft.com/office/drawing/2014/main" id="{86E7A1EB-B295-4BF0-BEE4-6C9A414CC08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2" name="TextBox 2">
          <a:extLst>
            <a:ext uri="{FF2B5EF4-FFF2-40B4-BE49-F238E27FC236}">
              <a16:creationId xmlns:a16="http://schemas.microsoft.com/office/drawing/2014/main" id="{AA5CA2C3-D031-4A29-9B2B-F0627FC6787D}"/>
            </a:ext>
          </a:extLst>
        </xdr:cNvPr>
        <xdr:cNvSpPr txBox="1"/>
      </xdr:nvSpPr>
      <xdr:spPr>
        <a:xfrm>
          <a:off x="1909762" y="35090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3" name="TextBox 4">
          <a:extLst>
            <a:ext uri="{FF2B5EF4-FFF2-40B4-BE49-F238E27FC236}">
              <a16:creationId xmlns:a16="http://schemas.microsoft.com/office/drawing/2014/main" id="{73F7D411-C8E4-48E7-877E-D6F23E1FD331}"/>
            </a:ext>
          </a:extLst>
        </xdr:cNvPr>
        <xdr:cNvSpPr txBox="1"/>
      </xdr:nvSpPr>
      <xdr:spPr>
        <a:xfrm>
          <a:off x="1909762" y="350901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4" name="TextBox 5">
          <a:extLst>
            <a:ext uri="{FF2B5EF4-FFF2-40B4-BE49-F238E27FC236}">
              <a16:creationId xmlns:a16="http://schemas.microsoft.com/office/drawing/2014/main" id="{AF27F4E6-07B5-40C9-BF3F-740DD9AF9A0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5" name="TextBox 6">
          <a:extLst>
            <a:ext uri="{FF2B5EF4-FFF2-40B4-BE49-F238E27FC236}">
              <a16:creationId xmlns:a16="http://schemas.microsoft.com/office/drawing/2014/main" id="{4C88B391-FEB0-4C2C-B563-AF7AAB6DB1B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6" name="TextBox 7">
          <a:extLst>
            <a:ext uri="{FF2B5EF4-FFF2-40B4-BE49-F238E27FC236}">
              <a16:creationId xmlns:a16="http://schemas.microsoft.com/office/drawing/2014/main" id="{B6B442D5-8843-4517-8C97-A87DD8793BF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7" name="TextBox 8">
          <a:extLst>
            <a:ext uri="{FF2B5EF4-FFF2-40B4-BE49-F238E27FC236}">
              <a16:creationId xmlns:a16="http://schemas.microsoft.com/office/drawing/2014/main" id="{391FB064-84B1-4ADA-85F1-EC24A0BF69F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8" name="TextBox 5988">
          <a:extLst>
            <a:ext uri="{FF2B5EF4-FFF2-40B4-BE49-F238E27FC236}">
              <a16:creationId xmlns:a16="http://schemas.microsoft.com/office/drawing/2014/main" id="{026E359D-CD97-4FD8-A39C-A1609428494A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89" name="TextBox 5989">
          <a:extLst>
            <a:ext uri="{FF2B5EF4-FFF2-40B4-BE49-F238E27FC236}">
              <a16:creationId xmlns:a16="http://schemas.microsoft.com/office/drawing/2014/main" id="{166956DE-6FB0-4345-A29F-75AF7AE46B55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0" name="TextBox 5990">
          <a:extLst>
            <a:ext uri="{FF2B5EF4-FFF2-40B4-BE49-F238E27FC236}">
              <a16:creationId xmlns:a16="http://schemas.microsoft.com/office/drawing/2014/main" id="{B88D1E01-599C-4C15-867C-CB0903CE91D8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1" name="TextBox 5991">
          <a:extLst>
            <a:ext uri="{FF2B5EF4-FFF2-40B4-BE49-F238E27FC236}">
              <a16:creationId xmlns:a16="http://schemas.microsoft.com/office/drawing/2014/main" id="{308561A9-163E-4989-BEEB-D9AAEEA6D192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2" name="TextBox 15">
          <a:extLst>
            <a:ext uri="{FF2B5EF4-FFF2-40B4-BE49-F238E27FC236}">
              <a16:creationId xmlns:a16="http://schemas.microsoft.com/office/drawing/2014/main" id="{DD937C52-0711-4B27-B456-5A3E51DB361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3" name="TextBox 16">
          <a:extLst>
            <a:ext uri="{FF2B5EF4-FFF2-40B4-BE49-F238E27FC236}">
              <a16:creationId xmlns:a16="http://schemas.microsoft.com/office/drawing/2014/main" id="{13107353-EC64-4777-8F44-5C28CA4A2F10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4" name="TextBox 17">
          <a:extLst>
            <a:ext uri="{FF2B5EF4-FFF2-40B4-BE49-F238E27FC236}">
              <a16:creationId xmlns:a16="http://schemas.microsoft.com/office/drawing/2014/main" id="{2D4622A2-1842-453D-ACFC-C27934BAB1B1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5" name="TextBox 18">
          <a:extLst>
            <a:ext uri="{FF2B5EF4-FFF2-40B4-BE49-F238E27FC236}">
              <a16:creationId xmlns:a16="http://schemas.microsoft.com/office/drawing/2014/main" id="{33B99541-DA83-41DA-803A-BEE316F86E52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6" name="TextBox 5996">
          <a:extLst>
            <a:ext uri="{FF2B5EF4-FFF2-40B4-BE49-F238E27FC236}">
              <a16:creationId xmlns:a16="http://schemas.microsoft.com/office/drawing/2014/main" id="{F2C2E989-AA5D-4D82-80FB-EE6A60F2C447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7" name="TextBox 5997">
          <a:extLst>
            <a:ext uri="{FF2B5EF4-FFF2-40B4-BE49-F238E27FC236}">
              <a16:creationId xmlns:a16="http://schemas.microsoft.com/office/drawing/2014/main" id="{E15AD738-1672-4E5D-9BF2-082C8F7631A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8" name="TextBox 1">
          <a:extLst>
            <a:ext uri="{FF2B5EF4-FFF2-40B4-BE49-F238E27FC236}">
              <a16:creationId xmlns:a16="http://schemas.microsoft.com/office/drawing/2014/main" id="{E14AB149-EEC3-42BD-BC5D-A0EAA7B462B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599" name="TextBox 3">
          <a:extLst>
            <a:ext uri="{FF2B5EF4-FFF2-40B4-BE49-F238E27FC236}">
              <a16:creationId xmlns:a16="http://schemas.microsoft.com/office/drawing/2014/main" id="{0A6074F5-8FB2-4815-8EA8-0DBA08FF7769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0" name="TextBox 6000">
          <a:extLst>
            <a:ext uri="{FF2B5EF4-FFF2-40B4-BE49-F238E27FC236}">
              <a16:creationId xmlns:a16="http://schemas.microsoft.com/office/drawing/2014/main" id="{3E27D57A-57F8-4046-8994-28297CFD723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1" name="TextBox 6001">
          <a:extLst>
            <a:ext uri="{FF2B5EF4-FFF2-40B4-BE49-F238E27FC236}">
              <a16:creationId xmlns:a16="http://schemas.microsoft.com/office/drawing/2014/main" id="{184A63CB-AA4E-4830-8212-593815EE8926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2" name="TextBox 6002">
          <a:extLst>
            <a:ext uri="{FF2B5EF4-FFF2-40B4-BE49-F238E27FC236}">
              <a16:creationId xmlns:a16="http://schemas.microsoft.com/office/drawing/2014/main" id="{BF91A79B-3D10-4203-B304-5FFEFF8D06BD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3" name="TextBox 6003">
          <a:extLst>
            <a:ext uri="{FF2B5EF4-FFF2-40B4-BE49-F238E27FC236}">
              <a16:creationId xmlns:a16="http://schemas.microsoft.com/office/drawing/2014/main" id="{8296E918-ADB9-4765-99F1-DC45126C1D19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4" name="TextBox 6004">
          <a:extLst>
            <a:ext uri="{FF2B5EF4-FFF2-40B4-BE49-F238E27FC236}">
              <a16:creationId xmlns:a16="http://schemas.microsoft.com/office/drawing/2014/main" id="{A55CC8BA-C032-4895-847F-98F034A70BC9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5" name="TextBox 6005">
          <a:extLst>
            <a:ext uri="{FF2B5EF4-FFF2-40B4-BE49-F238E27FC236}">
              <a16:creationId xmlns:a16="http://schemas.microsoft.com/office/drawing/2014/main" id="{AD42C26A-9AAD-416E-A455-70705525D71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6" name="TextBox 6006">
          <a:extLst>
            <a:ext uri="{FF2B5EF4-FFF2-40B4-BE49-F238E27FC236}">
              <a16:creationId xmlns:a16="http://schemas.microsoft.com/office/drawing/2014/main" id="{5FA8EC7E-6E17-4266-AD7D-F5B01F95F72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7" name="TextBox 6007">
          <a:extLst>
            <a:ext uri="{FF2B5EF4-FFF2-40B4-BE49-F238E27FC236}">
              <a16:creationId xmlns:a16="http://schemas.microsoft.com/office/drawing/2014/main" id="{B5DAA256-F407-4860-B544-9F892F5D9919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8" name="TextBox 6008">
          <a:extLst>
            <a:ext uri="{FF2B5EF4-FFF2-40B4-BE49-F238E27FC236}">
              <a16:creationId xmlns:a16="http://schemas.microsoft.com/office/drawing/2014/main" id="{AA6BC259-326C-46C2-B4E7-BF98FEC6E7DE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09" name="TextBox 6009">
          <a:extLst>
            <a:ext uri="{FF2B5EF4-FFF2-40B4-BE49-F238E27FC236}">
              <a16:creationId xmlns:a16="http://schemas.microsoft.com/office/drawing/2014/main" id="{9920828F-3FC0-4A5F-B576-7AD572CF0A74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0" name="TextBox 13">
          <a:extLst>
            <a:ext uri="{FF2B5EF4-FFF2-40B4-BE49-F238E27FC236}">
              <a16:creationId xmlns:a16="http://schemas.microsoft.com/office/drawing/2014/main" id="{F65EF419-DFEB-4F7E-855F-564CFD578CD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1" name="TextBox 14">
          <a:extLst>
            <a:ext uri="{FF2B5EF4-FFF2-40B4-BE49-F238E27FC236}">
              <a16:creationId xmlns:a16="http://schemas.microsoft.com/office/drawing/2014/main" id="{59C4162B-1417-40C3-BFE2-E8FC9F08800F}"/>
            </a:ext>
          </a:extLst>
        </xdr:cNvPr>
        <xdr:cNvSpPr txBox="1"/>
      </xdr:nvSpPr>
      <xdr:spPr>
        <a:xfrm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2" name="TextBox 6012">
          <a:extLst>
            <a:ext uri="{FF2B5EF4-FFF2-40B4-BE49-F238E27FC236}">
              <a16:creationId xmlns:a16="http://schemas.microsoft.com/office/drawing/2014/main" id="{06079F14-C40A-485A-973E-BB8DF7349F7B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3" name="TextBox 6013">
          <a:extLst>
            <a:ext uri="{FF2B5EF4-FFF2-40B4-BE49-F238E27FC236}">
              <a16:creationId xmlns:a16="http://schemas.microsoft.com/office/drawing/2014/main" id="{EBFBF825-8198-40CB-940F-63D03B50F440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4" name="TextBox 6014">
          <a:extLst>
            <a:ext uri="{FF2B5EF4-FFF2-40B4-BE49-F238E27FC236}">
              <a16:creationId xmlns:a16="http://schemas.microsoft.com/office/drawing/2014/main" id="{FA705D90-08E6-4342-8A78-D3E26D0ABF50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5" name="TextBox 6015">
          <a:extLst>
            <a:ext uri="{FF2B5EF4-FFF2-40B4-BE49-F238E27FC236}">
              <a16:creationId xmlns:a16="http://schemas.microsoft.com/office/drawing/2014/main" id="{A8DABE16-2916-4C53-9F29-E183E639E68C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6" name="TextBox 15">
          <a:extLst>
            <a:ext uri="{FF2B5EF4-FFF2-40B4-BE49-F238E27FC236}">
              <a16:creationId xmlns:a16="http://schemas.microsoft.com/office/drawing/2014/main" id="{E3B82601-DE0A-410E-BBC7-E5FAD2BE8B5F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7" name="TextBox 16">
          <a:extLst>
            <a:ext uri="{FF2B5EF4-FFF2-40B4-BE49-F238E27FC236}">
              <a16:creationId xmlns:a16="http://schemas.microsoft.com/office/drawing/2014/main" id="{75DF3FA4-3E65-4CB3-ADB2-0404E065C4D0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8" name="TextBox 17">
          <a:extLst>
            <a:ext uri="{FF2B5EF4-FFF2-40B4-BE49-F238E27FC236}">
              <a16:creationId xmlns:a16="http://schemas.microsoft.com/office/drawing/2014/main" id="{EC320D66-6570-4E92-A9BD-2A9C2304854F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19" name="TextBox 18">
          <a:extLst>
            <a:ext uri="{FF2B5EF4-FFF2-40B4-BE49-F238E27FC236}">
              <a16:creationId xmlns:a16="http://schemas.microsoft.com/office/drawing/2014/main" id="{92C17277-4EB5-419F-95E4-23E878DD0CEE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0" name="TextBox 6020">
          <a:extLst>
            <a:ext uri="{FF2B5EF4-FFF2-40B4-BE49-F238E27FC236}">
              <a16:creationId xmlns:a16="http://schemas.microsoft.com/office/drawing/2014/main" id="{4164AB83-7363-4ABF-B6B2-61CCE4CFA755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1" name="TextBox 6021">
          <a:extLst>
            <a:ext uri="{FF2B5EF4-FFF2-40B4-BE49-F238E27FC236}">
              <a16:creationId xmlns:a16="http://schemas.microsoft.com/office/drawing/2014/main" id="{F3020A0B-F9AD-4ACF-BFF7-062AC51702E9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2" name="TextBox 1">
          <a:extLst>
            <a:ext uri="{FF2B5EF4-FFF2-40B4-BE49-F238E27FC236}">
              <a16:creationId xmlns:a16="http://schemas.microsoft.com/office/drawing/2014/main" id="{88511040-FFB8-4123-805D-696DEDE1F581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3" name="TextBox 3">
          <a:extLst>
            <a:ext uri="{FF2B5EF4-FFF2-40B4-BE49-F238E27FC236}">
              <a16:creationId xmlns:a16="http://schemas.microsoft.com/office/drawing/2014/main" id="{724E8F1C-E429-4649-9E2C-1F35D9CADF91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4" name="TextBox 6024">
          <a:extLst>
            <a:ext uri="{FF2B5EF4-FFF2-40B4-BE49-F238E27FC236}">
              <a16:creationId xmlns:a16="http://schemas.microsoft.com/office/drawing/2014/main" id="{5ADE59DD-9E89-4534-9BFF-CEB756F8C7BE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5" name="TextBox 6025">
          <a:extLst>
            <a:ext uri="{FF2B5EF4-FFF2-40B4-BE49-F238E27FC236}">
              <a16:creationId xmlns:a16="http://schemas.microsoft.com/office/drawing/2014/main" id="{69FC08E1-BD26-43AD-9F55-D02033F0147E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6" name="TextBox 6026">
          <a:extLst>
            <a:ext uri="{FF2B5EF4-FFF2-40B4-BE49-F238E27FC236}">
              <a16:creationId xmlns:a16="http://schemas.microsoft.com/office/drawing/2014/main" id="{6CAD4601-BDE3-4ED9-B537-389E6498294F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7" name="TextBox 6027">
          <a:extLst>
            <a:ext uri="{FF2B5EF4-FFF2-40B4-BE49-F238E27FC236}">
              <a16:creationId xmlns:a16="http://schemas.microsoft.com/office/drawing/2014/main" id="{25E93E6F-35A5-48E5-BF78-396D984CBB9D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8" name="TextBox 6028">
          <a:extLst>
            <a:ext uri="{FF2B5EF4-FFF2-40B4-BE49-F238E27FC236}">
              <a16:creationId xmlns:a16="http://schemas.microsoft.com/office/drawing/2014/main" id="{085655A0-18D0-4D07-9951-EE0F8127F2A5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29" name="TextBox 6029">
          <a:extLst>
            <a:ext uri="{FF2B5EF4-FFF2-40B4-BE49-F238E27FC236}">
              <a16:creationId xmlns:a16="http://schemas.microsoft.com/office/drawing/2014/main" id="{388CD825-C417-429D-9185-1D0AB7FCA245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0" name="TextBox 6030">
          <a:extLst>
            <a:ext uri="{FF2B5EF4-FFF2-40B4-BE49-F238E27FC236}">
              <a16:creationId xmlns:a16="http://schemas.microsoft.com/office/drawing/2014/main" id="{63A77E54-E7D9-4A96-9773-E4E6C63DAE3D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1" name="TextBox 6031">
          <a:extLst>
            <a:ext uri="{FF2B5EF4-FFF2-40B4-BE49-F238E27FC236}">
              <a16:creationId xmlns:a16="http://schemas.microsoft.com/office/drawing/2014/main" id="{F3D5E65F-ACBD-4EAC-A105-8F158E40FD69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2" name="TextBox 6032">
          <a:extLst>
            <a:ext uri="{FF2B5EF4-FFF2-40B4-BE49-F238E27FC236}">
              <a16:creationId xmlns:a16="http://schemas.microsoft.com/office/drawing/2014/main" id="{14334BBF-2E52-404E-BEB9-6691673886CC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3" name="TextBox 6033">
          <a:extLst>
            <a:ext uri="{FF2B5EF4-FFF2-40B4-BE49-F238E27FC236}">
              <a16:creationId xmlns:a16="http://schemas.microsoft.com/office/drawing/2014/main" id="{D06EC3C8-EF5E-496E-808B-4552E0B9477C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4" name="TextBox 13">
          <a:extLst>
            <a:ext uri="{FF2B5EF4-FFF2-40B4-BE49-F238E27FC236}">
              <a16:creationId xmlns:a16="http://schemas.microsoft.com/office/drawing/2014/main" id="{520EF1DC-6D62-423B-9A2B-26825F0FEFB5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5" name="TextBox 14">
          <a:extLst>
            <a:ext uri="{FF2B5EF4-FFF2-40B4-BE49-F238E27FC236}">
              <a16:creationId xmlns:a16="http://schemas.microsoft.com/office/drawing/2014/main" id="{0C7E4A82-B702-4739-9028-9031FA4A19C3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6" name="TextBox 6036">
          <a:extLst>
            <a:ext uri="{FF2B5EF4-FFF2-40B4-BE49-F238E27FC236}">
              <a16:creationId xmlns:a16="http://schemas.microsoft.com/office/drawing/2014/main" id="{FD634A17-778E-466B-8CCD-138C1D43565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7" name="TextBox 6037">
          <a:extLst>
            <a:ext uri="{FF2B5EF4-FFF2-40B4-BE49-F238E27FC236}">
              <a16:creationId xmlns:a16="http://schemas.microsoft.com/office/drawing/2014/main" id="{133EDBC5-233D-4B4D-9739-3F3D78A3ACE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8" name="TextBox 6038">
          <a:extLst>
            <a:ext uri="{FF2B5EF4-FFF2-40B4-BE49-F238E27FC236}">
              <a16:creationId xmlns:a16="http://schemas.microsoft.com/office/drawing/2014/main" id="{991DF8DC-CDD6-418C-B52F-B9E7F707FDD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39" name="TextBox 6039">
          <a:extLst>
            <a:ext uri="{FF2B5EF4-FFF2-40B4-BE49-F238E27FC236}">
              <a16:creationId xmlns:a16="http://schemas.microsoft.com/office/drawing/2014/main" id="{0B1D63A7-D429-4C9D-97E6-BC93CD773A3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0" name="TextBox 15">
          <a:extLst>
            <a:ext uri="{FF2B5EF4-FFF2-40B4-BE49-F238E27FC236}">
              <a16:creationId xmlns:a16="http://schemas.microsoft.com/office/drawing/2014/main" id="{446D0992-6166-40F2-915E-5BE7A088490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1" name="TextBox 16">
          <a:extLst>
            <a:ext uri="{FF2B5EF4-FFF2-40B4-BE49-F238E27FC236}">
              <a16:creationId xmlns:a16="http://schemas.microsoft.com/office/drawing/2014/main" id="{B6CA3569-50C0-4ACF-B020-74AF83BD7C4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2" name="TextBox 17">
          <a:extLst>
            <a:ext uri="{FF2B5EF4-FFF2-40B4-BE49-F238E27FC236}">
              <a16:creationId xmlns:a16="http://schemas.microsoft.com/office/drawing/2014/main" id="{84FC2152-BBB6-48BA-8724-B4AC6AE412A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3" name="TextBox 18">
          <a:extLst>
            <a:ext uri="{FF2B5EF4-FFF2-40B4-BE49-F238E27FC236}">
              <a16:creationId xmlns:a16="http://schemas.microsoft.com/office/drawing/2014/main" id="{5132A169-B9B3-4DAC-B07A-6B71C742129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4" name="TextBox 6044">
          <a:extLst>
            <a:ext uri="{FF2B5EF4-FFF2-40B4-BE49-F238E27FC236}">
              <a16:creationId xmlns:a16="http://schemas.microsoft.com/office/drawing/2014/main" id="{AC760CE0-DF6D-4B28-A19E-36913459FBB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5" name="TextBox 6045">
          <a:extLst>
            <a:ext uri="{FF2B5EF4-FFF2-40B4-BE49-F238E27FC236}">
              <a16:creationId xmlns:a16="http://schemas.microsoft.com/office/drawing/2014/main" id="{AA446EFC-ED4C-4317-969F-C96AF79E0E6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6" name="TextBox 1">
          <a:extLst>
            <a:ext uri="{FF2B5EF4-FFF2-40B4-BE49-F238E27FC236}">
              <a16:creationId xmlns:a16="http://schemas.microsoft.com/office/drawing/2014/main" id="{D3B45DE8-B6F4-4C7C-85D1-FD32B9847B2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7" name="TextBox 3">
          <a:extLst>
            <a:ext uri="{FF2B5EF4-FFF2-40B4-BE49-F238E27FC236}">
              <a16:creationId xmlns:a16="http://schemas.microsoft.com/office/drawing/2014/main" id="{76B73FF2-57BC-48E0-AE86-D0EDDE4D63E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8" name="TextBox 6048">
          <a:extLst>
            <a:ext uri="{FF2B5EF4-FFF2-40B4-BE49-F238E27FC236}">
              <a16:creationId xmlns:a16="http://schemas.microsoft.com/office/drawing/2014/main" id="{7F5A2430-E09B-430F-B5A9-17E4B2571AC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49" name="TextBox 6049">
          <a:extLst>
            <a:ext uri="{FF2B5EF4-FFF2-40B4-BE49-F238E27FC236}">
              <a16:creationId xmlns:a16="http://schemas.microsoft.com/office/drawing/2014/main" id="{90A93C72-12D2-490C-803C-73E3C608573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0" name="TextBox 6050">
          <a:extLst>
            <a:ext uri="{FF2B5EF4-FFF2-40B4-BE49-F238E27FC236}">
              <a16:creationId xmlns:a16="http://schemas.microsoft.com/office/drawing/2014/main" id="{AC94FCC6-1432-45D2-83D4-505F98D4DAD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1" name="TextBox 6051">
          <a:extLst>
            <a:ext uri="{FF2B5EF4-FFF2-40B4-BE49-F238E27FC236}">
              <a16:creationId xmlns:a16="http://schemas.microsoft.com/office/drawing/2014/main" id="{889FB3A6-AB03-4446-BC77-15FE3C8EEC9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2" name="TextBox 6052">
          <a:extLst>
            <a:ext uri="{FF2B5EF4-FFF2-40B4-BE49-F238E27FC236}">
              <a16:creationId xmlns:a16="http://schemas.microsoft.com/office/drawing/2014/main" id="{670F7884-CB5B-4D8C-B993-C2B4D4BA997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3" name="TextBox 6053">
          <a:extLst>
            <a:ext uri="{FF2B5EF4-FFF2-40B4-BE49-F238E27FC236}">
              <a16:creationId xmlns:a16="http://schemas.microsoft.com/office/drawing/2014/main" id="{4EEC42F0-6AE1-4DC9-A98D-A259AB68BB9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4" name="TextBox 6054">
          <a:extLst>
            <a:ext uri="{FF2B5EF4-FFF2-40B4-BE49-F238E27FC236}">
              <a16:creationId xmlns:a16="http://schemas.microsoft.com/office/drawing/2014/main" id="{63FBA3EB-A071-403F-981F-550D00498FE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5" name="TextBox 6055">
          <a:extLst>
            <a:ext uri="{FF2B5EF4-FFF2-40B4-BE49-F238E27FC236}">
              <a16:creationId xmlns:a16="http://schemas.microsoft.com/office/drawing/2014/main" id="{56BC11D9-F3C2-46C0-9EC4-B9C447AADD9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6" name="TextBox 6056">
          <a:extLst>
            <a:ext uri="{FF2B5EF4-FFF2-40B4-BE49-F238E27FC236}">
              <a16:creationId xmlns:a16="http://schemas.microsoft.com/office/drawing/2014/main" id="{5616CAB8-2168-4D62-A750-29CBA811ED3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7" name="TextBox 6057">
          <a:extLst>
            <a:ext uri="{FF2B5EF4-FFF2-40B4-BE49-F238E27FC236}">
              <a16:creationId xmlns:a16="http://schemas.microsoft.com/office/drawing/2014/main" id="{774B1F78-56F9-4D02-9A28-DF2DF83339E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8" name="TextBox 13">
          <a:extLst>
            <a:ext uri="{FF2B5EF4-FFF2-40B4-BE49-F238E27FC236}">
              <a16:creationId xmlns:a16="http://schemas.microsoft.com/office/drawing/2014/main" id="{78EBE720-D45B-4FA4-B665-1113C244B93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59" name="TextBox 14">
          <a:extLst>
            <a:ext uri="{FF2B5EF4-FFF2-40B4-BE49-F238E27FC236}">
              <a16:creationId xmlns:a16="http://schemas.microsoft.com/office/drawing/2014/main" id="{8AEFB2A3-A1C7-4E4A-AF8B-0E639114414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0" name="TextBox 6060">
          <a:extLst>
            <a:ext uri="{FF2B5EF4-FFF2-40B4-BE49-F238E27FC236}">
              <a16:creationId xmlns:a16="http://schemas.microsoft.com/office/drawing/2014/main" id="{57BE6A88-7B1E-4831-A7CA-862978670744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1" name="TextBox 6061">
          <a:extLst>
            <a:ext uri="{FF2B5EF4-FFF2-40B4-BE49-F238E27FC236}">
              <a16:creationId xmlns:a16="http://schemas.microsoft.com/office/drawing/2014/main" id="{F78EB376-F6B2-4BF0-9F39-89006570DF44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2" name="TextBox 6062">
          <a:extLst>
            <a:ext uri="{FF2B5EF4-FFF2-40B4-BE49-F238E27FC236}">
              <a16:creationId xmlns:a16="http://schemas.microsoft.com/office/drawing/2014/main" id="{513360D5-6D52-4F65-9FDF-763872D94638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3" name="TextBox 6063">
          <a:extLst>
            <a:ext uri="{FF2B5EF4-FFF2-40B4-BE49-F238E27FC236}">
              <a16:creationId xmlns:a16="http://schemas.microsoft.com/office/drawing/2014/main" id="{0EBFC8C1-DD5D-4833-8A6C-6DAD3F35A104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4" name="TextBox 15">
          <a:extLst>
            <a:ext uri="{FF2B5EF4-FFF2-40B4-BE49-F238E27FC236}">
              <a16:creationId xmlns:a16="http://schemas.microsoft.com/office/drawing/2014/main" id="{751ED5E6-6473-439E-A5F1-37C1B2365EB9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5" name="TextBox 16">
          <a:extLst>
            <a:ext uri="{FF2B5EF4-FFF2-40B4-BE49-F238E27FC236}">
              <a16:creationId xmlns:a16="http://schemas.microsoft.com/office/drawing/2014/main" id="{E1FFD008-8056-477C-8946-5869F792B29C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6" name="TextBox 17">
          <a:extLst>
            <a:ext uri="{FF2B5EF4-FFF2-40B4-BE49-F238E27FC236}">
              <a16:creationId xmlns:a16="http://schemas.microsoft.com/office/drawing/2014/main" id="{1B7F2268-6FB8-4A18-9939-63BD3C30A9A4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7" name="TextBox 18">
          <a:extLst>
            <a:ext uri="{FF2B5EF4-FFF2-40B4-BE49-F238E27FC236}">
              <a16:creationId xmlns:a16="http://schemas.microsoft.com/office/drawing/2014/main" id="{B7B337B3-F53C-4D49-BC32-F04B39C3783C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8" name="TextBox 6068">
          <a:extLst>
            <a:ext uri="{FF2B5EF4-FFF2-40B4-BE49-F238E27FC236}">
              <a16:creationId xmlns:a16="http://schemas.microsoft.com/office/drawing/2014/main" id="{21DCAD7C-3323-4EBE-9CF3-922E5327962B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69" name="TextBox 6069">
          <a:extLst>
            <a:ext uri="{FF2B5EF4-FFF2-40B4-BE49-F238E27FC236}">
              <a16:creationId xmlns:a16="http://schemas.microsoft.com/office/drawing/2014/main" id="{C29B2135-5ED9-4B3F-A2E7-03680F28A186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0" name="TextBox 1">
          <a:extLst>
            <a:ext uri="{FF2B5EF4-FFF2-40B4-BE49-F238E27FC236}">
              <a16:creationId xmlns:a16="http://schemas.microsoft.com/office/drawing/2014/main" id="{34871BE1-EB5A-4D7A-8918-DCEC2ED130F5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1" name="TextBox 3">
          <a:extLst>
            <a:ext uri="{FF2B5EF4-FFF2-40B4-BE49-F238E27FC236}">
              <a16:creationId xmlns:a16="http://schemas.microsoft.com/office/drawing/2014/main" id="{FBE2CF5C-7B9F-487E-B215-A25B53BBF9B8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2" name="TextBox 6072">
          <a:extLst>
            <a:ext uri="{FF2B5EF4-FFF2-40B4-BE49-F238E27FC236}">
              <a16:creationId xmlns:a16="http://schemas.microsoft.com/office/drawing/2014/main" id="{17CD371E-7CCE-4B8C-B2DF-C3A5D3206075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3" name="TextBox 6073">
          <a:extLst>
            <a:ext uri="{FF2B5EF4-FFF2-40B4-BE49-F238E27FC236}">
              <a16:creationId xmlns:a16="http://schemas.microsoft.com/office/drawing/2014/main" id="{EB2A7C34-0602-4A95-A9A3-FDC78EDE0A1E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4" name="TextBox 6074">
          <a:extLst>
            <a:ext uri="{FF2B5EF4-FFF2-40B4-BE49-F238E27FC236}">
              <a16:creationId xmlns:a16="http://schemas.microsoft.com/office/drawing/2014/main" id="{E159034F-2814-4968-9AE3-A0ABE53C1D39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5" name="TextBox 6075">
          <a:extLst>
            <a:ext uri="{FF2B5EF4-FFF2-40B4-BE49-F238E27FC236}">
              <a16:creationId xmlns:a16="http://schemas.microsoft.com/office/drawing/2014/main" id="{0E8F7708-0C16-482C-A926-CBF29FC8A88E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6" name="TextBox 6076">
          <a:extLst>
            <a:ext uri="{FF2B5EF4-FFF2-40B4-BE49-F238E27FC236}">
              <a16:creationId xmlns:a16="http://schemas.microsoft.com/office/drawing/2014/main" id="{4F0905C4-6E54-452C-9660-7A2D543097F3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7" name="TextBox 6077">
          <a:extLst>
            <a:ext uri="{FF2B5EF4-FFF2-40B4-BE49-F238E27FC236}">
              <a16:creationId xmlns:a16="http://schemas.microsoft.com/office/drawing/2014/main" id="{15558719-D720-4921-AFF8-D3FA23882F0D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8" name="TextBox 6078">
          <a:extLst>
            <a:ext uri="{FF2B5EF4-FFF2-40B4-BE49-F238E27FC236}">
              <a16:creationId xmlns:a16="http://schemas.microsoft.com/office/drawing/2014/main" id="{E0419CD2-E5DF-448F-9826-69CA22E1CF29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79" name="TextBox 6079">
          <a:extLst>
            <a:ext uri="{FF2B5EF4-FFF2-40B4-BE49-F238E27FC236}">
              <a16:creationId xmlns:a16="http://schemas.microsoft.com/office/drawing/2014/main" id="{3B92322E-1FFA-4AF5-AC5C-91DD1C4844E7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0" name="TextBox 6080">
          <a:extLst>
            <a:ext uri="{FF2B5EF4-FFF2-40B4-BE49-F238E27FC236}">
              <a16:creationId xmlns:a16="http://schemas.microsoft.com/office/drawing/2014/main" id="{80471F12-25A9-4872-856C-9A58FC9AE987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1" name="TextBox 6081">
          <a:extLst>
            <a:ext uri="{FF2B5EF4-FFF2-40B4-BE49-F238E27FC236}">
              <a16:creationId xmlns:a16="http://schemas.microsoft.com/office/drawing/2014/main" id="{F2541099-5B2A-48C2-A989-E60B190ABCA7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2" name="TextBox 13">
          <a:extLst>
            <a:ext uri="{FF2B5EF4-FFF2-40B4-BE49-F238E27FC236}">
              <a16:creationId xmlns:a16="http://schemas.microsoft.com/office/drawing/2014/main" id="{D7D32A3D-0AFF-4717-B9A1-00740490E965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3" name="TextBox 14">
          <a:extLst>
            <a:ext uri="{FF2B5EF4-FFF2-40B4-BE49-F238E27FC236}">
              <a16:creationId xmlns:a16="http://schemas.microsoft.com/office/drawing/2014/main" id="{14CE3254-60BD-42B6-B179-1A10B5BBF4A5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4" name="TextBox 6084">
          <a:extLst>
            <a:ext uri="{FF2B5EF4-FFF2-40B4-BE49-F238E27FC236}">
              <a16:creationId xmlns:a16="http://schemas.microsoft.com/office/drawing/2014/main" id="{CC67C54F-CCB0-43E3-ACB2-39ACAA433F02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5" name="TextBox 6085">
          <a:extLst>
            <a:ext uri="{FF2B5EF4-FFF2-40B4-BE49-F238E27FC236}">
              <a16:creationId xmlns:a16="http://schemas.microsoft.com/office/drawing/2014/main" id="{246F990C-9BF9-4603-B0D1-6B90BBABC9AF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6" name="TextBox 6086">
          <a:extLst>
            <a:ext uri="{FF2B5EF4-FFF2-40B4-BE49-F238E27FC236}">
              <a16:creationId xmlns:a16="http://schemas.microsoft.com/office/drawing/2014/main" id="{274A4722-2050-4C00-A797-53337B4283B6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7" name="TextBox 6087">
          <a:extLst>
            <a:ext uri="{FF2B5EF4-FFF2-40B4-BE49-F238E27FC236}">
              <a16:creationId xmlns:a16="http://schemas.microsoft.com/office/drawing/2014/main" id="{98EB83DC-2E17-4357-8CEB-C98371129868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8" name="TextBox 15">
          <a:extLst>
            <a:ext uri="{FF2B5EF4-FFF2-40B4-BE49-F238E27FC236}">
              <a16:creationId xmlns:a16="http://schemas.microsoft.com/office/drawing/2014/main" id="{0D87F933-D5DC-4CCA-A62C-62BD4C2E74AC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89" name="TextBox 16">
          <a:extLst>
            <a:ext uri="{FF2B5EF4-FFF2-40B4-BE49-F238E27FC236}">
              <a16:creationId xmlns:a16="http://schemas.microsoft.com/office/drawing/2014/main" id="{DF7EC4C0-69A2-4455-A690-AF46B0DE5C61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0" name="TextBox 17">
          <a:extLst>
            <a:ext uri="{FF2B5EF4-FFF2-40B4-BE49-F238E27FC236}">
              <a16:creationId xmlns:a16="http://schemas.microsoft.com/office/drawing/2014/main" id="{F653F7BE-D522-4D25-B244-3B9C29950FDA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1" name="TextBox 18">
          <a:extLst>
            <a:ext uri="{FF2B5EF4-FFF2-40B4-BE49-F238E27FC236}">
              <a16:creationId xmlns:a16="http://schemas.microsoft.com/office/drawing/2014/main" id="{466910B7-3AC8-4730-B06B-75C7F5ADC5C6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2" name="TextBox 6092">
          <a:extLst>
            <a:ext uri="{FF2B5EF4-FFF2-40B4-BE49-F238E27FC236}">
              <a16:creationId xmlns:a16="http://schemas.microsoft.com/office/drawing/2014/main" id="{FE3D95E9-ADE3-49EB-9BB3-321B6610ABC9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3" name="TextBox 6093">
          <a:extLst>
            <a:ext uri="{FF2B5EF4-FFF2-40B4-BE49-F238E27FC236}">
              <a16:creationId xmlns:a16="http://schemas.microsoft.com/office/drawing/2014/main" id="{FA218C97-176B-4413-8CAE-0525D1A8584B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4" name="TextBox 1">
          <a:extLst>
            <a:ext uri="{FF2B5EF4-FFF2-40B4-BE49-F238E27FC236}">
              <a16:creationId xmlns:a16="http://schemas.microsoft.com/office/drawing/2014/main" id="{559D438D-40E9-4FFB-BD38-3EDFA187751A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5" name="TextBox 3">
          <a:extLst>
            <a:ext uri="{FF2B5EF4-FFF2-40B4-BE49-F238E27FC236}">
              <a16:creationId xmlns:a16="http://schemas.microsoft.com/office/drawing/2014/main" id="{87C01C7D-895E-42DF-A8CD-93525795A79F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6" name="TextBox 6096">
          <a:extLst>
            <a:ext uri="{FF2B5EF4-FFF2-40B4-BE49-F238E27FC236}">
              <a16:creationId xmlns:a16="http://schemas.microsoft.com/office/drawing/2014/main" id="{576CB1F6-92B2-43C6-A9C2-621C107ADA53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7" name="TextBox 6097">
          <a:extLst>
            <a:ext uri="{FF2B5EF4-FFF2-40B4-BE49-F238E27FC236}">
              <a16:creationId xmlns:a16="http://schemas.microsoft.com/office/drawing/2014/main" id="{A7DD0218-B80B-4A2F-81A6-7AEBE9BE8B5C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8" name="TextBox 6098">
          <a:extLst>
            <a:ext uri="{FF2B5EF4-FFF2-40B4-BE49-F238E27FC236}">
              <a16:creationId xmlns:a16="http://schemas.microsoft.com/office/drawing/2014/main" id="{37204FC6-BDB7-4FBD-A1CE-19ECD48B44CE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699" name="TextBox 6099">
          <a:extLst>
            <a:ext uri="{FF2B5EF4-FFF2-40B4-BE49-F238E27FC236}">
              <a16:creationId xmlns:a16="http://schemas.microsoft.com/office/drawing/2014/main" id="{C1CB6AB3-3F90-4982-8E02-6E4A73026466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0" name="TextBox 6100">
          <a:extLst>
            <a:ext uri="{FF2B5EF4-FFF2-40B4-BE49-F238E27FC236}">
              <a16:creationId xmlns:a16="http://schemas.microsoft.com/office/drawing/2014/main" id="{3979DBA9-DF2F-47CD-BD27-2940326E8A48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1" name="TextBox 6101">
          <a:extLst>
            <a:ext uri="{FF2B5EF4-FFF2-40B4-BE49-F238E27FC236}">
              <a16:creationId xmlns:a16="http://schemas.microsoft.com/office/drawing/2014/main" id="{29FC384F-A6FC-4149-B95E-3E4A77785C99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2" name="TextBox 6102">
          <a:extLst>
            <a:ext uri="{FF2B5EF4-FFF2-40B4-BE49-F238E27FC236}">
              <a16:creationId xmlns:a16="http://schemas.microsoft.com/office/drawing/2014/main" id="{4EA6B631-1643-4D9C-BE8C-3498B271EB27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3" name="TextBox 6103">
          <a:extLst>
            <a:ext uri="{FF2B5EF4-FFF2-40B4-BE49-F238E27FC236}">
              <a16:creationId xmlns:a16="http://schemas.microsoft.com/office/drawing/2014/main" id="{DB0C9B54-D8B3-4FF7-A1CE-9D19BEDEBA85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4" name="TextBox 6104">
          <a:extLst>
            <a:ext uri="{FF2B5EF4-FFF2-40B4-BE49-F238E27FC236}">
              <a16:creationId xmlns:a16="http://schemas.microsoft.com/office/drawing/2014/main" id="{05B28BD4-DD5A-449D-9405-4C7AD3E0F908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5" name="TextBox 6105">
          <a:extLst>
            <a:ext uri="{FF2B5EF4-FFF2-40B4-BE49-F238E27FC236}">
              <a16:creationId xmlns:a16="http://schemas.microsoft.com/office/drawing/2014/main" id="{DB6996DA-1354-4571-8AA6-2A1DFF780EF1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6" name="TextBox 13">
          <a:extLst>
            <a:ext uri="{FF2B5EF4-FFF2-40B4-BE49-F238E27FC236}">
              <a16:creationId xmlns:a16="http://schemas.microsoft.com/office/drawing/2014/main" id="{A720E256-07D6-4CB4-AD99-255C18371ACF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7" name="TextBox 14">
          <a:extLst>
            <a:ext uri="{FF2B5EF4-FFF2-40B4-BE49-F238E27FC236}">
              <a16:creationId xmlns:a16="http://schemas.microsoft.com/office/drawing/2014/main" id="{B7E15EF2-2DF5-4F2D-A4DE-1591971C3DF2}"/>
            </a:ext>
          </a:extLst>
        </xdr:cNvPr>
        <xdr:cNvSpPr txBox="1"/>
      </xdr:nvSpPr>
      <xdr:spPr>
        <a:xfrm>
          <a:off x="1909762" y="323564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8" name="TextBox 6108">
          <a:extLst>
            <a:ext uri="{FF2B5EF4-FFF2-40B4-BE49-F238E27FC236}">
              <a16:creationId xmlns:a16="http://schemas.microsoft.com/office/drawing/2014/main" id="{793A987A-7AD9-4491-A4A6-9EB5CC7DD6B0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09" name="TextBox 6109">
          <a:extLst>
            <a:ext uri="{FF2B5EF4-FFF2-40B4-BE49-F238E27FC236}">
              <a16:creationId xmlns:a16="http://schemas.microsoft.com/office/drawing/2014/main" id="{890EB373-9D0B-491F-A12A-9D7C9D102AB4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0" name="TextBox 6110">
          <a:extLst>
            <a:ext uri="{FF2B5EF4-FFF2-40B4-BE49-F238E27FC236}">
              <a16:creationId xmlns:a16="http://schemas.microsoft.com/office/drawing/2014/main" id="{3F9AF658-5EC1-49B2-B31A-2238F5A7E67B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1" name="TextBox 6111">
          <a:extLst>
            <a:ext uri="{FF2B5EF4-FFF2-40B4-BE49-F238E27FC236}">
              <a16:creationId xmlns:a16="http://schemas.microsoft.com/office/drawing/2014/main" id="{89FFBDFA-A865-434B-9DC9-AAACAB4BA8F8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2" name="TextBox 15">
          <a:extLst>
            <a:ext uri="{FF2B5EF4-FFF2-40B4-BE49-F238E27FC236}">
              <a16:creationId xmlns:a16="http://schemas.microsoft.com/office/drawing/2014/main" id="{8E3BAE04-A395-4088-85D9-8A37BCF3A317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3" name="TextBox 16">
          <a:extLst>
            <a:ext uri="{FF2B5EF4-FFF2-40B4-BE49-F238E27FC236}">
              <a16:creationId xmlns:a16="http://schemas.microsoft.com/office/drawing/2014/main" id="{5F71652E-00AE-41FE-8947-0E67FCD2F1F7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4" name="TextBox 17">
          <a:extLst>
            <a:ext uri="{FF2B5EF4-FFF2-40B4-BE49-F238E27FC236}">
              <a16:creationId xmlns:a16="http://schemas.microsoft.com/office/drawing/2014/main" id="{84CB2FAB-0664-4B61-A77E-E6D95715BD2F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5" name="TextBox 18">
          <a:extLst>
            <a:ext uri="{FF2B5EF4-FFF2-40B4-BE49-F238E27FC236}">
              <a16:creationId xmlns:a16="http://schemas.microsoft.com/office/drawing/2014/main" id="{794FDE45-D68D-47F6-B519-D9D61A55BB8A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6" name="TextBox 6116">
          <a:extLst>
            <a:ext uri="{FF2B5EF4-FFF2-40B4-BE49-F238E27FC236}">
              <a16:creationId xmlns:a16="http://schemas.microsoft.com/office/drawing/2014/main" id="{0B933072-1394-40E7-8D78-EE5FDB634906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7" name="TextBox 6117">
          <a:extLst>
            <a:ext uri="{FF2B5EF4-FFF2-40B4-BE49-F238E27FC236}">
              <a16:creationId xmlns:a16="http://schemas.microsoft.com/office/drawing/2014/main" id="{56DE908F-29D4-486B-B089-92C2B4A39D55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8" name="TextBox 1">
          <a:extLst>
            <a:ext uri="{FF2B5EF4-FFF2-40B4-BE49-F238E27FC236}">
              <a16:creationId xmlns:a16="http://schemas.microsoft.com/office/drawing/2014/main" id="{33873E1E-9AAE-43EA-A56A-6AF7813B09FC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19" name="TextBox 3">
          <a:extLst>
            <a:ext uri="{FF2B5EF4-FFF2-40B4-BE49-F238E27FC236}">
              <a16:creationId xmlns:a16="http://schemas.microsoft.com/office/drawing/2014/main" id="{EDD16227-AD31-4797-8851-7B86B325F222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0" name="TextBox 6120">
          <a:extLst>
            <a:ext uri="{FF2B5EF4-FFF2-40B4-BE49-F238E27FC236}">
              <a16:creationId xmlns:a16="http://schemas.microsoft.com/office/drawing/2014/main" id="{FF045C89-233D-4CF4-A315-AF8810D174C7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1" name="TextBox 6121">
          <a:extLst>
            <a:ext uri="{FF2B5EF4-FFF2-40B4-BE49-F238E27FC236}">
              <a16:creationId xmlns:a16="http://schemas.microsoft.com/office/drawing/2014/main" id="{7F47A459-CFEF-411A-8ED2-5069AFCDF531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2" name="TextBox 6122">
          <a:extLst>
            <a:ext uri="{FF2B5EF4-FFF2-40B4-BE49-F238E27FC236}">
              <a16:creationId xmlns:a16="http://schemas.microsoft.com/office/drawing/2014/main" id="{916A7066-FD14-4074-ACEB-6641FE0CD6C3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3" name="TextBox 6123">
          <a:extLst>
            <a:ext uri="{FF2B5EF4-FFF2-40B4-BE49-F238E27FC236}">
              <a16:creationId xmlns:a16="http://schemas.microsoft.com/office/drawing/2014/main" id="{6FE44A01-9150-4B93-AE68-36251D5786C8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4" name="TextBox 6124">
          <a:extLst>
            <a:ext uri="{FF2B5EF4-FFF2-40B4-BE49-F238E27FC236}">
              <a16:creationId xmlns:a16="http://schemas.microsoft.com/office/drawing/2014/main" id="{A26E5FFB-2041-4D67-9489-442768D4B433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5" name="TextBox 6125">
          <a:extLst>
            <a:ext uri="{FF2B5EF4-FFF2-40B4-BE49-F238E27FC236}">
              <a16:creationId xmlns:a16="http://schemas.microsoft.com/office/drawing/2014/main" id="{B079F1B5-551E-4470-9A30-165FFA560215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6" name="TextBox 6126">
          <a:extLst>
            <a:ext uri="{FF2B5EF4-FFF2-40B4-BE49-F238E27FC236}">
              <a16:creationId xmlns:a16="http://schemas.microsoft.com/office/drawing/2014/main" id="{B31A5323-42DC-46E8-B488-6D50BCA630B4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7" name="TextBox 6127">
          <a:extLst>
            <a:ext uri="{FF2B5EF4-FFF2-40B4-BE49-F238E27FC236}">
              <a16:creationId xmlns:a16="http://schemas.microsoft.com/office/drawing/2014/main" id="{840BC40B-EE40-4CC2-A218-F112B22F47BF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8" name="TextBox 6128">
          <a:extLst>
            <a:ext uri="{FF2B5EF4-FFF2-40B4-BE49-F238E27FC236}">
              <a16:creationId xmlns:a16="http://schemas.microsoft.com/office/drawing/2014/main" id="{FF921E06-6BDA-4814-A121-9D64194D6DC7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29" name="TextBox 6129">
          <a:extLst>
            <a:ext uri="{FF2B5EF4-FFF2-40B4-BE49-F238E27FC236}">
              <a16:creationId xmlns:a16="http://schemas.microsoft.com/office/drawing/2014/main" id="{535D260A-9D99-4601-997A-7D3E90EF8FC0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0" name="TextBox 13">
          <a:extLst>
            <a:ext uri="{FF2B5EF4-FFF2-40B4-BE49-F238E27FC236}">
              <a16:creationId xmlns:a16="http://schemas.microsoft.com/office/drawing/2014/main" id="{C26EAB07-0246-4AD6-A722-837A52CE2925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1" name="TextBox 14">
          <a:extLst>
            <a:ext uri="{FF2B5EF4-FFF2-40B4-BE49-F238E27FC236}">
              <a16:creationId xmlns:a16="http://schemas.microsoft.com/office/drawing/2014/main" id="{939A60A7-F282-4595-BFC4-BC7EE3BA980F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2" name="TextBox 6132">
          <a:extLst>
            <a:ext uri="{FF2B5EF4-FFF2-40B4-BE49-F238E27FC236}">
              <a16:creationId xmlns:a16="http://schemas.microsoft.com/office/drawing/2014/main" id="{6C6AC219-3329-4B6D-B2DF-4DF9A12BA70F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3" name="TextBox 6133">
          <a:extLst>
            <a:ext uri="{FF2B5EF4-FFF2-40B4-BE49-F238E27FC236}">
              <a16:creationId xmlns:a16="http://schemas.microsoft.com/office/drawing/2014/main" id="{D1EE9E65-8798-4F04-870F-CB149BEBB759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4" name="TextBox 6134">
          <a:extLst>
            <a:ext uri="{FF2B5EF4-FFF2-40B4-BE49-F238E27FC236}">
              <a16:creationId xmlns:a16="http://schemas.microsoft.com/office/drawing/2014/main" id="{397E5F37-4637-49B9-A538-48419749D004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5" name="TextBox 6135">
          <a:extLst>
            <a:ext uri="{FF2B5EF4-FFF2-40B4-BE49-F238E27FC236}">
              <a16:creationId xmlns:a16="http://schemas.microsoft.com/office/drawing/2014/main" id="{12DD9D4D-1555-4E0B-B25B-AC23278C93CB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6" name="TextBox 15">
          <a:extLst>
            <a:ext uri="{FF2B5EF4-FFF2-40B4-BE49-F238E27FC236}">
              <a16:creationId xmlns:a16="http://schemas.microsoft.com/office/drawing/2014/main" id="{1290F383-C505-42FD-ACA6-284FB94FACA8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7" name="TextBox 16">
          <a:extLst>
            <a:ext uri="{FF2B5EF4-FFF2-40B4-BE49-F238E27FC236}">
              <a16:creationId xmlns:a16="http://schemas.microsoft.com/office/drawing/2014/main" id="{6A2FFF7B-0AEC-42E8-8B54-444AA2CFFEF4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8" name="TextBox 17">
          <a:extLst>
            <a:ext uri="{FF2B5EF4-FFF2-40B4-BE49-F238E27FC236}">
              <a16:creationId xmlns:a16="http://schemas.microsoft.com/office/drawing/2014/main" id="{B2F0C7AE-58B1-403F-A8CB-84365A63B0C6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39" name="TextBox 18">
          <a:extLst>
            <a:ext uri="{FF2B5EF4-FFF2-40B4-BE49-F238E27FC236}">
              <a16:creationId xmlns:a16="http://schemas.microsoft.com/office/drawing/2014/main" id="{45BF8716-7FD8-42F2-BEF4-7DDD3B265209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0" name="TextBox 6140">
          <a:extLst>
            <a:ext uri="{FF2B5EF4-FFF2-40B4-BE49-F238E27FC236}">
              <a16:creationId xmlns:a16="http://schemas.microsoft.com/office/drawing/2014/main" id="{3241914F-E729-43B6-A91E-752991297823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1" name="TextBox 6141">
          <a:extLst>
            <a:ext uri="{FF2B5EF4-FFF2-40B4-BE49-F238E27FC236}">
              <a16:creationId xmlns:a16="http://schemas.microsoft.com/office/drawing/2014/main" id="{1C8C51AF-1B3E-42BC-A3A8-544D846DC5FD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2" name="TextBox 1">
          <a:extLst>
            <a:ext uri="{FF2B5EF4-FFF2-40B4-BE49-F238E27FC236}">
              <a16:creationId xmlns:a16="http://schemas.microsoft.com/office/drawing/2014/main" id="{73409218-217C-4FCD-82B1-D1DBC70689C6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3" name="TextBox 3">
          <a:extLst>
            <a:ext uri="{FF2B5EF4-FFF2-40B4-BE49-F238E27FC236}">
              <a16:creationId xmlns:a16="http://schemas.microsoft.com/office/drawing/2014/main" id="{01393FDC-3178-4D5B-B1E5-4B5752EB7140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4" name="TextBox 6144">
          <a:extLst>
            <a:ext uri="{FF2B5EF4-FFF2-40B4-BE49-F238E27FC236}">
              <a16:creationId xmlns:a16="http://schemas.microsoft.com/office/drawing/2014/main" id="{85898FB8-4B05-45F8-9CF6-60E73BC3C8C9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5" name="TextBox 6145">
          <a:extLst>
            <a:ext uri="{FF2B5EF4-FFF2-40B4-BE49-F238E27FC236}">
              <a16:creationId xmlns:a16="http://schemas.microsoft.com/office/drawing/2014/main" id="{88703054-2A5C-4C86-9DD9-B965D3C96BFB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6" name="TextBox 6146">
          <a:extLst>
            <a:ext uri="{FF2B5EF4-FFF2-40B4-BE49-F238E27FC236}">
              <a16:creationId xmlns:a16="http://schemas.microsoft.com/office/drawing/2014/main" id="{16189787-5459-40C8-9A6C-9AE4974C5307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7" name="TextBox 6147">
          <a:extLst>
            <a:ext uri="{FF2B5EF4-FFF2-40B4-BE49-F238E27FC236}">
              <a16:creationId xmlns:a16="http://schemas.microsoft.com/office/drawing/2014/main" id="{4231FB4F-73A9-463A-802E-86DD44F419BC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8" name="TextBox 6148">
          <a:extLst>
            <a:ext uri="{FF2B5EF4-FFF2-40B4-BE49-F238E27FC236}">
              <a16:creationId xmlns:a16="http://schemas.microsoft.com/office/drawing/2014/main" id="{7D577055-6716-4D12-A599-34003F007A10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49" name="TextBox 6149">
          <a:extLst>
            <a:ext uri="{FF2B5EF4-FFF2-40B4-BE49-F238E27FC236}">
              <a16:creationId xmlns:a16="http://schemas.microsoft.com/office/drawing/2014/main" id="{B7FD8180-5289-4719-9FC1-EC4C1D61E79B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0" name="TextBox 6150">
          <a:extLst>
            <a:ext uri="{FF2B5EF4-FFF2-40B4-BE49-F238E27FC236}">
              <a16:creationId xmlns:a16="http://schemas.microsoft.com/office/drawing/2014/main" id="{AA3A0EE8-F446-4FE2-A3D5-2423D6BC6709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1" name="TextBox 6151">
          <a:extLst>
            <a:ext uri="{FF2B5EF4-FFF2-40B4-BE49-F238E27FC236}">
              <a16:creationId xmlns:a16="http://schemas.microsoft.com/office/drawing/2014/main" id="{C7CAB140-94CB-43F6-8308-F410BF1E14D3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2" name="TextBox 6152">
          <a:extLst>
            <a:ext uri="{FF2B5EF4-FFF2-40B4-BE49-F238E27FC236}">
              <a16:creationId xmlns:a16="http://schemas.microsoft.com/office/drawing/2014/main" id="{4E6376B0-A9F4-458B-9BED-5B4453647835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3" name="TextBox 6153">
          <a:extLst>
            <a:ext uri="{FF2B5EF4-FFF2-40B4-BE49-F238E27FC236}">
              <a16:creationId xmlns:a16="http://schemas.microsoft.com/office/drawing/2014/main" id="{5CC2CE26-54B5-43FD-837D-31949317F57E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4" name="TextBox 13">
          <a:extLst>
            <a:ext uri="{FF2B5EF4-FFF2-40B4-BE49-F238E27FC236}">
              <a16:creationId xmlns:a16="http://schemas.microsoft.com/office/drawing/2014/main" id="{830EA197-8059-48FA-BE14-E659070774B0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5" name="TextBox 14">
          <a:extLst>
            <a:ext uri="{FF2B5EF4-FFF2-40B4-BE49-F238E27FC236}">
              <a16:creationId xmlns:a16="http://schemas.microsoft.com/office/drawing/2014/main" id="{AB435A62-2BD0-43E0-84C0-624E61AE68A6}"/>
            </a:ext>
          </a:extLst>
        </xdr:cNvPr>
        <xdr:cNvSpPr txBox="1"/>
      </xdr:nvSpPr>
      <xdr:spPr>
        <a:xfrm>
          <a:off x="1909762" y="327469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6" name="TextBox 6156">
          <a:extLst>
            <a:ext uri="{FF2B5EF4-FFF2-40B4-BE49-F238E27FC236}">
              <a16:creationId xmlns:a16="http://schemas.microsoft.com/office/drawing/2014/main" id="{AF365E10-02EC-4F82-949C-CE2DCA9725D9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7" name="TextBox 6157">
          <a:extLst>
            <a:ext uri="{FF2B5EF4-FFF2-40B4-BE49-F238E27FC236}">
              <a16:creationId xmlns:a16="http://schemas.microsoft.com/office/drawing/2014/main" id="{87C5FBE0-1DEA-4076-BB38-D419459AE269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8" name="TextBox 6158">
          <a:extLst>
            <a:ext uri="{FF2B5EF4-FFF2-40B4-BE49-F238E27FC236}">
              <a16:creationId xmlns:a16="http://schemas.microsoft.com/office/drawing/2014/main" id="{5F92F414-5F34-4513-93C2-61254A18D06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59" name="TextBox 6159">
          <a:extLst>
            <a:ext uri="{FF2B5EF4-FFF2-40B4-BE49-F238E27FC236}">
              <a16:creationId xmlns:a16="http://schemas.microsoft.com/office/drawing/2014/main" id="{F759E696-A539-4296-98AC-A4735D4FA719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0" name="TextBox 15">
          <a:extLst>
            <a:ext uri="{FF2B5EF4-FFF2-40B4-BE49-F238E27FC236}">
              <a16:creationId xmlns:a16="http://schemas.microsoft.com/office/drawing/2014/main" id="{AD16CFEB-B044-494C-90E9-5739578763C3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1" name="TextBox 16">
          <a:extLst>
            <a:ext uri="{FF2B5EF4-FFF2-40B4-BE49-F238E27FC236}">
              <a16:creationId xmlns:a16="http://schemas.microsoft.com/office/drawing/2014/main" id="{A5CEF080-882B-4709-A317-5E84AFA75779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2" name="TextBox 17">
          <a:extLst>
            <a:ext uri="{FF2B5EF4-FFF2-40B4-BE49-F238E27FC236}">
              <a16:creationId xmlns:a16="http://schemas.microsoft.com/office/drawing/2014/main" id="{1F27BF09-9ADA-429B-9599-1458B41B042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3" name="TextBox 18">
          <a:extLst>
            <a:ext uri="{FF2B5EF4-FFF2-40B4-BE49-F238E27FC236}">
              <a16:creationId xmlns:a16="http://schemas.microsoft.com/office/drawing/2014/main" id="{1F1296E2-8832-48F7-9B8D-8F6DCD47D2A1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4" name="TextBox 6164">
          <a:extLst>
            <a:ext uri="{FF2B5EF4-FFF2-40B4-BE49-F238E27FC236}">
              <a16:creationId xmlns:a16="http://schemas.microsoft.com/office/drawing/2014/main" id="{5B28C3DE-48BD-4A49-8C50-468CB5D90CF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5" name="TextBox 6165">
          <a:extLst>
            <a:ext uri="{FF2B5EF4-FFF2-40B4-BE49-F238E27FC236}">
              <a16:creationId xmlns:a16="http://schemas.microsoft.com/office/drawing/2014/main" id="{BFED29D3-BF35-4041-8686-9AE3C6998E20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6" name="TextBox 1">
          <a:extLst>
            <a:ext uri="{FF2B5EF4-FFF2-40B4-BE49-F238E27FC236}">
              <a16:creationId xmlns:a16="http://schemas.microsoft.com/office/drawing/2014/main" id="{F3194F9B-6418-4600-A606-D65A1E9ADF2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7" name="TextBox 3">
          <a:extLst>
            <a:ext uri="{FF2B5EF4-FFF2-40B4-BE49-F238E27FC236}">
              <a16:creationId xmlns:a16="http://schemas.microsoft.com/office/drawing/2014/main" id="{D6048228-E255-40C8-8BAA-57299C8D4A79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8" name="TextBox 6168">
          <a:extLst>
            <a:ext uri="{FF2B5EF4-FFF2-40B4-BE49-F238E27FC236}">
              <a16:creationId xmlns:a16="http://schemas.microsoft.com/office/drawing/2014/main" id="{BCF551EA-D97A-4BCF-AA67-5F8BC5DE63F0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69" name="TextBox 6169">
          <a:extLst>
            <a:ext uri="{FF2B5EF4-FFF2-40B4-BE49-F238E27FC236}">
              <a16:creationId xmlns:a16="http://schemas.microsoft.com/office/drawing/2014/main" id="{0C8A4159-104B-48E7-9E81-271B52C88ABB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0" name="TextBox 6170">
          <a:extLst>
            <a:ext uri="{FF2B5EF4-FFF2-40B4-BE49-F238E27FC236}">
              <a16:creationId xmlns:a16="http://schemas.microsoft.com/office/drawing/2014/main" id="{2BB4E4A1-0FAF-4BE5-B9FF-4A504344B5D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1" name="TextBox 6171">
          <a:extLst>
            <a:ext uri="{FF2B5EF4-FFF2-40B4-BE49-F238E27FC236}">
              <a16:creationId xmlns:a16="http://schemas.microsoft.com/office/drawing/2014/main" id="{DF013199-50F3-4529-B8CA-D51C0B7D5087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2" name="TextBox 6172">
          <a:extLst>
            <a:ext uri="{FF2B5EF4-FFF2-40B4-BE49-F238E27FC236}">
              <a16:creationId xmlns:a16="http://schemas.microsoft.com/office/drawing/2014/main" id="{588EAEE8-0152-41DD-A825-E19C7FD4540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3" name="TextBox 6173">
          <a:extLst>
            <a:ext uri="{FF2B5EF4-FFF2-40B4-BE49-F238E27FC236}">
              <a16:creationId xmlns:a16="http://schemas.microsoft.com/office/drawing/2014/main" id="{369A0899-041D-4D14-99C5-00AAFA20F7EC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4" name="TextBox 6174">
          <a:extLst>
            <a:ext uri="{FF2B5EF4-FFF2-40B4-BE49-F238E27FC236}">
              <a16:creationId xmlns:a16="http://schemas.microsoft.com/office/drawing/2014/main" id="{203C21B6-041E-437F-9933-589E0F55FC89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5" name="TextBox 6175">
          <a:extLst>
            <a:ext uri="{FF2B5EF4-FFF2-40B4-BE49-F238E27FC236}">
              <a16:creationId xmlns:a16="http://schemas.microsoft.com/office/drawing/2014/main" id="{398B8C38-8F3B-4881-8139-E9D9B2186AC6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6" name="TextBox 6176">
          <a:extLst>
            <a:ext uri="{FF2B5EF4-FFF2-40B4-BE49-F238E27FC236}">
              <a16:creationId xmlns:a16="http://schemas.microsoft.com/office/drawing/2014/main" id="{AE197F6E-AA57-47A2-BD99-8470F4B4E00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7" name="TextBox 6177">
          <a:extLst>
            <a:ext uri="{FF2B5EF4-FFF2-40B4-BE49-F238E27FC236}">
              <a16:creationId xmlns:a16="http://schemas.microsoft.com/office/drawing/2014/main" id="{05E692D5-F654-4EA9-ADFB-71DBD530A81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8" name="TextBox 13">
          <a:extLst>
            <a:ext uri="{FF2B5EF4-FFF2-40B4-BE49-F238E27FC236}">
              <a16:creationId xmlns:a16="http://schemas.microsoft.com/office/drawing/2014/main" id="{5AFD0493-6D98-4E97-9BC8-32BF7568983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79" name="TextBox 14">
          <a:extLst>
            <a:ext uri="{FF2B5EF4-FFF2-40B4-BE49-F238E27FC236}">
              <a16:creationId xmlns:a16="http://schemas.microsoft.com/office/drawing/2014/main" id="{AE1CF668-35FF-4452-B839-24E995BCBAC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0" name="TextBox 6180">
          <a:extLst>
            <a:ext uri="{FF2B5EF4-FFF2-40B4-BE49-F238E27FC236}">
              <a16:creationId xmlns:a16="http://schemas.microsoft.com/office/drawing/2014/main" id="{5CB3543E-2E06-4F83-8273-A6861EA284C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1" name="TextBox 6181">
          <a:extLst>
            <a:ext uri="{FF2B5EF4-FFF2-40B4-BE49-F238E27FC236}">
              <a16:creationId xmlns:a16="http://schemas.microsoft.com/office/drawing/2014/main" id="{9E67CAB9-69D1-4537-840D-B78A3DEDF79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2" name="TextBox 6182">
          <a:extLst>
            <a:ext uri="{FF2B5EF4-FFF2-40B4-BE49-F238E27FC236}">
              <a16:creationId xmlns:a16="http://schemas.microsoft.com/office/drawing/2014/main" id="{E8D96941-F93B-47BE-8B2F-5A468ADFE42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3" name="TextBox 6183">
          <a:extLst>
            <a:ext uri="{FF2B5EF4-FFF2-40B4-BE49-F238E27FC236}">
              <a16:creationId xmlns:a16="http://schemas.microsoft.com/office/drawing/2014/main" id="{E6BC03DC-D969-4687-9ADA-78F5E940C2C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4" name="TextBox 15">
          <a:extLst>
            <a:ext uri="{FF2B5EF4-FFF2-40B4-BE49-F238E27FC236}">
              <a16:creationId xmlns:a16="http://schemas.microsoft.com/office/drawing/2014/main" id="{480A012B-F813-4E9C-BD55-2B4DAFEA2AB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5" name="TextBox 16">
          <a:extLst>
            <a:ext uri="{FF2B5EF4-FFF2-40B4-BE49-F238E27FC236}">
              <a16:creationId xmlns:a16="http://schemas.microsoft.com/office/drawing/2014/main" id="{2C3B45E0-1582-448E-81BC-84940057302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6" name="TextBox 17">
          <a:extLst>
            <a:ext uri="{FF2B5EF4-FFF2-40B4-BE49-F238E27FC236}">
              <a16:creationId xmlns:a16="http://schemas.microsoft.com/office/drawing/2014/main" id="{9426E11B-0ACA-401C-8BB6-4213A6A9569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7" name="TextBox 18">
          <a:extLst>
            <a:ext uri="{FF2B5EF4-FFF2-40B4-BE49-F238E27FC236}">
              <a16:creationId xmlns:a16="http://schemas.microsoft.com/office/drawing/2014/main" id="{A03A2C6C-13FE-42E1-9758-3DAE147B543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8" name="TextBox 6188">
          <a:extLst>
            <a:ext uri="{FF2B5EF4-FFF2-40B4-BE49-F238E27FC236}">
              <a16:creationId xmlns:a16="http://schemas.microsoft.com/office/drawing/2014/main" id="{88AFB2DC-1D42-407D-8D12-4C1D80002FA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89" name="TextBox 6189">
          <a:extLst>
            <a:ext uri="{FF2B5EF4-FFF2-40B4-BE49-F238E27FC236}">
              <a16:creationId xmlns:a16="http://schemas.microsoft.com/office/drawing/2014/main" id="{F17DE9A5-B5C0-4C70-93E8-12262819B88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0" name="TextBox 1">
          <a:extLst>
            <a:ext uri="{FF2B5EF4-FFF2-40B4-BE49-F238E27FC236}">
              <a16:creationId xmlns:a16="http://schemas.microsoft.com/office/drawing/2014/main" id="{3FE3334B-EC77-43D8-B2FD-DDA10361A02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1" name="TextBox 3">
          <a:extLst>
            <a:ext uri="{FF2B5EF4-FFF2-40B4-BE49-F238E27FC236}">
              <a16:creationId xmlns:a16="http://schemas.microsoft.com/office/drawing/2014/main" id="{85C9BA24-869B-4A7C-A96C-8689DF74E7F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2" name="TextBox 6192">
          <a:extLst>
            <a:ext uri="{FF2B5EF4-FFF2-40B4-BE49-F238E27FC236}">
              <a16:creationId xmlns:a16="http://schemas.microsoft.com/office/drawing/2014/main" id="{413BCF82-C952-4C0E-870D-35BBFFD0FF3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3" name="TextBox 6193">
          <a:extLst>
            <a:ext uri="{FF2B5EF4-FFF2-40B4-BE49-F238E27FC236}">
              <a16:creationId xmlns:a16="http://schemas.microsoft.com/office/drawing/2014/main" id="{EABF0EFB-4CB1-4726-92DB-0F4733C631B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4" name="TextBox 6194">
          <a:extLst>
            <a:ext uri="{FF2B5EF4-FFF2-40B4-BE49-F238E27FC236}">
              <a16:creationId xmlns:a16="http://schemas.microsoft.com/office/drawing/2014/main" id="{D467AB63-6141-4476-B8C3-90F3D62590C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5" name="TextBox 6195">
          <a:extLst>
            <a:ext uri="{FF2B5EF4-FFF2-40B4-BE49-F238E27FC236}">
              <a16:creationId xmlns:a16="http://schemas.microsoft.com/office/drawing/2014/main" id="{3ECDEDA5-AB66-42BB-B0C9-DC1B4C6B041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6" name="TextBox 6196">
          <a:extLst>
            <a:ext uri="{FF2B5EF4-FFF2-40B4-BE49-F238E27FC236}">
              <a16:creationId xmlns:a16="http://schemas.microsoft.com/office/drawing/2014/main" id="{61971D5E-BE9C-48F8-BE25-CD8764F9893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7" name="TextBox 6197">
          <a:extLst>
            <a:ext uri="{FF2B5EF4-FFF2-40B4-BE49-F238E27FC236}">
              <a16:creationId xmlns:a16="http://schemas.microsoft.com/office/drawing/2014/main" id="{48C44BFD-5238-4A8C-A5EB-E623120257D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8" name="TextBox 6198">
          <a:extLst>
            <a:ext uri="{FF2B5EF4-FFF2-40B4-BE49-F238E27FC236}">
              <a16:creationId xmlns:a16="http://schemas.microsoft.com/office/drawing/2014/main" id="{B7216AE6-AB83-46F9-967F-FFF6E18D133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799" name="TextBox 6199">
          <a:extLst>
            <a:ext uri="{FF2B5EF4-FFF2-40B4-BE49-F238E27FC236}">
              <a16:creationId xmlns:a16="http://schemas.microsoft.com/office/drawing/2014/main" id="{C5A226A7-A452-4449-9423-F84C69D62C2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0" name="TextBox 6200">
          <a:extLst>
            <a:ext uri="{FF2B5EF4-FFF2-40B4-BE49-F238E27FC236}">
              <a16:creationId xmlns:a16="http://schemas.microsoft.com/office/drawing/2014/main" id="{2991AD60-034A-4A15-A800-5CF286434AB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1" name="TextBox 6201">
          <a:extLst>
            <a:ext uri="{FF2B5EF4-FFF2-40B4-BE49-F238E27FC236}">
              <a16:creationId xmlns:a16="http://schemas.microsoft.com/office/drawing/2014/main" id="{3262E585-F35A-4D66-8908-38229EA77B4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2" name="TextBox 13">
          <a:extLst>
            <a:ext uri="{FF2B5EF4-FFF2-40B4-BE49-F238E27FC236}">
              <a16:creationId xmlns:a16="http://schemas.microsoft.com/office/drawing/2014/main" id="{9A8852D0-C6EC-43CC-BECB-D0BB28F847F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3" name="TextBox 14">
          <a:extLst>
            <a:ext uri="{FF2B5EF4-FFF2-40B4-BE49-F238E27FC236}">
              <a16:creationId xmlns:a16="http://schemas.microsoft.com/office/drawing/2014/main" id="{4BC21AE1-B899-4007-9752-1AE82B1AF98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4" name="TextBox 6204">
          <a:extLst>
            <a:ext uri="{FF2B5EF4-FFF2-40B4-BE49-F238E27FC236}">
              <a16:creationId xmlns:a16="http://schemas.microsoft.com/office/drawing/2014/main" id="{D5C430E7-2526-4123-A7C4-FDF2D4FA92D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5" name="TextBox 6205">
          <a:extLst>
            <a:ext uri="{FF2B5EF4-FFF2-40B4-BE49-F238E27FC236}">
              <a16:creationId xmlns:a16="http://schemas.microsoft.com/office/drawing/2014/main" id="{41CECDBF-B3C9-4F1D-8116-F5E603D98F0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6" name="TextBox 6206">
          <a:extLst>
            <a:ext uri="{FF2B5EF4-FFF2-40B4-BE49-F238E27FC236}">
              <a16:creationId xmlns:a16="http://schemas.microsoft.com/office/drawing/2014/main" id="{2EA7E076-556C-47C1-A95F-B6D952C2044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7" name="TextBox 6207">
          <a:extLst>
            <a:ext uri="{FF2B5EF4-FFF2-40B4-BE49-F238E27FC236}">
              <a16:creationId xmlns:a16="http://schemas.microsoft.com/office/drawing/2014/main" id="{DAC1C6E5-62EF-418C-A52E-6721906AC92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8" name="TextBox 15">
          <a:extLst>
            <a:ext uri="{FF2B5EF4-FFF2-40B4-BE49-F238E27FC236}">
              <a16:creationId xmlns:a16="http://schemas.microsoft.com/office/drawing/2014/main" id="{CB81FA4C-1EC8-4761-8F34-D5D6FA43BA1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09" name="TextBox 16">
          <a:extLst>
            <a:ext uri="{FF2B5EF4-FFF2-40B4-BE49-F238E27FC236}">
              <a16:creationId xmlns:a16="http://schemas.microsoft.com/office/drawing/2014/main" id="{61177D87-ED9B-4CE6-8FD2-429E8D450BC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0" name="TextBox 17">
          <a:extLst>
            <a:ext uri="{FF2B5EF4-FFF2-40B4-BE49-F238E27FC236}">
              <a16:creationId xmlns:a16="http://schemas.microsoft.com/office/drawing/2014/main" id="{8CEB8F5B-2734-4434-AAE1-F975A2B549C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1" name="TextBox 18">
          <a:extLst>
            <a:ext uri="{FF2B5EF4-FFF2-40B4-BE49-F238E27FC236}">
              <a16:creationId xmlns:a16="http://schemas.microsoft.com/office/drawing/2014/main" id="{CFF7B543-751F-46C1-80D8-8298EC3B27F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2" name="TextBox 6212">
          <a:extLst>
            <a:ext uri="{FF2B5EF4-FFF2-40B4-BE49-F238E27FC236}">
              <a16:creationId xmlns:a16="http://schemas.microsoft.com/office/drawing/2014/main" id="{941CB1A1-BC55-498C-AFC2-5373B1148F0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3" name="TextBox 6213">
          <a:extLst>
            <a:ext uri="{FF2B5EF4-FFF2-40B4-BE49-F238E27FC236}">
              <a16:creationId xmlns:a16="http://schemas.microsoft.com/office/drawing/2014/main" id="{BC6C666A-7C26-4EF0-903C-639D47E4B02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4" name="TextBox 1">
          <a:extLst>
            <a:ext uri="{FF2B5EF4-FFF2-40B4-BE49-F238E27FC236}">
              <a16:creationId xmlns:a16="http://schemas.microsoft.com/office/drawing/2014/main" id="{24221711-8A78-4A47-96DA-38EFE908C3A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5" name="TextBox 3">
          <a:extLst>
            <a:ext uri="{FF2B5EF4-FFF2-40B4-BE49-F238E27FC236}">
              <a16:creationId xmlns:a16="http://schemas.microsoft.com/office/drawing/2014/main" id="{E5890CEF-16D9-4D43-8138-6F1277E1C01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6" name="TextBox 6216">
          <a:extLst>
            <a:ext uri="{FF2B5EF4-FFF2-40B4-BE49-F238E27FC236}">
              <a16:creationId xmlns:a16="http://schemas.microsoft.com/office/drawing/2014/main" id="{926E2BB8-679F-4D91-AC05-27A29FE6D1E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7" name="TextBox 6217">
          <a:extLst>
            <a:ext uri="{FF2B5EF4-FFF2-40B4-BE49-F238E27FC236}">
              <a16:creationId xmlns:a16="http://schemas.microsoft.com/office/drawing/2014/main" id="{4C588127-3606-4656-B149-288539F6995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8" name="TextBox 6218">
          <a:extLst>
            <a:ext uri="{FF2B5EF4-FFF2-40B4-BE49-F238E27FC236}">
              <a16:creationId xmlns:a16="http://schemas.microsoft.com/office/drawing/2014/main" id="{E034C633-580E-4543-B9C2-240EB73CDCB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19" name="TextBox 6219">
          <a:extLst>
            <a:ext uri="{FF2B5EF4-FFF2-40B4-BE49-F238E27FC236}">
              <a16:creationId xmlns:a16="http://schemas.microsoft.com/office/drawing/2014/main" id="{B772928D-44CA-4DDC-BC1C-297A6DB15EB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0" name="TextBox 6220">
          <a:extLst>
            <a:ext uri="{FF2B5EF4-FFF2-40B4-BE49-F238E27FC236}">
              <a16:creationId xmlns:a16="http://schemas.microsoft.com/office/drawing/2014/main" id="{A9D08E68-E457-48ED-9AB4-50D57FE14C4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1" name="TextBox 6221">
          <a:extLst>
            <a:ext uri="{FF2B5EF4-FFF2-40B4-BE49-F238E27FC236}">
              <a16:creationId xmlns:a16="http://schemas.microsoft.com/office/drawing/2014/main" id="{F4BA611D-EF5D-4877-9123-8BEAFEF9F07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2" name="TextBox 6222">
          <a:extLst>
            <a:ext uri="{FF2B5EF4-FFF2-40B4-BE49-F238E27FC236}">
              <a16:creationId xmlns:a16="http://schemas.microsoft.com/office/drawing/2014/main" id="{CA302C74-A878-4CF9-84F3-60A4179DE53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3" name="TextBox 6223">
          <a:extLst>
            <a:ext uri="{FF2B5EF4-FFF2-40B4-BE49-F238E27FC236}">
              <a16:creationId xmlns:a16="http://schemas.microsoft.com/office/drawing/2014/main" id="{21CF3FE7-69AF-401A-93B9-439423600B1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4" name="TextBox 6224">
          <a:extLst>
            <a:ext uri="{FF2B5EF4-FFF2-40B4-BE49-F238E27FC236}">
              <a16:creationId xmlns:a16="http://schemas.microsoft.com/office/drawing/2014/main" id="{554A353B-11E4-4F4B-B8CD-0B64CC1531E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5" name="TextBox 6225">
          <a:extLst>
            <a:ext uri="{FF2B5EF4-FFF2-40B4-BE49-F238E27FC236}">
              <a16:creationId xmlns:a16="http://schemas.microsoft.com/office/drawing/2014/main" id="{61ACE290-8AF6-4E7D-B8A7-D64BF019E6D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6" name="TextBox 13">
          <a:extLst>
            <a:ext uri="{FF2B5EF4-FFF2-40B4-BE49-F238E27FC236}">
              <a16:creationId xmlns:a16="http://schemas.microsoft.com/office/drawing/2014/main" id="{5210A7D5-63F9-4C53-9F45-DA3213FAC77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7" name="TextBox 14">
          <a:extLst>
            <a:ext uri="{FF2B5EF4-FFF2-40B4-BE49-F238E27FC236}">
              <a16:creationId xmlns:a16="http://schemas.microsoft.com/office/drawing/2014/main" id="{75E11E00-7BA0-4420-952C-FEECD0E5B80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8" name="TextBox 6228">
          <a:extLst>
            <a:ext uri="{FF2B5EF4-FFF2-40B4-BE49-F238E27FC236}">
              <a16:creationId xmlns:a16="http://schemas.microsoft.com/office/drawing/2014/main" id="{50F1AE21-B77C-4E92-A0B8-AF8CDD37AAA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29" name="TextBox 6229">
          <a:extLst>
            <a:ext uri="{FF2B5EF4-FFF2-40B4-BE49-F238E27FC236}">
              <a16:creationId xmlns:a16="http://schemas.microsoft.com/office/drawing/2014/main" id="{85EC7CCE-32B4-43B5-BAEE-4B193BB6B5A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0" name="TextBox 6230">
          <a:extLst>
            <a:ext uri="{FF2B5EF4-FFF2-40B4-BE49-F238E27FC236}">
              <a16:creationId xmlns:a16="http://schemas.microsoft.com/office/drawing/2014/main" id="{81437107-1BD6-4882-90D4-793FA2570A0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1" name="TextBox 6231">
          <a:extLst>
            <a:ext uri="{FF2B5EF4-FFF2-40B4-BE49-F238E27FC236}">
              <a16:creationId xmlns:a16="http://schemas.microsoft.com/office/drawing/2014/main" id="{24B3DD80-38CB-4624-8C83-B7C2C5B6016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2" name="TextBox 15">
          <a:extLst>
            <a:ext uri="{FF2B5EF4-FFF2-40B4-BE49-F238E27FC236}">
              <a16:creationId xmlns:a16="http://schemas.microsoft.com/office/drawing/2014/main" id="{073D75CF-DB92-4415-9702-856943B13DC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3" name="TextBox 16">
          <a:extLst>
            <a:ext uri="{FF2B5EF4-FFF2-40B4-BE49-F238E27FC236}">
              <a16:creationId xmlns:a16="http://schemas.microsoft.com/office/drawing/2014/main" id="{35DAD1CC-09F7-4C5B-A8BF-550F346404E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4" name="TextBox 17">
          <a:extLst>
            <a:ext uri="{FF2B5EF4-FFF2-40B4-BE49-F238E27FC236}">
              <a16:creationId xmlns:a16="http://schemas.microsoft.com/office/drawing/2014/main" id="{8085D287-9A4C-41F5-B376-0DF6AB6F3C5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5" name="TextBox 18">
          <a:extLst>
            <a:ext uri="{FF2B5EF4-FFF2-40B4-BE49-F238E27FC236}">
              <a16:creationId xmlns:a16="http://schemas.microsoft.com/office/drawing/2014/main" id="{8ECB82DD-A9D0-4AA2-9F34-0A304DDA82F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6" name="TextBox 6236">
          <a:extLst>
            <a:ext uri="{FF2B5EF4-FFF2-40B4-BE49-F238E27FC236}">
              <a16:creationId xmlns:a16="http://schemas.microsoft.com/office/drawing/2014/main" id="{88C7CB04-E03C-442F-9A65-C5CE251E1E1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7" name="TextBox 6237">
          <a:extLst>
            <a:ext uri="{FF2B5EF4-FFF2-40B4-BE49-F238E27FC236}">
              <a16:creationId xmlns:a16="http://schemas.microsoft.com/office/drawing/2014/main" id="{E37104FF-EBD2-45BB-98DE-F4EDF50DAF1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8" name="TextBox 1">
          <a:extLst>
            <a:ext uri="{FF2B5EF4-FFF2-40B4-BE49-F238E27FC236}">
              <a16:creationId xmlns:a16="http://schemas.microsoft.com/office/drawing/2014/main" id="{24487620-048B-44A2-92E9-B71C641A355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39" name="TextBox 3">
          <a:extLst>
            <a:ext uri="{FF2B5EF4-FFF2-40B4-BE49-F238E27FC236}">
              <a16:creationId xmlns:a16="http://schemas.microsoft.com/office/drawing/2014/main" id="{FC07BA6F-E35E-43F9-986D-11689E4B22F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0" name="TextBox 6240">
          <a:extLst>
            <a:ext uri="{FF2B5EF4-FFF2-40B4-BE49-F238E27FC236}">
              <a16:creationId xmlns:a16="http://schemas.microsoft.com/office/drawing/2014/main" id="{2BD89D8E-1F1E-4268-9D5C-B7E13F83659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1" name="TextBox 6241">
          <a:extLst>
            <a:ext uri="{FF2B5EF4-FFF2-40B4-BE49-F238E27FC236}">
              <a16:creationId xmlns:a16="http://schemas.microsoft.com/office/drawing/2014/main" id="{E638A288-3116-4B9D-B01F-B0131E19DF3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2" name="TextBox 6242">
          <a:extLst>
            <a:ext uri="{FF2B5EF4-FFF2-40B4-BE49-F238E27FC236}">
              <a16:creationId xmlns:a16="http://schemas.microsoft.com/office/drawing/2014/main" id="{AF48ADDA-B348-4F04-B8BD-8386F769DAB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3" name="TextBox 6243">
          <a:extLst>
            <a:ext uri="{FF2B5EF4-FFF2-40B4-BE49-F238E27FC236}">
              <a16:creationId xmlns:a16="http://schemas.microsoft.com/office/drawing/2014/main" id="{6A76928B-F2E9-4BA5-AA5F-6E46F6346A2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4" name="TextBox 6244">
          <a:extLst>
            <a:ext uri="{FF2B5EF4-FFF2-40B4-BE49-F238E27FC236}">
              <a16:creationId xmlns:a16="http://schemas.microsoft.com/office/drawing/2014/main" id="{2B4AA5CF-C460-42DC-B8F5-EB7FC88EE82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5" name="TextBox 6245">
          <a:extLst>
            <a:ext uri="{FF2B5EF4-FFF2-40B4-BE49-F238E27FC236}">
              <a16:creationId xmlns:a16="http://schemas.microsoft.com/office/drawing/2014/main" id="{6C94968C-5B3D-43B6-BD24-278F22998AB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6" name="TextBox 6246">
          <a:extLst>
            <a:ext uri="{FF2B5EF4-FFF2-40B4-BE49-F238E27FC236}">
              <a16:creationId xmlns:a16="http://schemas.microsoft.com/office/drawing/2014/main" id="{D08BA3CA-DBF7-4ECC-8DAB-C468DF2CFF3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7" name="TextBox 6247">
          <a:extLst>
            <a:ext uri="{FF2B5EF4-FFF2-40B4-BE49-F238E27FC236}">
              <a16:creationId xmlns:a16="http://schemas.microsoft.com/office/drawing/2014/main" id="{5DD4A3C0-F9BF-4B1C-A219-906EF0B561A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8" name="TextBox 6248">
          <a:extLst>
            <a:ext uri="{FF2B5EF4-FFF2-40B4-BE49-F238E27FC236}">
              <a16:creationId xmlns:a16="http://schemas.microsoft.com/office/drawing/2014/main" id="{E6D6E339-7DE3-4864-8D3F-4C47EDCC0A8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49" name="TextBox 6249">
          <a:extLst>
            <a:ext uri="{FF2B5EF4-FFF2-40B4-BE49-F238E27FC236}">
              <a16:creationId xmlns:a16="http://schemas.microsoft.com/office/drawing/2014/main" id="{17246C20-A30C-40AB-97E6-AF76FEE21AA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0" name="TextBox 13">
          <a:extLst>
            <a:ext uri="{FF2B5EF4-FFF2-40B4-BE49-F238E27FC236}">
              <a16:creationId xmlns:a16="http://schemas.microsoft.com/office/drawing/2014/main" id="{35C046C6-CE7B-49BC-BDEB-234E50D1704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1" name="TextBox 14">
          <a:extLst>
            <a:ext uri="{FF2B5EF4-FFF2-40B4-BE49-F238E27FC236}">
              <a16:creationId xmlns:a16="http://schemas.microsoft.com/office/drawing/2014/main" id="{49D2DFD2-19F6-4730-8D64-4EC84DA6424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2" name="TextBox 6252">
          <a:extLst>
            <a:ext uri="{FF2B5EF4-FFF2-40B4-BE49-F238E27FC236}">
              <a16:creationId xmlns:a16="http://schemas.microsoft.com/office/drawing/2014/main" id="{1A502C71-DA68-4113-8E3F-F71C1EB261F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3" name="TextBox 6253">
          <a:extLst>
            <a:ext uri="{FF2B5EF4-FFF2-40B4-BE49-F238E27FC236}">
              <a16:creationId xmlns:a16="http://schemas.microsoft.com/office/drawing/2014/main" id="{6A20CDBA-2BB6-416E-8AC9-7A8BADF27D5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4" name="TextBox 6254">
          <a:extLst>
            <a:ext uri="{FF2B5EF4-FFF2-40B4-BE49-F238E27FC236}">
              <a16:creationId xmlns:a16="http://schemas.microsoft.com/office/drawing/2014/main" id="{8E645A49-CEAD-4AD5-A279-FC37B821AB9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5" name="TextBox 6255">
          <a:extLst>
            <a:ext uri="{FF2B5EF4-FFF2-40B4-BE49-F238E27FC236}">
              <a16:creationId xmlns:a16="http://schemas.microsoft.com/office/drawing/2014/main" id="{719A1D3C-683A-4FA3-9171-D4B02B2579B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6" name="TextBox 15">
          <a:extLst>
            <a:ext uri="{FF2B5EF4-FFF2-40B4-BE49-F238E27FC236}">
              <a16:creationId xmlns:a16="http://schemas.microsoft.com/office/drawing/2014/main" id="{74CBD61C-F01F-4165-81AF-CED613DC2B0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7" name="TextBox 16">
          <a:extLst>
            <a:ext uri="{FF2B5EF4-FFF2-40B4-BE49-F238E27FC236}">
              <a16:creationId xmlns:a16="http://schemas.microsoft.com/office/drawing/2014/main" id="{3E9BE0C0-7D73-4EDB-843A-E9E2AED8A3E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8" name="TextBox 17">
          <a:extLst>
            <a:ext uri="{FF2B5EF4-FFF2-40B4-BE49-F238E27FC236}">
              <a16:creationId xmlns:a16="http://schemas.microsoft.com/office/drawing/2014/main" id="{541AA063-EFD1-4979-8E4D-A4C90168732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59" name="TextBox 18">
          <a:extLst>
            <a:ext uri="{FF2B5EF4-FFF2-40B4-BE49-F238E27FC236}">
              <a16:creationId xmlns:a16="http://schemas.microsoft.com/office/drawing/2014/main" id="{F5B9A4D5-159A-4C06-A4B2-B5699176C59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0" name="TextBox 6260">
          <a:extLst>
            <a:ext uri="{FF2B5EF4-FFF2-40B4-BE49-F238E27FC236}">
              <a16:creationId xmlns:a16="http://schemas.microsoft.com/office/drawing/2014/main" id="{39BFBFF7-BD4E-4F0B-BFA3-5D2548806B9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1" name="TextBox 6261">
          <a:extLst>
            <a:ext uri="{FF2B5EF4-FFF2-40B4-BE49-F238E27FC236}">
              <a16:creationId xmlns:a16="http://schemas.microsoft.com/office/drawing/2014/main" id="{62B324DA-2B3E-4010-A872-D00EC3D729C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2" name="TextBox 1">
          <a:extLst>
            <a:ext uri="{FF2B5EF4-FFF2-40B4-BE49-F238E27FC236}">
              <a16:creationId xmlns:a16="http://schemas.microsoft.com/office/drawing/2014/main" id="{F95B9880-A909-4A6D-864A-2979E60CAE8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3" name="TextBox 3">
          <a:extLst>
            <a:ext uri="{FF2B5EF4-FFF2-40B4-BE49-F238E27FC236}">
              <a16:creationId xmlns:a16="http://schemas.microsoft.com/office/drawing/2014/main" id="{F75B2B93-9926-40BD-8A3D-085B4C989E2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4" name="TextBox 6264">
          <a:extLst>
            <a:ext uri="{FF2B5EF4-FFF2-40B4-BE49-F238E27FC236}">
              <a16:creationId xmlns:a16="http://schemas.microsoft.com/office/drawing/2014/main" id="{938E8330-4EC3-467B-9E1E-31021C107B4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5" name="TextBox 6265">
          <a:extLst>
            <a:ext uri="{FF2B5EF4-FFF2-40B4-BE49-F238E27FC236}">
              <a16:creationId xmlns:a16="http://schemas.microsoft.com/office/drawing/2014/main" id="{1EBFD533-7A8F-4A09-9965-722C138DB21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6" name="TextBox 6266">
          <a:extLst>
            <a:ext uri="{FF2B5EF4-FFF2-40B4-BE49-F238E27FC236}">
              <a16:creationId xmlns:a16="http://schemas.microsoft.com/office/drawing/2014/main" id="{F5F8F3AA-075E-46C3-846A-D172DF8870F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7" name="TextBox 6267">
          <a:extLst>
            <a:ext uri="{FF2B5EF4-FFF2-40B4-BE49-F238E27FC236}">
              <a16:creationId xmlns:a16="http://schemas.microsoft.com/office/drawing/2014/main" id="{D18DB985-18B8-43F5-9FFF-A16D8E8CA55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8" name="TextBox 6268">
          <a:extLst>
            <a:ext uri="{FF2B5EF4-FFF2-40B4-BE49-F238E27FC236}">
              <a16:creationId xmlns:a16="http://schemas.microsoft.com/office/drawing/2014/main" id="{126BFBD4-1F8F-4BFF-8823-EE46C2D5640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69" name="TextBox 6269">
          <a:extLst>
            <a:ext uri="{FF2B5EF4-FFF2-40B4-BE49-F238E27FC236}">
              <a16:creationId xmlns:a16="http://schemas.microsoft.com/office/drawing/2014/main" id="{967DBA0D-FB6B-4404-9809-B5786EADE982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0" name="TextBox 6270">
          <a:extLst>
            <a:ext uri="{FF2B5EF4-FFF2-40B4-BE49-F238E27FC236}">
              <a16:creationId xmlns:a16="http://schemas.microsoft.com/office/drawing/2014/main" id="{F07E7138-1B24-4C93-B0A6-6D5074D3974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1" name="TextBox 6271">
          <a:extLst>
            <a:ext uri="{FF2B5EF4-FFF2-40B4-BE49-F238E27FC236}">
              <a16:creationId xmlns:a16="http://schemas.microsoft.com/office/drawing/2014/main" id="{0CBC4B09-8ECB-4CAF-929B-0C61EFF571D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2" name="TextBox 6272">
          <a:extLst>
            <a:ext uri="{FF2B5EF4-FFF2-40B4-BE49-F238E27FC236}">
              <a16:creationId xmlns:a16="http://schemas.microsoft.com/office/drawing/2014/main" id="{18D114DD-6008-4495-AAD9-55A62F23B54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3" name="TextBox 6273">
          <a:extLst>
            <a:ext uri="{FF2B5EF4-FFF2-40B4-BE49-F238E27FC236}">
              <a16:creationId xmlns:a16="http://schemas.microsoft.com/office/drawing/2014/main" id="{D481E702-56DC-4503-B163-B04D062D62F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4" name="TextBox 13">
          <a:extLst>
            <a:ext uri="{FF2B5EF4-FFF2-40B4-BE49-F238E27FC236}">
              <a16:creationId xmlns:a16="http://schemas.microsoft.com/office/drawing/2014/main" id="{E9816097-6B14-4924-86FF-AAC16BA6BC6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5" name="TextBox 14">
          <a:extLst>
            <a:ext uri="{FF2B5EF4-FFF2-40B4-BE49-F238E27FC236}">
              <a16:creationId xmlns:a16="http://schemas.microsoft.com/office/drawing/2014/main" id="{DA4A1588-4CCE-4FB6-B202-73587AAB1D6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6" name="TextBox 6276">
          <a:extLst>
            <a:ext uri="{FF2B5EF4-FFF2-40B4-BE49-F238E27FC236}">
              <a16:creationId xmlns:a16="http://schemas.microsoft.com/office/drawing/2014/main" id="{34F2C19D-ADB3-49B4-83D4-58B8F94E0F3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7" name="TextBox 6277">
          <a:extLst>
            <a:ext uri="{FF2B5EF4-FFF2-40B4-BE49-F238E27FC236}">
              <a16:creationId xmlns:a16="http://schemas.microsoft.com/office/drawing/2014/main" id="{9DF44380-2C28-47C0-A731-1C1A814F632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8" name="TextBox 6278">
          <a:extLst>
            <a:ext uri="{FF2B5EF4-FFF2-40B4-BE49-F238E27FC236}">
              <a16:creationId xmlns:a16="http://schemas.microsoft.com/office/drawing/2014/main" id="{6AD336E1-5BCA-4A6E-A843-62C82945EE0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79" name="TextBox 6279">
          <a:extLst>
            <a:ext uri="{FF2B5EF4-FFF2-40B4-BE49-F238E27FC236}">
              <a16:creationId xmlns:a16="http://schemas.microsoft.com/office/drawing/2014/main" id="{E6FD9F20-CD43-4F9C-8650-2B4E17DCE4B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0" name="TextBox 15">
          <a:extLst>
            <a:ext uri="{FF2B5EF4-FFF2-40B4-BE49-F238E27FC236}">
              <a16:creationId xmlns:a16="http://schemas.microsoft.com/office/drawing/2014/main" id="{94FC2C8F-9BB0-4542-8F3A-5BF52F0DC1C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1" name="TextBox 16">
          <a:extLst>
            <a:ext uri="{FF2B5EF4-FFF2-40B4-BE49-F238E27FC236}">
              <a16:creationId xmlns:a16="http://schemas.microsoft.com/office/drawing/2014/main" id="{F6061298-FF8D-4B4D-8A4A-321AAA46085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2" name="TextBox 17">
          <a:extLst>
            <a:ext uri="{FF2B5EF4-FFF2-40B4-BE49-F238E27FC236}">
              <a16:creationId xmlns:a16="http://schemas.microsoft.com/office/drawing/2014/main" id="{FA7BBEE0-90A2-4A99-8854-3A2ACA83B06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3" name="TextBox 18">
          <a:extLst>
            <a:ext uri="{FF2B5EF4-FFF2-40B4-BE49-F238E27FC236}">
              <a16:creationId xmlns:a16="http://schemas.microsoft.com/office/drawing/2014/main" id="{05C5DB30-8335-431E-BA2A-8D7BF1AD4CE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4" name="TextBox 6284">
          <a:extLst>
            <a:ext uri="{FF2B5EF4-FFF2-40B4-BE49-F238E27FC236}">
              <a16:creationId xmlns:a16="http://schemas.microsoft.com/office/drawing/2014/main" id="{70B4A07F-87AA-4F3F-B54C-0052200881E7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5" name="TextBox 6285">
          <a:extLst>
            <a:ext uri="{FF2B5EF4-FFF2-40B4-BE49-F238E27FC236}">
              <a16:creationId xmlns:a16="http://schemas.microsoft.com/office/drawing/2014/main" id="{DCA3296F-46B2-4C15-A992-462CB3A0C84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6" name="TextBox 1">
          <a:extLst>
            <a:ext uri="{FF2B5EF4-FFF2-40B4-BE49-F238E27FC236}">
              <a16:creationId xmlns:a16="http://schemas.microsoft.com/office/drawing/2014/main" id="{D693A08F-3F2D-4728-9520-E815AB06DD0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7" name="TextBox 3">
          <a:extLst>
            <a:ext uri="{FF2B5EF4-FFF2-40B4-BE49-F238E27FC236}">
              <a16:creationId xmlns:a16="http://schemas.microsoft.com/office/drawing/2014/main" id="{E6A7FA77-DA9D-4A8D-8250-CFFA1AB8F837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8" name="TextBox 6288">
          <a:extLst>
            <a:ext uri="{FF2B5EF4-FFF2-40B4-BE49-F238E27FC236}">
              <a16:creationId xmlns:a16="http://schemas.microsoft.com/office/drawing/2014/main" id="{91DDF60F-321A-4B8E-BCC3-4947ABA693B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89" name="TextBox 6289">
          <a:extLst>
            <a:ext uri="{FF2B5EF4-FFF2-40B4-BE49-F238E27FC236}">
              <a16:creationId xmlns:a16="http://schemas.microsoft.com/office/drawing/2014/main" id="{71DC2323-416B-4DF7-9C33-D691C39AE87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0" name="TextBox 6290">
          <a:extLst>
            <a:ext uri="{FF2B5EF4-FFF2-40B4-BE49-F238E27FC236}">
              <a16:creationId xmlns:a16="http://schemas.microsoft.com/office/drawing/2014/main" id="{65B7C582-65F1-4F6B-A4C3-CABF70D47E5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1" name="TextBox 6291">
          <a:extLst>
            <a:ext uri="{FF2B5EF4-FFF2-40B4-BE49-F238E27FC236}">
              <a16:creationId xmlns:a16="http://schemas.microsoft.com/office/drawing/2014/main" id="{AC76DD24-D310-4B1A-A510-7266F55504F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2" name="TextBox 6292">
          <a:extLst>
            <a:ext uri="{FF2B5EF4-FFF2-40B4-BE49-F238E27FC236}">
              <a16:creationId xmlns:a16="http://schemas.microsoft.com/office/drawing/2014/main" id="{2A9A4277-89B5-4149-A70B-934AAC56800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3" name="TextBox 6293">
          <a:extLst>
            <a:ext uri="{FF2B5EF4-FFF2-40B4-BE49-F238E27FC236}">
              <a16:creationId xmlns:a16="http://schemas.microsoft.com/office/drawing/2014/main" id="{B27FC513-EB1F-4E5E-A69A-54C5BDE5BCB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4" name="TextBox 6294">
          <a:extLst>
            <a:ext uri="{FF2B5EF4-FFF2-40B4-BE49-F238E27FC236}">
              <a16:creationId xmlns:a16="http://schemas.microsoft.com/office/drawing/2014/main" id="{B4F96557-5A2A-4F0D-9A79-96D6A05C6FB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5" name="TextBox 6295">
          <a:extLst>
            <a:ext uri="{FF2B5EF4-FFF2-40B4-BE49-F238E27FC236}">
              <a16:creationId xmlns:a16="http://schemas.microsoft.com/office/drawing/2014/main" id="{593AF5B0-7503-4FB7-A78B-96B5EA2C241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6" name="TextBox 6296">
          <a:extLst>
            <a:ext uri="{FF2B5EF4-FFF2-40B4-BE49-F238E27FC236}">
              <a16:creationId xmlns:a16="http://schemas.microsoft.com/office/drawing/2014/main" id="{7E57E35B-A99F-43AA-8473-005B929CA62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7" name="TextBox 6297">
          <a:extLst>
            <a:ext uri="{FF2B5EF4-FFF2-40B4-BE49-F238E27FC236}">
              <a16:creationId xmlns:a16="http://schemas.microsoft.com/office/drawing/2014/main" id="{C304BBA7-B38D-45B3-BFB5-4055498F19F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8" name="TextBox 13">
          <a:extLst>
            <a:ext uri="{FF2B5EF4-FFF2-40B4-BE49-F238E27FC236}">
              <a16:creationId xmlns:a16="http://schemas.microsoft.com/office/drawing/2014/main" id="{7BE7D374-16B7-4A05-A74F-7E043ED11DB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899" name="TextBox 14">
          <a:extLst>
            <a:ext uri="{FF2B5EF4-FFF2-40B4-BE49-F238E27FC236}">
              <a16:creationId xmlns:a16="http://schemas.microsoft.com/office/drawing/2014/main" id="{3183BB91-AC7A-4026-98FF-54C775C3236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0" name="TextBox 6300">
          <a:extLst>
            <a:ext uri="{FF2B5EF4-FFF2-40B4-BE49-F238E27FC236}">
              <a16:creationId xmlns:a16="http://schemas.microsoft.com/office/drawing/2014/main" id="{55179D40-D9CD-4DF2-B741-569000B081C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1" name="TextBox 6301">
          <a:extLst>
            <a:ext uri="{FF2B5EF4-FFF2-40B4-BE49-F238E27FC236}">
              <a16:creationId xmlns:a16="http://schemas.microsoft.com/office/drawing/2014/main" id="{0B4E5927-F825-400B-AA0B-CEB2D5011FA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2" name="TextBox 6302">
          <a:extLst>
            <a:ext uri="{FF2B5EF4-FFF2-40B4-BE49-F238E27FC236}">
              <a16:creationId xmlns:a16="http://schemas.microsoft.com/office/drawing/2014/main" id="{1EAE7005-CE5E-457A-A09C-24CF06A612D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3" name="TextBox 6303">
          <a:extLst>
            <a:ext uri="{FF2B5EF4-FFF2-40B4-BE49-F238E27FC236}">
              <a16:creationId xmlns:a16="http://schemas.microsoft.com/office/drawing/2014/main" id="{D2ED20B6-5F57-46DA-92B3-F52F9E17764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4" name="TextBox 15">
          <a:extLst>
            <a:ext uri="{FF2B5EF4-FFF2-40B4-BE49-F238E27FC236}">
              <a16:creationId xmlns:a16="http://schemas.microsoft.com/office/drawing/2014/main" id="{69882BA0-5DCB-4F12-B6EE-F2022198907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5" name="TextBox 16">
          <a:extLst>
            <a:ext uri="{FF2B5EF4-FFF2-40B4-BE49-F238E27FC236}">
              <a16:creationId xmlns:a16="http://schemas.microsoft.com/office/drawing/2014/main" id="{59B7208D-3141-42C9-B4D1-263477DDC5C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6" name="TextBox 17">
          <a:extLst>
            <a:ext uri="{FF2B5EF4-FFF2-40B4-BE49-F238E27FC236}">
              <a16:creationId xmlns:a16="http://schemas.microsoft.com/office/drawing/2014/main" id="{E355C794-E5EB-47B1-A557-3DF4EB090F9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7" name="TextBox 18">
          <a:extLst>
            <a:ext uri="{FF2B5EF4-FFF2-40B4-BE49-F238E27FC236}">
              <a16:creationId xmlns:a16="http://schemas.microsoft.com/office/drawing/2014/main" id="{E4014E94-FA49-440E-B860-815820273BA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8" name="TextBox 6308">
          <a:extLst>
            <a:ext uri="{FF2B5EF4-FFF2-40B4-BE49-F238E27FC236}">
              <a16:creationId xmlns:a16="http://schemas.microsoft.com/office/drawing/2014/main" id="{5FE95A2B-AD13-40A7-AA1A-E867661FB9F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09" name="TextBox 6309">
          <a:extLst>
            <a:ext uri="{FF2B5EF4-FFF2-40B4-BE49-F238E27FC236}">
              <a16:creationId xmlns:a16="http://schemas.microsoft.com/office/drawing/2014/main" id="{D3B3CB37-9ADD-49AD-B814-8A15405EF41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0" name="TextBox 1">
          <a:extLst>
            <a:ext uri="{FF2B5EF4-FFF2-40B4-BE49-F238E27FC236}">
              <a16:creationId xmlns:a16="http://schemas.microsoft.com/office/drawing/2014/main" id="{EDC4EC10-7B5F-45F5-B4B8-EB8C4CC0AFE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1" name="TextBox 3">
          <a:extLst>
            <a:ext uri="{FF2B5EF4-FFF2-40B4-BE49-F238E27FC236}">
              <a16:creationId xmlns:a16="http://schemas.microsoft.com/office/drawing/2014/main" id="{D8E18C8B-F6CF-4338-836B-36912B842AC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2" name="TextBox 6312">
          <a:extLst>
            <a:ext uri="{FF2B5EF4-FFF2-40B4-BE49-F238E27FC236}">
              <a16:creationId xmlns:a16="http://schemas.microsoft.com/office/drawing/2014/main" id="{98F72896-1412-4EC4-AC7F-A509B911803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3" name="TextBox 6313">
          <a:extLst>
            <a:ext uri="{FF2B5EF4-FFF2-40B4-BE49-F238E27FC236}">
              <a16:creationId xmlns:a16="http://schemas.microsoft.com/office/drawing/2014/main" id="{A716565F-90B3-4A59-A784-3701CCA7CD1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4" name="TextBox 6314">
          <a:extLst>
            <a:ext uri="{FF2B5EF4-FFF2-40B4-BE49-F238E27FC236}">
              <a16:creationId xmlns:a16="http://schemas.microsoft.com/office/drawing/2014/main" id="{D8F89BFD-B3E3-4B01-9ECE-C0B19E63EAD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5" name="TextBox 6315">
          <a:extLst>
            <a:ext uri="{FF2B5EF4-FFF2-40B4-BE49-F238E27FC236}">
              <a16:creationId xmlns:a16="http://schemas.microsoft.com/office/drawing/2014/main" id="{82257A26-6BC7-470F-84D2-C9FA57CCEB7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6" name="TextBox 6316">
          <a:extLst>
            <a:ext uri="{FF2B5EF4-FFF2-40B4-BE49-F238E27FC236}">
              <a16:creationId xmlns:a16="http://schemas.microsoft.com/office/drawing/2014/main" id="{9C5752E9-6620-45D0-922C-4D3AEA5F312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7" name="TextBox 6317">
          <a:extLst>
            <a:ext uri="{FF2B5EF4-FFF2-40B4-BE49-F238E27FC236}">
              <a16:creationId xmlns:a16="http://schemas.microsoft.com/office/drawing/2014/main" id="{8D8AA1E9-2203-483E-8A55-92B4F1FB2C9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8" name="TextBox 6318">
          <a:extLst>
            <a:ext uri="{FF2B5EF4-FFF2-40B4-BE49-F238E27FC236}">
              <a16:creationId xmlns:a16="http://schemas.microsoft.com/office/drawing/2014/main" id="{FC578390-C225-4E00-B555-C66E02F0A4D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19" name="TextBox 6319">
          <a:extLst>
            <a:ext uri="{FF2B5EF4-FFF2-40B4-BE49-F238E27FC236}">
              <a16:creationId xmlns:a16="http://schemas.microsoft.com/office/drawing/2014/main" id="{06279EF0-D996-48E6-9F18-18E0FAF505A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0" name="TextBox 6320">
          <a:extLst>
            <a:ext uri="{FF2B5EF4-FFF2-40B4-BE49-F238E27FC236}">
              <a16:creationId xmlns:a16="http://schemas.microsoft.com/office/drawing/2014/main" id="{7D0616AA-3011-4065-B942-98F7F0BFF79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1" name="TextBox 6321">
          <a:extLst>
            <a:ext uri="{FF2B5EF4-FFF2-40B4-BE49-F238E27FC236}">
              <a16:creationId xmlns:a16="http://schemas.microsoft.com/office/drawing/2014/main" id="{84C84817-0880-465F-A525-64699EE8555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2" name="TextBox 13">
          <a:extLst>
            <a:ext uri="{FF2B5EF4-FFF2-40B4-BE49-F238E27FC236}">
              <a16:creationId xmlns:a16="http://schemas.microsoft.com/office/drawing/2014/main" id="{466C26FD-B7AF-48EA-A911-8FD8B0FD6FA7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3" name="TextBox 14">
          <a:extLst>
            <a:ext uri="{FF2B5EF4-FFF2-40B4-BE49-F238E27FC236}">
              <a16:creationId xmlns:a16="http://schemas.microsoft.com/office/drawing/2014/main" id="{9917C0CF-0621-433C-A1E3-05BDE8F9C9E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4" name="TextBox 6324">
          <a:extLst>
            <a:ext uri="{FF2B5EF4-FFF2-40B4-BE49-F238E27FC236}">
              <a16:creationId xmlns:a16="http://schemas.microsoft.com/office/drawing/2014/main" id="{ED5C003C-5DAF-4CF7-BAFA-3E9D3E5994A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5" name="TextBox 6325">
          <a:extLst>
            <a:ext uri="{FF2B5EF4-FFF2-40B4-BE49-F238E27FC236}">
              <a16:creationId xmlns:a16="http://schemas.microsoft.com/office/drawing/2014/main" id="{41A45CEA-DA13-4018-B3DC-254FAD071B9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6" name="TextBox 6326">
          <a:extLst>
            <a:ext uri="{FF2B5EF4-FFF2-40B4-BE49-F238E27FC236}">
              <a16:creationId xmlns:a16="http://schemas.microsoft.com/office/drawing/2014/main" id="{33C29161-1DDC-4FDA-ABFD-A90A29B0176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7" name="TextBox 6327">
          <a:extLst>
            <a:ext uri="{FF2B5EF4-FFF2-40B4-BE49-F238E27FC236}">
              <a16:creationId xmlns:a16="http://schemas.microsoft.com/office/drawing/2014/main" id="{6C207C48-39B1-41D3-BB56-0004120F2B6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8" name="TextBox 15">
          <a:extLst>
            <a:ext uri="{FF2B5EF4-FFF2-40B4-BE49-F238E27FC236}">
              <a16:creationId xmlns:a16="http://schemas.microsoft.com/office/drawing/2014/main" id="{94FF7025-8EED-49F3-AD04-8FB55BD9F06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29" name="TextBox 16">
          <a:extLst>
            <a:ext uri="{FF2B5EF4-FFF2-40B4-BE49-F238E27FC236}">
              <a16:creationId xmlns:a16="http://schemas.microsoft.com/office/drawing/2014/main" id="{D29D2AAF-FC77-433B-A899-D03C95B64FD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0" name="TextBox 17">
          <a:extLst>
            <a:ext uri="{FF2B5EF4-FFF2-40B4-BE49-F238E27FC236}">
              <a16:creationId xmlns:a16="http://schemas.microsoft.com/office/drawing/2014/main" id="{A34E4A6F-F7D0-4204-ABFE-7B7F2A1A2D9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1" name="TextBox 18">
          <a:extLst>
            <a:ext uri="{FF2B5EF4-FFF2-40B4-BE49-F238E27FC236}">
              <a16:creationId xmlns:a16="http://schemas.microsoft.com/office/drawing/2014/main" id="{B53CA81E-3EC8-4290-8E9E-0F02077B946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2" name="TextBox 6332">
          <a:extLst>
            <a:ext uri="{FF2B5EF4-FFF2-40B4-BE49-F238E27FC236}">
              <a16:creationId xmlns:a16="http://schemas.microsoft.com/office/drawing/2014/main" id="{343F5078-9E5C-4973-A519-C65C54612F3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3" name="TextBox 6333">
          <a:extLst>
            <a:ext uri="{FF2B5EF4-FFF2-40B4-BE49-F238E27FC236}">
              <a16:creationId xmlns:a16="http://schemas.microsoft.com/office/drawing/2014/main" id="{8FDF0465-0BA9-48DF-9E40-478E524AFE5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4" name="TextBox 1">
          <a:extLst>
            <a:ext uri="{FF2B5EF4-FFF2-40B4-BE49-F238E27FC236}">
              <a16:creationId xmlns:a16="http://schemas.microsoft.com/office/drawing/2014/main" id="{C7445E80-332B-46F5-9071-DB91DF3FF90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5" name="TextBox 3">
          <a:extLst>
            <a:ext uri="{FF2B5EF4-FFF2-40B4-BE49-F238E27FC236}">
              <a16:creationId xmlns:a16="http://schemas.microsoft.com/office/drawing/2014/main" id="{80CDCFC0-D926-4CDC-A29B-FA663CC0479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6" name="TextBox 6336">
          <a:extLst>
            <a:ext uri="{FF2B5EF4-FFF2-40B4-BE49-F238E27FC236}">
              <a16:creationId xmlns:a16="http://schemas.microsoft.com/office/drawing/2014/main" id="{FE4E7DD4-E0CC-46CD-822F-6619B9E6298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7" name="TextBox 6337">
          <a:extLst>
            <a:ext uri="{FF2B5EF4-FFF2-40B4-BE49-F238E27FC236}">
              <a16:creationId xmlns:a16="http://schemas.microsoft.com/office/drawing/2014/main" id="{CA4AF3DE-5B72-4076-93D6-CA5717FEE39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8" name="TextBox 6338">
          <a:extLst>
            <a:ext uri="{FF2B5EF4-FFF2-40B4-BE49-F238E27FC236}">
              <a16:creationId xmlns:a16="http://schemas.microsoft.com/office/drawing/2014/main" id="{B56DD544-2F19-41D9-9DCA-528A2563480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39" name="TextBox 6339">
          <a:extLst>
            <a:ext uri="{FF2B5EF4-FFF2-40B4-BE49-F238E27FC236}">
              <a16:creationId xmlns:a16="http://schemas.microsoft.com/office/drawing/2014/main" id="{A29CADE1-C645-4189-987D-9A24F3D748E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0" name="TextBox 6340">
          <a:extLst>
            <a:ext uri="{FF2B5EF4-FFF2-40B4-BE49-F238E27FC236}">
              <a16:creationId xmlns:a16="http://schemas.microsoft.com/office/drawing/2014/main" id="{62414617-B86B-4A52-87AB-D4B68E850BC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1" name="TextBox 6341">
          <a:extLst>
            <a:ext uri="{FF2B5EF4-FFF2-40B4-BE49-F238E27FC236}">
              <a16:creationId xmlns:a16="http://schemas.microsoft.com/office/drawing/2014/main" id="{CE1A3FB2-068F-4124-9352-E5583EEA8AC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2" name="TextBox 6342">
          <a:extLst>
            <a:ext uri="{FF2B5EF4-FFF2-40B4-BE49-F238E27FC236}">
              <a16:creationId xmlns:a16="http://schemas.microsoft.com/office/drawing/2014/main" id="{696C99EC-E4DB-4F8D-B055-B8AC5C3B40F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3" name="TextBox 6343">
          <a:extLst>
            <a:ext uri="{FF2B5EF4-FFF2-40B4-BE49-F238E27FC236}">
              <a16:creationId xmlns:a16="http://schemas.microsoft.com/office/drawing/2014/main" id="{19357ACD-DEE2-4E86-B8F3-E1FCC8F219F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4" name="TextBox 6344">
          <a:extLst>
            <a:ext uri="{FF2B5EF4-FFF2-40B4-BE49-F238E27FC236}">
              <a16:creationId xmlns:a16="http://schemas.microsoft.com/office/drawing/2014/main" id="{1A0EFBEE-53CA-491B-A441-F8E7E1D2AB1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5" name="TextBox 6345">
          <a:extLst>
            <a:ext uri="{FF2B5EF4-FFF2-40B4-BE49-F238E27FC236}">
              <a16:creationId xmlns:a16="http://schemas.microsoft.com/office/drawing/2014/main" id="{4AF97EE6-227C-4BAA-BD7B-DCAD3EDE23D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6" name="TextBox 13">
          <a:extLst>
            <a:ext uri="{FF2B5EF4-FFF2-40B4-BE49-F238E27FC236}">
              <a16:creationId xmlns:a16="http://schemas.microsoft.com/office/drawing/2014/main" id="{1F0AEC03-0518-4B9B-9127-A76805B601C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7" name="TextBox 14">
          <a:extLst>
            <a:ext uri="{FF2B5EF4-FFF2-40B4-BE49-F238E27FC236}">
              <a16:creationId xmlns:a16="http://schemas.microsoft.com/office/drawing/2014/main" id="{339854BF-7F7D-4D84-B559-273CC34C7C1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8" name="TextBox 6348">
          <a:extLst>
            <a:ext uri="{FF2B5EF4-FFF2-40B4-BE49-F238E27FC236}">
              <a16:creationId xmlns:a16="http://schemas.microsoft.com/office/drawing/2014/main" id="{78A520B8-A699-4EFD-9C3D-3660287F5AA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49" name="TextBox 6349">
          <a:extLst>
            <a:ext uri="{FF2B5EF4-FFF2-40B4-BE49-F238E27FC236}">
              <a16:creationId xmlns:a16="http://schemas.microsoft.com/office/drawing/2014/main" id="{60A8068C-3C70-427C-8685-7A6D97BF9B9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0" name="TextBox 6350">
          <a:extLst>
            <a:ext uri="{FF2B5EF4-FFF2-40B4-BE49-F238E27FC236}">
              <a16:creationId xmlns:a16="http://schemas.microsoft.com/office/drawing/2014/main" id="{151129CF-7121-4CE6-ABDC-240628EF7FD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1" name="TextBox 6351">
          <a:extLst>
            <a:ext uri="{FF2B5EF4-FFF2-40B4-BE49-F238E27FC236}">
              <a16:creationId xmlns:a16="http://schemas.microsoft.com/office/drawing/2014/main" id="{C8A73AF6-B455-4CA8-96C7-ABEC3E21106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2" name="TextBox 15">
          <a:extLst>
            <a:ext uri="{FF2B5EF4-FFF2-40B4-BE49-F238E27FC236}">
              <a16:creationId xmlns:a16="http://schemas.microsoft.com/office/drawing/2014/main" id="{8E4F1E68-737B-4776-A0C3-F2E8B675651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3" name="TextBox 16">
          <a:extLst>
            <a:ext uri="{FF2B5EF4-FFF2-40B4-BE49-F238E27FC236}">
              <a16:creationId xmlns:a16="http://schemas.microsoft.com/office/drawing/2014/main" id="{BB687CFD-9B20-429A-BB32-58F4A2BF784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4" name="TextBox 17">
          <a:extLst>
            <a:ext uri="{FF2B5EF4-FFF2-40B4-BE49-F238E27FC236}">
              <a16:creationId xmlns:a16="http://schemas.microsoft.com/office/drawing/2014/main" id="{176E6F1C-F3B6-4099-80DB-AE753ADA7FD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5" name="TextBox 18">
          <a:extLst>
            <a:ext uri="{FF2B5EF4-FFF2-40B4-BE49-F238E27FC236}">
              <a16:creationId xmlns:a16="http://schemas.microsoft.com/office/drawing/2014/main" id="{3EE46B4E-1DF6-47B3-9D71-7E8E4A36D0B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6" name="TextBox 6356">
          <a:extLst>
            <a:ext uri="{FF2B5EF4-FFF2-40B4-BE49-F238E27FC236}">
              <a16:creationId xmlns:a16="http://schemas.microsoft.com/office/drawing/2014/main" id="{F5DD5978-2341-4FF5-B8BE-BDFC8760D15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7" name="TextBox 6357">
          <a:extLst>
            <a:ext uri="{FF2B5EF4-FFF2-40B4-BE49-F238E27FC236}">
              <a16:creationId xmlns:a16="http://schemas.microsoft.com/office/drawing/2014/main" id="{EDA88D00-ABC9-4528-BB90-AC46DCAC027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8" name="TextBox 1">
          <a:extLst>
            <a:ext uri="{FF2B5EF4-FFF2-40B4-BE49-F238E27FC236}">
              <a16:creationId xmlns:a16="http://schemas.microsoft.com/office/drawing/2014/main" id="{0E17B732-BB24-41B7-A5F1-87D6425FBD2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59" name="TextBox 3">
          <a:extLst>
            <a:ext uri="{FF2B5EF4-FFF2-40B4-BE49-F238E27FC236}">
              <a16:creationId xmlns:a16="http://schemas.microsoft.com/office/drawing/2014/main" id="{CC90423E-1E89-45E2-A750-236034C42E3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0" name="TextBox 6360">
          <a:extLst>
            <a:ext uri="{FF2B5EF4-FFF2-40B4-BE49-F238E27FC236}">
              <a16:creationId xmlns:a16="http://schemas.microsoft.com/office/drawing/2014/main" id="{4C9ED439-D880-440D-B109-B8F58DE8BAE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1" name="TextBox 6361">
          <a:extLst>
            <a:ext uri="{FF2B5EF4-FFF2-40B4-BE49-F238E27FC236}">
              <a16:creationId xmlns:a16="http://schemas.microsoft.com/office/drawing/2014/main" id="{6B22A153-9352-48D9-B672-2BC715E7F66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2" name="TextBox 6362">
          <a:extLst>
            <a:ext uri="{FF2B5EF4-FFF2-40B4-BE49-F238E27FC236}">
              <a16:creationId xmlns:a16="http://schemas.microsoft.com/office/drawing/2014/main" id="{D51620CA-6E4B-46BE-AD05-613B3ACCF09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3" name="TextBox 6363">
          <a:extLst>
            <a:ext uri="{FF2B5EF4-FFF2-40B4-BE49-F238E27FC236}">
              <a16:creationId xmlns:a16="http://schemas.microsoft.com/office/drawing/2014/main" id="{6AFFA3F9-7243-41B6-BFF3-2C75C499DA7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4" name="TextBox 6364">
          <a:extLst>
            <a:ext uri="{FF2B5EF4-FFF2-40B4-BE49-F238E27FC236}">
              <a16:creationId xmlns:a16="http://schemas.microsoft.com/office/drawing/2014/main" id="{152487E4-4613-494A-A985-A5F199B4A63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5" name="TextBox 6365">
          <a:extLst>
            <a:ext uri="{FF2B5EF4-FFF2-40B4-BE49-F238E27FC236}">
              <a16:creationId xmlns:a16="http://schemas.microsoft.com/office/drawing/2014/main" id="{332C5CAC-8EBE-4C2D-A245-CDE856B9A4E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6" name="TextBox 6366">
          <a:extLst>
            <a:ext uri="{FF2B5EF4-FFF2-40B4-BE49-F238E27FC236}">
              <a16:creationId xmlns:a16="http://schemas.microsoft.com/office/drawing/2014/main" id="{2BF5DF64-D927-404C-9106-DA5D987452A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7" name="TextBox 6367">
          <a:extLst>
            <a:ext uri="{FF2B5EF4-FFF2-40B4-BE49-F238E27FC236}">
              <a16:creationId xmlns:a16="http://schemas.microsoft.com/office/drawing/2014/main" id="{FBB641C7-69A9-447C-AE62-AB3DDC0F018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8" name="TextBox 6368">
          <a:extLst>
            <a:ext uri="{FF2B5EF4-FFF2-40B4-BE49-F238E27FC236}">
              <a16:creationId xmlns:a16="http://schemas.microsoft.com/office/drawing/2014/main" id="{014933F8-5686-4331-B035-F9FE874346B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69" name="TextBox 6369">
          <a:extLst>
            <a:ext uri="{FF2B5EF4-FFF2-40B4-BE49-F238E27FC236}">
              <a16:creationId xmlns:a16="http://schemas.microsoft.com/office/drawing/2014/main" id="{D7972A1B-9772-420A-A929-AE6EEBE22A0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0" name="TextBox 13">
          <a:extLst>
            <a:ext uri="{FF2B5EF4-FFF2-40B4-BE49-F238E27FC236}">
              <a16:creationId xmlns:a16="http://schemas.microsoft.com/office/drawing/2014/main" id="{70429859-EBEA-4B40-9BAC-BCB1E1CA0A27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1" name="TextBox 14">
          <a:extLst>
            <a:ext uri="{FF2B5EF4-FFF2-40B4-BE49-F238E27FC236}">
              <a16:creationId xmlns:a16="http://schemas.microsoft.com/office/drawing/2014/main" id="{EE892BA3-8CFC-4BA8-AA22-D5EAD93CC11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2" name="TextBox 6372">
          <a:extLst>
            <a:ext uri="{FF2B5EF4-FFF2-40B4-BE49-F238E27FC236}">
              <a16:creationId xmlns:a16="http://schemas.microsoft.com/office/drawing/2014/main" id="{A9AC072A-8F48-4E07-8EEF-3A99952D5156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3" name="TextBox 6373">
          <a:extLst>
            <a:ext uri="{FF2B5EF4-FFF2-40B4-BE49-F238E27FC236}">
              <a16:creationId xmlns:a16="http://schemas.microsoft.com/office/drawing/2014/main" id="{F9BF8B49-E884-4873-A921-2462904A65DF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4" name="TextBox 6374">
          <a:extLst>
            <a:ext uri="{FF2B5EF4-FFF2-40B4-BE49-F238E27FC236}">
              <a16:creationId xmlns:a16="http://schemas.microsoft.com/office/drawing/2014/main" id="{760B94C2-3690-4442-8AB9-13E713BFFBFE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5" name="TextBox 6375">
          <a:extLst>
            <a:ext uri="{FF2B5EF4-FFF2-40B4-BE49-F238E27FC236}">
              <a16:creationId xmlns:a16="http://schemas.microsoft.com/office/drawing/2014/main" id="{510974EC-5D9A-471A-BF27-DA457A217CA8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6" name="TextBox 15">
          <a:extLst>
            <a:ext uri="{FF2B5EF4-FFF2-40B4-BE49-F238E27FC236}">
              <a16:creationId xmlns:a16="http://schemas.microsoft.com/office/drawing/2014/main" id="{5E9CC514-4C00-4FEF-BFE0-806CB6089309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7" name="TextBox 16">
          <a:extLst>
            <a:ext uri="{FF2B5EF4-FFF2-40B4-BE49-F238E27FC236}">
              <a16:creationId xmlns:a16="http://schemas.microsoft.com/office/drawing/2014/main" id="{E99E7506-AB6F-4CF5-99D0-1AA12299F2E7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8" name="TextBox 17">
          <a:extLst>
            <a:ext uri="{FF2B5EF4-FFF2-40B4-BE49-F238E27FC236}">
              <a16:creationId xmlns:a16="http://schemas.microsoft.com/office/drawing/2014/main" id="{902EC7FC-3560-4491-A5CC-290D534BDA43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79" name="TextBox 18">
          <a:extLst>
            <a:ext uri="{FF2B5EF4-FFF2-40B4-BE49-F238E27FC236}">
              <a16:creationId xmlns:a16="http://schemas.microsoft.com/office/drawing/2014/main" id="{140DC71B-D44C-49D2-A6FF-C84445672F7A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0" name="TextBox 6380">
          <a:extLst>
            <a:ext uri="{FF2B5EF4-FFF2-40B4-BE49-F238E27FC236}">
              <a16:creationId xmlns:a16="http://schemas.microsoft.com/office/drawing/2014/main" id="{88EC3A29-45C6-42C3-AE29-A8D6F874FBFD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1" name="TextBox 6381">
          <a:extLst>
            <a:ext uri="{FF2B5EF4-FFF2-40B4-BE49-F238E27FC236}">
              <a16:creationId xmlns:a16="http://schemas.microsoft.com/office/drawing/2014/main" id="{698E3C46-AA51-44F9-A848-7589CB684485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2" name="TextBox 1">
          <a:extLst>
            <a:ext uri="{FF2B5EF4-FFF2-40B4-BE49-F238E27FC236}">
              <a16:creationId xmlns:a16="http://schemas.microsoft.com/office/drawing/2014/main" id="{029B2CB0-0584-463D-B2B7-9C1E9E53414A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3" name="TextBox 3">
          <a:extLst>
            <a:ext uri="{FF2B5EF4-FFF2-40B4-BE49-F238E27FC236}">
              <a16:creationId xmlns:a16="http://schemas.microsoft.com/office/drawing/2014/main" id="{772D098B-77C8-4FE4-B812-AA860277AC61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4" name="TextBox 6384">
          <a:extLst>
            <a:ext uri="{FF2B5EF4-FFF2-40B4-BE49-F238E27FC236}">
              <a16:creationId xmlns:a16="http://schemas.microsoft.com/office/drawing/2014/main" id="{8B44D01D-D4E8-4E7A-A680-8A8091D0BC93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5" name="TextBox 6385">
          <a:extLst>
            <a:ext uri="{FF2B5EF4-FFF2-40B4-BE49-F238E27FC236}">
              <a16:creationId xmlns:a16="http://schemas.microsoft.com/office/drawing/2014/main" id="{C5591998-3A76-42BE-9375-260DE6091D1B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6" name="TextBox 6386">
          <a:extLst>
            <a:ext uri="{FF2B5EF4-FFF2-40B4-BE49-F238E27FC236}">
              <a16:creationId xmlns:a16="http://schemas.microsoft.com/office/drawing/2014/main" id="{61D11B77-48D2-484C-9736-389642C1BBEF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7" name="TextBox 6387">
          <a:extLst>
            <a:ext uri="{FF2B5EF4-FFF2-40B4-BE49-F238E27FC236}">
              <a16:creationId xmlns:a16="http://schemas.microsoft.com/office/drawing/2014/main" id="{062BCAD3-30A8-4DE8-A4AA-B40A81846ED1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8" name="TextBox 6388">
          <a:extLst>
            <a:ext uri="{FF2B5EF4-FFF2-40B4-BE49-F238E27FC236}">
              <a16:creationId xmlns:a16="http://schemas.microsoft.com/office/drawing/2014/main" id="{B56B1D61-82DF-453D-A454-632C808876E5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89" name="TextBox 6389">
          <a:extLst>
            <a:ext uri="{FF2B5EF4-FFF2-40B4-BE49-F238E27FC236}">
              <a16:creationId xmlns:a16="http://schemas.microsoft.com/office/drawing/2014/main" id="{DB9655FD-8A48-4481-92DA-035D0B0AEFF7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0" name="TextBox 6390">
          <a:extLst>
            <a:ext uri="{FF2B5EF4-FFF2-40B4-BE49-F238E27FC236}">
              <a16:creationId xmlns:a16="http://schemas.microsoft.com/office/drawing/2014/main" id="{4432CB3A-5CDD-4E23-B02A-F5900CEEC6C8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1" name="TextBox 6391">
          <a:extLst>
            <a:ext uri="{FF2B5EF4-FFF2-40B4-BE49-F238E27FC236}">
              <a16:creationId xmlns:a16="http://schemas.microsoft.com/office/drawing/2014/main" id="{76FFBCFC-8E24-4B16-A832-067E1E541984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2" name="TextBox 6392">
          <a:extLst>
            <a:ext uri="{FF2B5EF4-FFF2-40B4-BE49-F238E27FC236}">
              <a16:creationId xmlns:a16="http://schemas.microsoft.com/office/drawing/2014/main" id="{353BFF91-2197-4BD5-9AE7-A3BCFAE6D1B8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3" name="TextBox 6393">
          <a:extLst>
            <a:ext uri="{FF2B5EF4-FFF2-40B4-BE49-F238E27FC236}">
              <a16:creationId xmlns:a16="http://schemas.microsoft.com/office/drawing/2014/main" id="{0F72DBDC-6CF8-4A23-A7D0-3C63FE4951D1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4" name="TextBox 13">
          <a:extLst>
            <a:ext uri="{FF2B5EF4-FFF2-40B4-BE49-F238E27FC236}">
              <a16:creationId xmlns:a16="http://schemas.microsoft.com/office/drawing/2014/main" id="{D18C967D-9D6C-4711-A31B-FA20685DB88A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5" name="TextBox 14">
          <a:extLst>
            <a:ext uri="{FF2B5EF4-FFF2-40B4-BE49-F238E27FC236}">
              <a16:creationId xmlns:a16="http://schemas.microsoft.com/office/drawing/2014/main" id="{9EF79B2A-3B7D-423A-8701-B60683A27BFB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6" name="TextBox 6396">
          <a:extLst>
            <a:ext uri="{FF2B5EF4-FFF2-40B4-BE49-F238E27FC236}">
              <a16:creationId xmlns:a16="http://schemas.microsoft.com/office/drawing/2014/main" id="{5DF83B06-96FC-4C9C-A7A5-5A13D212777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7" name="TextBox 6397">
          <a:extLst>
            <a:ext uri="{FF2B5EF4-FFF2-40B4-BE49-F238E27FC236}">
              <a16:creationId xmlns:a16="http://schemas.microsoft.com/office/drawing/2014/main" id="{409909E9-AE77-45C4-8C33-64C7A3D355AD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8" name="TextBox 6398">
          <a:extLst>
            <a:ext uri="{FF2B5EF4-FFF2-40B4-BE49-F238E27FC236}">
              <a16:creationId xmlns:a16="http://schemas.microsoft.com/office/drawing/2014/main" id="{47A89F47-5970-4138-BF72-79539A0F0725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0999" name="TextBox 6399">
          <a:extLst>
            <a:ext uri="{FF2B5EF4-FFF2-40B4-BE49-F238E27FC236}">
              <a16:creationId xmlns:a16="http://schemas.microsoft.com/office/drawing/2014/main" id="{FA7D3F68-9A56-456A-91BE-9D349A231AA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0" name="TextBox 15">
          <a:extLst>
            <a:ext uri="{FF2B5EF4-FFF2-40B4-BE49-F238E27FC236}">
              <a16:creationId xmlns:a16="http://schemas.microsoft.com/office/drawing/2014/main" id="{01882899-2238-4625-9A1C-12F28A20C1F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1" name="TextBox 16">
          <a:extLst>
            <a:ext uri="{FF2B5EF4-FFF2-40B4-BE49-F238E27FC236}">
              <a16:creationId xmlns:a16="http://schemas.microsoft.com/office/drawing/2014/main" id="{8B7A9F51-885F-414A-975C-2A48DF3BDF60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2" name="TextBox 17">
          <a:extLst>
            <a:ext uri="{FF2B5EF4-FFF2-40B4-BE49-F238E27FC236}">
              <a16:creationId xmlns:a16="http://schemas.microsoft.com/office/drawing/2014/main" id="{FE6E8897-6F08-41AD-A0E5-53E368CBDB47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3" name="TextBox 18">
          <a:extLst>
            <a:ext uri="{FF2B5EF4-FFF2-40B4-BE49-F238E27FC236}">
              <a16:creationId xmlns:a16="http://schemas.microsoft.com/office/drawing/2014/main" id="{54273081-10F5-441C-A5C5-B5C63A1E261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4" name="TextBox 6404">
          <a:extLst>
            <a:ext uri="{FF2B5EF4-FFF2-40B4-BE49-F238E27FC236}">
              <a16:creationId xmlns:a16="http://schemas.microsoft.com/office/drawing/2014/main" id="{5A88A538-CD08-4DCF-8295-4B9719EB6395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5" name="TextBox 6405">
          <a:extLst>
            <a:ext uri="{FF2B5EF4-FFF2-40B4-BE49-F238E27FC236}">
              <a16:creationId xmlns:a16="http://schemas.microsoft.com/office/drawing/2014/main" id="{FAAAFD62-FFBB-4452-9D09-664CB6346115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6" name="TextBox 1">
          <a:extLst>
            <a:ext uri="{FF2B5EF4-FFF2-40B4-BE49-F238E27FC236}">
              <a16:creationId xmlns:a16="http://schemas.microsoft.com/office/drawing/2014/main" id="{C72DF1F2-FF11-46C5-80B9-2ECDB7AD0A74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7" name="TextBox 3">
          <a:extLst>
            <a:ext uri="{FF2B5EF4-FFF2-40B4-BE49-F238E27FC236}">
              <a16:creationId xmlns:a16="http://schemas.microsoft.com/office/drawing/2014/main" id="{0E09FBB2-5E44-443C-BE15-52E850885EBF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8" name="TextBox 6408">
          <a:extLst>
            <a:ext uri="{FF2B5EF4-FFF2-40B4-BE49-F238E27FC236}">
              <a16:creationId xmlns:a16="http://schemas.microsoft.com/office/drawing/2014/main" id="{A67813BE-A209-45E3-9A32-69556DA47603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09" name="TextBox 6409">
          <a:extLst>
            <a:ext uri="{FF2B5EF4-FFF2-40B4-BE49-F238E27FC236}">
              <a16:creationId xmlns:a16="http://schemas.microsoft.com/office/drawing/2014/main" id="{CC364F5F-1954-431F-967D-F0AC1CF0D20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0" name="TextBox 6410">
          <a:extLst>
            <a:ext uri="{FF2B5EF4-FFF2-40B4-BE49-F238E27FC236}">
              <a16:creationId xmlns:a16="http://schemas.microsoft.com/office/drawing/2014/main" id="{F9DCD646-7398-4A50-B315-C9A60FFAEB7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1" name="TextBox 6411">
          <a:extLst>
            <a:ext uri="{FF2B5EF4-FFF2-40B4-BE49-F238E27FC236}">
              <a16:creationId xmlns:a16="http://schemas.microsoft.com/office/drawing/2014/main" id="{E084B80F-13AA-4757-A6FE-D76AB96649D5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2" name="TextBox 6412">
          <a:extLst>
            <a:ext uri="{FF2B5EF4-FFF2-40B4-BE49-F238E27FC236}">
              <a16:creationId xmlns:a16="http://schemas.microsoft.com/office/drawing/2014/main" id="{1CE6B415-82E2-414D-9B61-7F0ACDD1244D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3" name="TextBox 6413">
          <a:extLst>
            <a:ext uri="{FF2B5EF4-FFF2-40B4-BE49-F238E27FC236}">
              <a16:creationId xmlns:a16="http://schemas.microsoft.com/office/drawing/2014/main" id="{461A6F98-3D25-4692-9F27-51B5520B32F0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4" name="TextBox 6414">
          <a:extLst>
            <a:ext uri="{FF2B5EF4-FFF2-40B4-BE49-F238E27FC236}">
              <a16:creationId xmlns:a16="http://schemas.microsoft.com/office/drawing/2014/main" id="{15D5E718-AB32-489A-A4D0-1B8AC2008BF9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5" name="TextBox 6415">
          <a:extLst>
            <a:ext uri="{FF2B5EF4-FFF2-40B4-BE49-F238E27FC236}">
              <a16:creationId xmlns:a16="http://schemas.microsoft.com/office/drawing/2014/main" id="{CD3A9149-8FDF-41F6-B385-7EF71E073401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6" name="TextBox 6416">
          <a:extLst>
            <a:ext uri="{FF2B5EF4-FFF2-40B4-BE49-F238E27FC236}">
              <a16:creationId xmlns:a16="http://schemas.microsoft.com/office/drawing/2014/main" id="{FDB055C9-7C02-4A5A-A188-1285332E7FDD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7" name="TextBox 6417">
          <a:extLst>
            <a:ext uri="{FF2B5EF4-FFF2-40B4-BE49-F238E27FC236}">
              <a16:creationId xmlns:a16="http://schemas.microsoft.com/office/drawing/2014/main" id="{4F031D43-AA45-4CC3-A928-9076D1B38A9D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8" name="TextBox 13">
          <a:extLst>
            <a:ext uri="{FF2B5EF4-FFF2-40B4-BE49-F238E27FC236}">
              <a16:creationId xmlns:a16="http://schemas.microsoft.com/office/drawing/2014/main" id="{CC439AB6-E3E9-43A2-BB4A-B474EA77E7DC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19" name="TextBox 14">
          <a:extLst>
            <a:ext uri="{FF2B5EF4-FFF2-40B4-BE49-F238E27FC236}">
              <a16:creationId xmlns:a16="http://schemas.microsoft.com/office/drawing/2014/main" id="{40AF92E0-FEC2-4246-8F90-CC14F096BB61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0" name="TextBox 6420">
          <a:extLst>
            <a:ext uri="{FF2B5EF4-FFF2-40B4-BE49-F238E27FC236}">
              <a16:creationId xmlns:a16="http://schemas.microsoft.com/office/drawing/2014/main" id="{B996E33D-DFE5-4BF0-9570-1C086093E4B0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1" name="TextBox 6421">
          <a:extLst>
            <a:ext uri="{FF2B5EF4-FFF2-40B4-BE49-F238E27FC236}">
              <a16:creationId xmlns:a16="http://schemas.microsoft.com/office/drawing/2014/main" id="{05C95FCA-1570-42D0-9774-515DF54795C7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2" name="TextBox 6422">
          <a:extLst>
            <a:ext uri="{FF2B5EF4-FFF2-40B4-BE49-F238E27FC236}">
              <a16:creationId xmlns:a16="http://schemas.microsoft.com/office/drawing/2014/main" id="{B4D1E4FC-3D43-4F84-978D-623E74D564AC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3" name="TextBox 6423">
          <a:extLst>
            <a:ext uri="{FF2B5EF4-FFF2-40B4-BE49-F238E27FC236}">
              <a16:creationId xmlns:a16="http://schemas.microsoft.com/office/drawing/2014/main" id="{CFFE2CEB-AE4C-447A-9B22-80F3EF31FE75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4" name="TextBox 15">
          <a:extLst>
            <a:ext uri="{FF2B5EF4-FFF2-40B4-BE49-F238E27FC236}">
              <a16:creationId xmlns:a16="http://schemas.microsoft.com/office/drawing/2014/main" id="{5E8564E1-DF21-4C0D-A28B-907020104438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5" name="TextBox 16">
          <a:extLst>
            <a:ext uri="{FF2B5EF4-FFF2-40B4-BE49-F238E27FC236}">
              <a16:creationId xmlns:a16="http://schemas.microsoft.com/office/drawing/2014/main" id="{5E145528-E495-4765-9E38-2025EE878B77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6" name="TextBox 17">
          <a:extLst>
            <a:ext uri="{FF2B5EF4-FFF2-40B4-BE49-F238E27FC236}">
              <a16:creationId xmlns:a16="http://schemas.microsoft.com/office/drawing/2014/main" id="{96D35D4C-4324-4E5C-AE4F-F475E6AE1C0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7" name="TextBox 18">
          <a:extLst>
            <a:ext uri="{FF2B5EF4-FFF2-40B4-BE49-F238E27FC236}">
              <a16:creationId xmlns:a16="http://schemas.microsoft.com/office/drawing/2014/main" id="{5EC0D745-5710-487D-A152-576BC6011718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8" name="TextBox 6428">
          <a:extLst>
            <a:ext uri="{FF2B5EF4-FFF2-40B4-BE49-F238E27FC236}">
              <a16:creationId xmlns:a16="http://schemas.microsoft.com/office/drawing/2014/main" id="{AD33DCEE-16CB-4F3D-A73A-503449ED2477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29" name="TextBox 6429">
          <a:extLst>
            <a:ext uri="{FF2B5EF4-FFF2-40B4-BE49-F238E27FC236}">
              <a16:creationId xmlns:a16="http://schemas.microsoft.com/office/drawing/2014/main" id="{0FB2FCC8-D845-403C-8EB8-936FD5FE4947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0" name="TextBox 1">
          <a:extLst>
            <a:ext uri="{FF2B5EF4-FFF2-40B4-BE49-F238E27FC236}">
              <a16:creationId xmlns:a16="http://schemas.microsoft.com/office/drawing/2014/main" id="{50B39ABE-7443-4827-842F-33C5CADEF56C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1" name="TextBox 3">
          <a:extLst>
            <a:ext uri="{FF2B5EF4-FFF2-40B4-BE49-F238E27FC236}">
              <a16:creationId xmlns:a16="http://schemas.microsoft.com/office/drawing/2014/main" id="{18A4E14C-3512-4B47-811F-8D8CEA7E6C6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2" name="TextBox 6432">
          <a:extLst>
            <a:ext uri="{FF2B5EF4-FFF2-40B4-BE49-F238E27FC236}">
              <a16:creationId xmlns:a16="http://schemas.microsoft.com/office/drawing/2014/main" id="{EDDA495D-942C-4BB3-B955-061032DEE4C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3" name="TextBox 6433">
          <a:extLst>
            <a:ext uri="{FF2B5EF4-FFF2-40B4-BE49-F238E27FC236}">
              <a16:creationId xmlns:a16="http://schemas.microsoft.com/office/drawing/2014/main" id="{A2C36C4D-D387-4F50-A85D-01D2BAE083F4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4" name="TextBox 6434">
          <a:extLst>
            <a:ext uri="{FF2B5EF4-FFF2-40B4-BE49-F238E27FC236}">
              <a16:creationId xmlns:a16="http://schemas.microsoft.com/office/drawing/2014/main" id="{8429F06A-3D63-431C-AD0E-E112231FAE09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5" name="TextBox 6435">
          <a:extLst>
            <a:ext uri="{FF2B5EF4-FFF2-40B4-BE49-F238E27FC236}">
              <a16:creationId xmlns:a16="http://schemas.microsoft.com/office/drawing/2014/main" id="{541A4DC1-851A-4F62-A7C9-051FB1422184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6" name="TextBox 6436">
          <a:extLst>
            <a:ext uri="{FF2B5EF4-FFF2-40B4-BE49-F238E27FC236}">
              <a16:creationId xmlns:a16="http://schemas.microsoft.com/office/drawing/2014/main" id="{F62E56FD-6284-47FF-BD2D-E1AD11F571B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7" name="TextBox 6437">
          <a:extLst>
            <a:ext uri="{FF2B5EF4-FFF2-40B4-BE49-F238E27FC236}">
              <a16:creationId xmlns:a16="http://schemas.microsoft.com/office/drawing/2014/main" id="{8166EDBC-8C58-4B4E-A688-A8FFDC99BDEA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8" name="TextBox 6438">
          <a:extLst>
            <a:ext uri="{FF2B5EF4-FFF2-40B4-BE49-F238E27FC236}">
              <a16:creationId xmlns:a16="http://schemas.microsoft.com/office/drawing/2014/main" id="{DDDB7D9A-F785-4389-8729-8BC43675F80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39" name="TextBox 6439">
          <a:extLst>
            <a:ext uri="{FF2B5EF4-FFF2-40B4-BE49-F238E27FC236}">
              <a16:creationId xmlns:a16="http://schemas.microsoft.com/office/drawing/2014/main" id="{ED11BB3A-9B01-46C7-8702-B34B57D7C9F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0" name="TextBox 6440">
          <a:extLst>
            <a:ext uri="{FF2B5EF4-FFF2-40B4-BE49-F238E27FC236}">
              <a16:creationId xmlns:a16="http://schemas.microsoft.com/office/drawing/2014/main" id="{1FBD7EA8-C989-4E20-A23D-3A8AF0D77D95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1" name="TextBox 6441">
          <a:extLst>
            <a:ext uri="{FF2B5EF4-FFF2-40B4-BE49-F238E27FC236}">
              <a16:creationId xmlns:a16="http://schemas.microsoft.com/office/drawing/2014/main" id="{D7EE61A2-1FA9-46EB-82B4-C01019454E4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2" name="TextBox 13">
          <a:extLst>
            <a:ext uri="{FF2B5EF4-FFF2-40B4-BE49-F238E27FC236}">
              <a16:creationId xmlns:a16="http://schemas.microsoft.com/office/drawing/2014/main" id="{D91FBF9F-5147-4084-8A8D-BD63521FEAF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3" name="TextBox 14">
          <a:extLst>
            <a:ext uri="{FF2B5EF4-FFF2-40B4-BE49-F238E27FC236}">
              <a16:creationId xmlns:a16="http://schemas.microsoft.com/office/drawing/2014/main" id="{3F7A6AD3-4DAD-411B-80E5-D1FC8F7172C1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4" name="TextBox 6444">
          <a:extLst>
            <a:ext uri="{FF2B5EF4-FFF2-40B4-BE49-F238E27FC236}">
              <a16:creationId xmlns:a16="http://schemas.microsoft.com/office/drawing/2014/main" id="{8D2A50FA-EC7D-44D3-B6EE-2A176AD258B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5" name="TextBox 6445">
          <a:extLst>
            <a:ext uri="{FF2B5EF4-FFF2-40B4-BE49-F238E27FC236}">
              <a16:creationId xmlns:a16="http://schemas.microsoft.com/office/drawing/2014/main" id="{99E01E5C-65A7-4D3D-928A-EE8DE0AFC6D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6" name="TextBox 6446">
          <a:extLst>
            <a:ext uri="{FF2B5EF4-FFF2-40B4-BE49-F238E27FC236}">
              <a16:creationId xmlns:a16="http://schemas.microsoft.com/office/drawing/2014/main" id="{1E68D5FB-97A3-4B7C-820A-9B03C93F0FC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7" name="TextBox 6447">
          <a:extLst>
            <a:ext uri="{FF2B5EF4-FFF2-40B4-BE49-F238E27FC236}">
              <a16:creationId xmlns:a16="http://schemas.microsoft.com/office/drawing/2014/main" id="{2CC11C39-EDB5-4B1D-B77A-882F4666E33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8" name="TextBox 15">
          <a:extLst>
            <a:ext uri="{FF2B5EF4-FFF2-40B4-BE49-F238E27FC236}">
              <a16:creationId xmlns:a16="http://schemas.microsoft.com/office/drawing/2014/main" id="{8A255D0F-B1E0-474D-90AA-0C0CB9FB983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49" name="TextBox 16">
          <a:extLst>
            <a:ext uri="{FF2B5EF4-FFF2-40B4-BE49-F238E27FC236}">
              <a16:creationId xmlns:a16="http://schemas.microsoft.com/office/drawing/2014/main" id="{4109C7FD-A9F8-4A32-93A7-59AA5D4DA26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0" name="TextBox 17">
          <a:extLst>
            <a:ext uri="{FF2B5EF4-FFF2-40B4-BE49-F238E27FC236}">
              <a16:creationId xmlns:a16="http://schemas.microsoft.com/office/drawing/2014/main" id="{DA50629A-2726-4EF0-B9CE-176334BE376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1" name="TextBox 18">
          <a:extLst>
            <a:ext uri="{FF2B5EF4-FFF2-40B4-BE49-F238E27FC236}">
              <a16:creationId xmlns:a16="http://schemas.microsoft.com/office/drawing/2014/main" id="{4E8CD690-8F84-4DAF-8A46-CC5BFA8C1A6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2" name="TextBox 6452">
          <a:extLst>
            <a:ext uri="{FF2B5EF4-FFF2-40B4-BE49-F238E27FC236}">
              <a16:creationId xmlns:a16="http://schemas.microsoft.com/office/drawing/2014/main" id="{9DE0B964-712D-49C3-9AE8-9BD44C4F1A8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3" name="TextBox 6453">
          <a:extLst>
            <a:ext uri="{FF2B5EF4-FFF2-40B4-BE49-F238E27FC236}">
              <a16:creationId xmlns:a16="http://schemas.microsoft.com/office/drawing/2014/main" id="{895C285B-490A-415A-946B-1C953A493B0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4" name="TextBox 1">
          <a:extLst>
            <a:ext uri="{FF2B5EF4-FFF2-40B4-BE49-F238E27FC236}">
              <a16:creationId xmlns:a16="http://schemas.microsoft.com/office/drawing/2014/main" id="{03D2CCC1-CA36-4DEA-9F85-90570E7709F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5" name="TextBox 3">
          <a:extLst>
            <a:ext uri="{FF2B5EF4-FFF2-40B4-BE49-F238E27FC236}">
              <a16:creationId xmlns:a16="http://schemas.microsoft.com/office/drawing/2014/main" id="{7CD378DE-3861-4B69-9917-7691B222683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6" name="TextBox 6456">
          <a:extLst>
            <a:ext uri="{FF2B5EF4-FFF2-40B4-BE49-F238E27FC236}">
              <a16:creationId xmlns:a16="http://schemas.microsoft.com/office/drawing/2014/main" id="{9C591823-9403-4528-AE35-CF1F462AEA9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7" name="TextBox 6457">
          <a:extLst>
            <a:ext uri="{FF2B5EF4-FFF2-40B4-BE49-F238E27FC236}">
              <a16:creationId xmlns:a16="http://schemas.microsoft.com/office/drawing/2014/main" id="{C4EFF6A6-2F6E-4862-8A3C-33713DE9A3D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8" name="TextBox 6458">
          <a:extLst>
            <a:ext uri="{FF2B5EF4-FFF2-40B4-BE49-F238E27FC236}">
              <a16:creationId xmlns:a16="http://schemas.microsoft.com/office/drawing/2014/main" id="{95A47B01-AD4F-469B-BE93-CE0636E6978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59" name="TextBox 6459">
          <a:extLst>
            <a:ext uri="{FF2B5EF4-FFF2-40B4-BE49-F238E27FC236}">
              <a16:creationId xmlns:a16="http://schemas.microsoft.com/office/drawing/2014/main" id="{FFF0922C-E25B-4ABB-A70D-6722F20EE28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0" name="TextBox 6460">
          <a:extLst>
            <a:ext uri="{FF2B5EF4-FFF2-40B4-BE49-F238E27FC236}">
              <a16:creationId xmlns:a16="http://schemas.microsoft.com/office/drawing/2014/main" id="{5A1A5D7C-D96A-4A5A-A774-D88C422B81D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1" name="TextBox 6461">
          <a:extLst>
            <a:ext uri="{FF2B5EF4-FFF2-40B4-BE49-F238E27FC236}">
              <a16:creationId xmlns:a16="http://schemas.microsoft.com/office/drawing/2014/main" id="{5ABF3DD5-9D91-4DB0-9346-9804D207CB6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2" name="TextBox 6462">
          <a:extLst>
            <a:ext uri="{FF2B5EF4-FFF2-40B4-BE49-F238E27FC236}">
              <a16:creationId xmlns:a16="http://schemas.microsoft.com/office/drawing/2014/main" id="{5B31E667-4906-43C3-BD6C-B8727DE8067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3" name="TextBox 6463">
          <a:extLst>
            <a:ext uri="{FF2B5EF4-FFF2-40B4-BE49-F238E27FC236}">
              <a16:creationId xmlns:a16="http://schemas.microsoft.com/office/drawing/2014/main" id="{C91C8F6C-F26B-463D-92BD-0D10710F569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4" name="TextBox 6464">
          <a:extLst>
            <a:ext uri="{FF2B5EF4-FFF2-40B4-BE49-F238E27FC236}">
              <a16:creationId xmlns:a16="http://schemas.microsoft.com/office/drawing/2014/main" id="{1734D698-1FD0-442C-9612-AF54430DEFB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5" name="TextBox 6465">
          <a:extLst>
            <a:ext uri="{FF2B5EF4-FFF2-40B4-BE49-F238E27FC236}">
              <a16:creationId xmlns:a16="http://schemas.microsoft.com/office/drawing/2014/main" id="{826B5CB0-FE3B-4FEF-BB00-703B2989E17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6" name="TextBox 13">
          <a:extLst>
            <a:ext uri="{FF2B5EF4-FFF2-40B4-BE49-F238E27FC236}">
              <a16:creationId xmlns:a16="http://schemas.microsoft.com/office/drawing/2014/main" id="{A02D310A-30AE-4BF4-B014-59EE3CA82BF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7" name="TextBox 14">
          <a:extLst>
            <a:ext uri="{FF2B5EF4-FFF2-40B4-BE49-F238E27FC236}">
              <a16:creationId xmlns:a16="http://schemas.microsoft.com/office/drawing/2014/main" id="{5C896825-CC9C-4E74-AA9A-08706D04ACA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8" name="TextBox 6468">
          <a:extLst>
            <a:ext uri="{FF2B5EF4-FFF2-40B4-BE49-F238E27FC236}">
              <a16:creationId xmlns:a16="http://schemas.microsoft.com/office/drawing/2014/main" id="{24285CCB-6E0D-4A0C-9E9E-D17928C2690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69" name="TextBox 6469">
          <a:extLst>
            <a:ext uri="{FF2B5EF4-FFF2-40B4-BE49-F238E27FC236}">
              <a16:creationId xmlns:a16="http://schemas.microsoft.com/office/drawing/2014/main" id="{B9D6C7F5-9808-4F8C-9779-10807B629E8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0" name="TextBox 6470">
          <a:extLst>
            <a:ext uri="{FF2B5EF4-FFF2-40B4-BE49-F238E27FC236}">
              <a16:creationId xmlns:a16="http://schemas.microsoft.com/office/drawing/2014/main" id="{E1A3007C-4FBB-4933-A00F-B64CF195835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1" name="TextBox 6471">
          <a:extLst>
            <a:ext uri="{FF2B5EF4-FFF2-40B4-BE49-F238E27FC236}">
              <a16:creationId xmlns:a16="http://schemas.microsoft.com/office/drawing/2014/main" id="{E1FF349E-652A-4ED6-9F50-5154EECC572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2" name="TextBox 15">
          <a:extLst>
            <a:ext uri="{FF2B5EF4-FFF2-40B4-BE49-F238E27FC236}">
              <a16:creationId xmlns:a16="http://schemas.microsoft.com/office/drawing/2014/main" id="{B6A26093-6C86-4482-B2E3-C13B5253A4A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3" name="TextBox 16">
          <a:extLst>
            <a:ext uri="{FF2B5EF4-FFF2-40B4-BE49-F238E27FC236}">
              <a16:creationId xmlns:a16="http://schemas.microsoft.com/office/drawing/2014/main" id="{E3A3E84A-486A-4922-9766-34445855AC5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4" name="TextBox 17">
          <a:extLst>
            <a:ext uri="{FF2B5EF4-FFF2-40B4-BE49-F238E27FC236}">
              <a16:creationId xmlns:a16="http://schemas.microsoft.com/office/drawing/2014/main" id="{930F17BE-1C03-40E3-868E-95279438680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5" name="TextBox 18">
          <a:extLst>
            <a:ext uri="{FF2B5EF4-FFF2-40B4-BE49-F238E27FC236}">
              <a16:creationId xmlns:a16="http://schemas.microsoft.com/office/drawing/2014/main" id="{C2C808A2-9F07-43B2-B7C1-CADE63A7B21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6" name="TextBox 6476">
          <a:extLst>
            <a:ext uri="{FF2B5EF4-FFF2-40B4-BE49-F238E27FC236}">
              <a16:creationId xmlns:a16="http://schemas.microsoft.com/office/drawing/2014/main" id="{146B4495-4BDD-46FD-BC76-7F8A529564D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7" name="TextBox 6477">
          <a:extLst>
            <a:ext uri="{FF2B5EF4-FFF2-40B4-BE49-F238E27FC236}">
              <a16:creationId xmlns:a16="http://schemas.microsoft.com/office/drawing/2014/main" id="{0AEF4007-BDE7-4E58-BAC1-F8D6BDFA2E6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8" name="TextBox 1">
          <a:extLst>
            <a:ext uri="{FF2B5EF4-FFF2-40B4-BE49-F238E27FC236}">
              <a16:creationId xmlns:a16="http://schemas.microsoft.com/office/drawing/2014/main" id="{2F397B18-838B-4456-B029-A7EDACD2A50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79" name="TextBox 3">
          <a:extLst>
            <a:ext uri="{FF2B5EF4-FFF2-40B4-BE49-F238E27FC236}">
              <a16:creationId xmlns:a16="http://schemas.microsoft.com/office/drawing/2014/main" id="{3F5DF410-DFD8-46FB-80FF-53BDC3641F4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0" name="TextBox 6480">
          <a:extLst>
            <a:ext uri="{FF2B5EF4-FFF2-40B4-BE49-F238E27FC236}">
              <a16:creationId xmlns:a16="http://schemas.microsoft.com/office/drawing/2014/main" id="{EF51AFD9-48E5-4830-9D01-4311FD9434B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1" name="TextBox 6481">
          <a:extLst>
            <a:ext uri="{FF2B5EF4-FFF2-40B4-BE49-F238E27FC236}">
              <a16:creationId xmlns:a16="http://schemas.microsoft.com/office/drawing/2014/main" id="{2DC96547-5638-499B-9202-C23C399B9F5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2" name="TextBox 6482">
          <a:extLst>
            <a:ext uri="{FF2B5EF4-FFF2-40B4-BE49-F238E27FC236}">
              <a16:creationId xmlns:a16="http://schemas.microsoft.com/office/drawing/2014/main" id="{F64CD554-14C1-4334-886A-21F57CFD939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3" name="TextBox 6483">
          <a:extLst>
            <a:ext uri="{FF2B5EF4-FFF2-40B4-BE49-F238E27FC236}">
              <a16:creationId xmlns:a16="http://schemas.microsoft.com/office/drawing/2014/main" id="{A0863A79-E0DA-42CF-AFBB-57EB04D6158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4" name="TextBox 6484">
          <a:extLst>
            <a:ext uri="{FF2B5EF4-FFF2-40B4-BE49-F238E27FC236}">
              <a16:creationId xmlns:a16="http://schemas.microsoft.com/office/drawing/2014/main" id="{5FB6E4C1-AC6D-4229-BFF4-0F11520DC37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5" name="TextBox 6485">
          <a:extLst>
            <a:ext uri="{FF2B5EF4-FFF2-40B4-BE49-F238E27FC236}">
              <a16:creationId xmlns:a16="http://schemas.microsoft.com/office/drawing/2014/main" id="{3EC6653E-2726-40B3-80BA-806F436778B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6" name="TextBox 6486">
          <a:extLst>
            <a:ext uri="{FF2B5EF4-FFF2-40B4-BE49-F238E27FC236}">
              <a16:creationId xmlns:a16="http://schemas.microsoft.com/office/drawing/2014/main" id="{823088A6-6CD6-46D2-ACCB-C37FBB72358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7" name="TextBox 6487">
          <a:extLst>
            <a:ext uri="{FF2B5EF4-FFF2-40B4-BE49-F238E27FC236}">
              <a16:creationId xmlns:a16="http://schemas.microsoft.com/office/drawing/2014/main" id="{D1B8F538-70E8-47E9-8E0B-487F34CD690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8" name="TextBox 6488">
          <a:extLst>
            <a:ext uri="{FF2B5EF4-FFF2-40B4-BE49-F238E27FC236}">
              <a16:creationId xmlns:a16="http://schemas.microsoft.com/office/drawing/2014/main" id="{09E03C2D-CCAE-4DF0-B5D1-76898D619A1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89" name="TextBox 6489">
          <a:extLst>
            <a:ext uri="{FF2B5EF4-FFF2-40B4-BE49-F238E27FC236}">
              <a16:creationId xmlns:a16="http://schemas.microsoft.com/office/drawing/2014/main" id="{8E7DC8DA-FA23-4020-923D-4C52D0BAD55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0" name="TextBox 13">
          <a:extLst>
            <a:ext uri="{FF2B5EF4-FFF2-40B4-BE49-F238E27FC236}">
              <a16:creationId xmlns:a16="http://schemas.microsoft.com/office/drawing/2014/main" id="{173617D0-FD09-4D26-AADE-E674DBDE593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1" name="TextBox 14">
          <a:extLst>
            <a:ext uri="{FF2B5EF4-FFF2-40B4-BE49-F238E27FC236}">
              <a16:creationId xmlns:a16="http://schemas.microsoft.com/office/drawing/2014/main" id="{8CE8F9D5-8CC6-4372-A6E5-1542F74385F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2" name="TextBox 6492">
          <a:extLst>
            <a:ext uri="{FF2B5EF4-FFF2-40B4-BE49-F238E27FC236}">
              <a16:creationId xmlns:a16="http://schemas.microsoft.com/office/drawing/2014/main" id="{C275C66D-9574-4D62-B0E3-7022D5BA269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3" name="TextBox 6493">
          <a:extLst>
            <a:ext uri="{FF2B5EF4-FFF2-40B4-BE49-F238E27FC236}">
              <a16:creationId xmlns:a16="http://schemas.microsoft.com/office/drawing/2014/main" id="{784219F7-2DC7-4D54-8A5F-24A872A0142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4" name="TextBox 6494">
          <a:extLst>
            <a:ext uri="{FF2B5EF4-FFF2-40B4-BE49-F238E27FC236}">
              <a16:creationId xmlns:a16="http://schemas.microsoft.com/office/drawing/2014/main" id="{9E900DE0-85EA-4CD7-856C-2C4E9B484CA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5" name="TextBox 6495">
          <a:extLst>
            <a:ext uri="{FF2B5EF4-FFF2-40B4-BE49-F238E27FC236}">
              <a16:creationId xmlns:a16="http://schemas.microsoft.com/office/drawing/2014/main" id="{B31B1589-8D31-45E7-9D7E-E77313A1C3D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6" name="TextBox 15">
          <a:extLst>
            <a:ext uri="{FF2B5EF4-FFF2-40B4-BE49-F238E27FC236}">
              <a16:creationId xmlns:a16="http://schemas.microsoft.com/office/drawing/2014/main" id="{2DA20129-7224-4BCD-AE24-293D4565C5A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7" name="TextBox 16">
          <a:extLst>
            <a:ext uri="{FF2B5EF4-FFF2-40B4-BE49-F238E27FC236}">
              <a16:creationId xmlns:a16="http://schemas.microsoft.com/office/drawing/2014/main" id="{71EFF9D6-787F-4018-A3DF-9DA47CA2EFF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8" name="TextBox 17">
          <a:extLst>
            <a:ext uri="{FF2B5EF4-FFF2-40B4-BE49-F238E27FC236}">
              <a16:creationId xmlns:a16="http://schemas.microsoft.com/office/drawing/2014/main" id="{06F5D73E-930B-4A06-8642-5E67AE44C42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099" name="TextBox 18">
          <a:extLst>
            <a:ext uri="{FF2B5EF4-FFF2-40B4-BE49-F238E27FC236}">
              <a16:creationId xmlns:a16="http://schemas.microsoft.com/office/drawing/2014/main" id="{13CF5637-0402-44D4-93EA-564B73D57B6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0" name="TextBox 6500">
          <a:extLst>
            <a:ext uri="{FF2B5EF4-FFF2-40B4-BE49-F238E27FC236}">
              <a16:creationId xmlns:a16="http://schemas.microsoft.com/office/drawing/2014/main" id="{9A67F2C3-CA34-4661-9C9D-602D5748201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1" name="TextBox 6501">
          <a:extLst>
            <a:ext uri="{FF2B5EF4-FFF2-40B4-BE49-F238E27FC236}">
              <a16:creationId xmlns:a16="http://schemas.microsoft.com/office/drawing/2014/main" id="{91ADA37B-7156-4727-B316-36495BA0720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2" name="TextBox 1">
          <a:extLst>
            <a:ext uri="{FF2B5EF4-FFF2-40B4-BE49-F238E27FC236}">
              <a16:creationId xmlns:a16="http://schemas.microsoft.com/office/drawing/2014/main" id="{0B788CAE-3988-4A31-A490-CA002381FB3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3" name="TextBox 3">
          <a:extLst>
            <a:ext uri="{FF2B5EF4-FFF2-40B4-BE49-F238E27FC236}">
              <a16:creationId xmlns:a16="http://schemas.microsoft.com/office/drawing/2014/main" id="{D3F7A614-BE6C-4CB4-9C0E-14DDAE1A184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4" name="TextBox 6504">
          <a:extLst>
            <a:ext uri="{FF2B5EF4-FFF2-40B4-BE49-F238E27FC236}">
              <a16:creationId xmlns:a16="http://schemas.microsoft.com/office/drawing/2014/main" id="{01BD5E90-5184-4CF7-99BA-0E90481C2AB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5" name="TextBox 6505">
          <a:extLst>
            <a:ext uri="{FF2B5EF4-FFF2-40B4-BE49-F238E27FC236}">
              <a16:creationId xmlns:a16="http://schemas.microsoft.com/office/drawing/2014/main" id="{0211DA55-4F4A-4034-8C4F-F8CBCE6F13B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6" name="TextBox 6506">
          <a:extLst>
            <a:ext uri="{FF2B5EF4-FFF2-40B4-BE49-F238E27FC236}">
              <a16:creationId xmlns:a16="http://schemas.microsoft.com/office/drawing/2014/main" id="{9B7CB8A5-7C0B-4B28-8066-064EE9BEDFC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7" name="TextBox 6507">
          <a:extLst>
            <a:ext uri="{FF2B5EF4-FFF2-40B4-BE49-F238E27FC236}">
              <a16:creationId xmlns:a16="http://schemas.microsoft.com/office/drawing/2014/main" id="{FBB87E5F-B65B-421F-9F5C-8425F81A574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8" name="TextBox 6508">
          <a:extLst>
            <a:ext uri="{FF2B5EF4-FFF2-40B4-BE49-F238E27FC236}">
              <a16:creationId xmlns:a16="http://schemas.microsoft.com/office/drawing/2014/main" id="{0BF30EA3-F4A3-4BD9-A2A6-CF50DBC3899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09" name="TextBox 6509">
          <a:extLst>
            <a:ext uri="{FF2B5EF4-FFF2-40B4-BE49-F238E27FC236}">
              <a16:creationId xmlns:a16="http://schemas.microsoft.com/office/drawing/2014/main" id="{0DCF5BEF-1A6C-4770-AB48-5663CB71DF1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0" name="TextBox 6510">
          <a:extLst>
            <a:ext uri="{FF2B5EF4-FFF2-40B4-BE49-F238E27FC236}">
              <a16:creationId xmlns:a16="http://schemas.microsoft.com/office/drawing/2014/main" id="{59EC5DD3-BB08-4EBA-9C6F-72B8C49CB20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1" name="TextBox 6511">
          <a:extLst>
            <a:ext uri="{FF2B5EF4-FFF2-40B4-BE49-F238E27FC236}">
              <a16:creationId xmlns:a16="http://schemas.microsoft.com/office/drawing/2014/main" id="{92368060-0CE9-4F50-972E-FF64FDDB350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2" name="TextBox 6512">
          <a:extLst>
            <a:ext uri="{FF2B5EF4-FFF2-40B4-BE49-F238E27FC236}">
              <a16:creationId xmlns:a16="http://schemas.microsoft.com/office/drawing/2014/main" id="{B4A4C599-A833-4C60-88E4-C882F78BD69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3" name="TextBox 6513">
          <a:extLst>
            <a:ext uri="{FF2B5EF4-FFF2-40B4-BE49-F238E27FC236}">
              <a16:creationId xmlns:a16="http://schemas.microsoft.com/office/drawing/2014/main" id="{A620A3B2-7C15-4129-A105-58FCFF8933B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4" name="TextBox 13">
          <a:extLst>
            <a:ext uri="{FF2B5EF4-FFF2-40B4-BE49-F238E27FC236}">
              <a16:creationId xmlns:a16="http://schemas.microsoft.com/office/drawing/2014/main" id="{68425B6B-FF06-4B59-B210-F836BD6BB19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5" name="TextBox 14">
          <a:extLst>
            <a:ext uri="{FF2B5EF4-FFF2-40B4-BE49-F238E27FC236}">
              <a16:creationId xmlns:a16="http://schemas.microsoft.com/office/drawing/2014/main" id="{5BFD4775-2807-46AE-B23B-B7D11D9017E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6" name="TextBox 6516">
          <a:extLst>
            <a:ext uri="{FF2B5EF4-FFF2-40B4-BE49-F238E27FC236}">
              <a16:creationId xmlns:a16="http://schemas.microsoft.com/office/drawing/2014/main" id="{46F33B90-2DD5-43F7-89D7-71A032D4B6C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7" name="TextBox 6517">
          <a:extLst>
            <a:ext uri="{FF2B5EF4-FFF2-40B4-BE49-F238E27FC236}">
              <a16:creationId xmlns:a16="http://schemas.microsoft.com/office/drawing/2014/main" id="{5E4E38FA-71F7-4F78-8C94-FDE5EBED5AB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8" name="TextBox 6518">
          <a:extLst>
            <a:ext uri="{FF2B5EF4-FFF2-40B4-BE49-F238E27FC236}">
              <a16:creationId xmlns:a16="http://schemas.microsoft.com/office/drawing/2014/main" id="{8CEB2B52-2408-4767-AED6-05F06A9BBEE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19" name="TextBox 6519">
          <a:extLst>
            <a:ext uri="{FF2B5EF4-FFF2-40B4-BE49-F238E27FC236}">
              <a16:creationId xmlns:a16="http://schemas.microsoft.com/office/drawing/2014/main" id="{62C4A7DF-5B94-43DE-AC3A-369952DF03EE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0" name="TextBox 15">
          <a:extLst>
            <a:ext uri="{FF2B5EF4-FFF2-40B4-BE49-F238E27FC236}">
              <a16:creationId xmlns:a16="http://schemas.microsoft.com/office/drawing/2014/main" id="{CF4D3340-CFA8-474D-B7B8-FA47FBD5DCAE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1" name="TextBox 16">
          <a:extLst>
            <a:ext uri="{FF2B5EF4-FFF2-40B4-BE49-F238E27FC236}">
              <a16:creationId xmlns:a16="http://schemas.microsoft.com/office/drawing/2014/main" id="{F6BF7184-9934-4AAA-9462-CF312AE3E07E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2" name="TextBox 17">
          <a:extLst>
            <a:ext uri="{FF2B5EF4-FFF2-40B4-BE49-F238E27FC236}">
              <a16:creationId xmlns:a16="http://schemas.microsoft.com/office/drawing/2014/main" id="{D7FF0339-75B1-4ECB-AF3F-6644926B383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3" name="TextBox 18">
          <a:extLst>
            <a:ext uri="{FF2B5EF4-FFF2-40B4-BE49-F238E27FC236}">
              <a16:creationId xmlns:a16="http://schemas.microsoft.com/office/drawing/2014/main" id="{08999F7F-5850-434B-A981-B2508313DE8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4" name="TextBox 6524">
          <a:extLst>
            <a:ext uri="{FF2B5EF4-FFF2-40B4-BE49-F238E27FC236}">
              <a16:creationId xmlns:a16="http://schemas.microsoft.com/office/drawing/2014/main" id="{F7622B08-5F01-466E-AAAC-465BB9F4D90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5" name="TextBox 6525">
          <a:extLst>
            <a:ext uri="{FF2B5EF4-FFF2-40B4-BE49-F238E27FC236}">
              <a16:creationId xmlns:a16="http://schemas.microsoft.com/office/drawing/2014/main" id="{627EB018-BC32-49B8-93D0-7F406E0F90F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6" name="TextBox 1">
          <a:extLst>
            <a:ext uri="{FF2B5EF4-FFF2-40B4-BE49-F238E27FC236}">
              <a16:creationId xmlns:a16="http://schemas.microsoft.com/office/drawing/2014/main" id="{EBF7A11F-0848-417C-92F4-BB4B783C344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7" name="TextBox 3">
          <a:extLst>
            <a:ext uri="{FF2B5EF4-FFF2-40B4-BE49-F238E27FC236}">
              <a16:creationId xmlns:a16="http://schemas.microsoft.com/office/drawing/2014/main" id="{004B878B-CD91-49C0-BA4F-EB131E3F3D7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8" name="TextBox 6528">
          <a:extLst>
            <a:ext uri="{FF2B5EF4-FFF2-40B4-BE49-F238E27FC236}">
              <a16:creationId xmlns:a16="http://schemas.microsoft.com/office/drawing/2014/main" id="{8CEC794E-8FD4-42CD-AD61-26AD735DE9B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29" name="TextBox 6529">
          <a:extLst>
            <a:ext uri="{FF2B5EF4-FFF2-40B4-BE49-F238E27FC236}">
              <a16:creationId xmlns:a16="http://schemas.microsoft.com/office/drawing/2014/main" id="{E50E96B1-B5C8-47E8-A467-8485170925CA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0" name="TextBox 6530">
          <a:extLst>
            <a:ext uri="{FF2B5EF4-FFF2-40B4-BE49-F238E27FC236}">
              <a16:creationId xmlns:a16="http://schemas.microsoft.com/office/drawing/2014/main" id="{D94EBF0A-AE63-4302-BFB2-367CC6CBF99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1" name="TextBox 6531">
          <a:extLst>
            <a:ext uri="{FF2B5EF4-FFF2-40B4-BE49-F238E27FC236}">
              <a16:creationId xmlns:a16="http://schemas.microsoft.com/office/drawing/2014/main" id="{B05481F1-8144-4B45-BE06-983AEECA96F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2" name="TextBox 6532">
          <a:extLst>
            <a:ext uri="{FF2B5EF4-FFF2-40B4-BE49-F238E27FC236}">
              <a16:creationId xmlns:a16="http://schemas.microsoft.com/office/drawing/2014/main" id="{303C414A-E8CD-4239-807D-736C87D358D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3" name="TextBox 6533">
          <a:extLst>
            <a:ext uri="{FF2B5EF4-FFF2-40B4-BE49-F238E27FC236}">
              <a16:creationId xmlns:a16="http://schemas.microsoft.com/office/drawing/2014/main" id="{6A47D064-9ADC-4105-A1F5-AE658C14FDE3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4" name="TextBox 6534">
          <a:extLst>
            <a:ext uri="{FF2B5EF4-FFF2-40B4-BE49-F238E27FC236}">
              <a16:creationId xmlns:a16="http://schemas.microsoft.com/office/drawing/2014/main" id="{3C6C7122-CB78-4F03-918B-495169735FD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5" name="TextBox 6535">
          <a:extLst>
            <a:ext uri="{FF2B5EF4-FFF2-40B4-BE49-F238E27FC236}">
              <a16:creationId xmlns:a16="http://schemas.microsoft.com/office/drawing/2014/main" id="{D7DEA421-9596-469E-BC9A-69000BAB5348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6" name="TextBox 6536">
          <a:extLst>
            <a:ext uri="{FF2B5EF4-FFF2-40B4-BE49-F238E27FC236}">
              <a16:creationId xmlns:a16="http://schemas.microsoft.com/office/drawing/2014/main" id="{58333234-A00F-4664-96BC-FDEA8831BEC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7" name="TextBox 6537">
          <a:extLst>
            <a:ext uri="{FF2B5EF4-FFF2-40B4-BE49-F238E27FC236}">
              <a16:creationId xmlns:a16="http://schemas.microsoft.com/office/drawing/2014/main" id="{DA208D00-05DB-418D-9D01-7CF2FBFA0C0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8" name="TextBox 13">
          <a:extLst>
            <a:ext uri="{FF2B5EF4-FFF2-40B4-BE49-F238E27FC236}">
              <a16:creationId xmlns:a16="http://schemas.microsoft.com/office/drawing/2014/main" id="{EF2A17A3-6319-4984-B3A0-37A91C59E41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39" name="TextBox 14">
          <a:extLst>
            <a:ext uri="{FF2B5EF4-FFF2-40B4-BE49-F238E27FC236}">
              <a16:creationId xmlns:a16="http://schemas.microsoft.com/office/drawing/2014/main" id="{C2859FA4-E32C-42D3-BC95-9D213809602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0" name="TextBox 6540">
          <a:extLst>
            <a:ext uri="{FF2B5EF4-FFF2-40B4-BE49-F238E27FC236}">
              <a16:creationId xmlns:a16="http://schemas.microsoft.com/office/drawing/2014/main" id="{1C379754-C661-4FA9-9D06-3D7B1338D98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1" name="TextBox 6541">
          <a:extLst>
            <a:ext uri="{FF2B5EF4-FFF2-40B4-BE49-F238E27FC236}">
              <a16:creationId xmlns:a16="http://schemas.microsoft.com/office/drawing/2014/main" id="{E5C0448F-F221-4E46-836A-63796EDC130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2" name="TextBox 6542">
          <a:extLst>
            <a:ext uri="{FF2B5EF4-FFF2-40B4-BE49-F238E27FC236}">
              <a16:creationId xmlns:a16="http://schemas.microsoft.com/office/drawing/2014/main" id="{ADC8697D-5AC7-4EAE-8C24-E3182DEC49F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3" name="TextBox 6543">
          <a:extLst>
            <a:ext uri="{FF2B5EF4-FFF2-40B4-BE49-F238E27FC236}">
              <a16:creationId xmlns:a16="http://schemas.microsoft.com/office/drawing/2014/main" id="{FA3508DF-466D-4086-B48A-515D6123E21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4" name="TextBox 15">
          <a:extLst>
            <a:ext uri="{FF2B5EF4-FFF2-40B4-BE49-F238E27FC236}">
              <a16:creationId xmlns:a16="http://schemas.microsoft.com/office/drawing/2014/main" id="{3C3F71DA-4CA6-45E1-A20C-1D201A27589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5" name="TextBox 16">
          <a:extLst>
            <a:ext uri="{FF2B5EF4-FFF2-40B4-BE49-F238E27FC236}">
              <a16:creationId xmlns:a16="http://schemas.microsoft.com/office/drawing/2014/main" id="{9CD28BE8-C2BA-4743-9A72-0CD985A7B40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6" name="TextBox 17">
          <a:extLst>
            <a:ext uri="{FF2B5EF4-FFF2-40B4-BE49-F238E27FC236}">
              <a16:creationId xmlns:a16="http://schemas.microsoft.com/office/drawing/2014/main" id="{560DBA48-C628-4FB0-87E3-D93D87FA2731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7" name="TextBox 18">
          <a:extLst>
            <a:ext uri="{FF2B5EF4-FFF2-40B4-BE49-F238E27FC236}">
              <a16:creationId xmlns:a16="http://schemas.microsoft.com/office/drawing/2014/main" id="{7E7B4CD7-46DC-4622-B74C-CBFBA5AA6A3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8" name="TextBox 6548">
          <a:extLst>
            <a:ext uri="{FF2B5EF4-FFF2-40B4-BE49-F238E27FC236}">
              <a16:creationId xmlns:a16="http://schemas.microsoft.com/office/drawing/2014/main" id="{940A94DD-8818-49EA-AF64-7CB44D929F3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49" name="TextBox 6549">
          <a:extLst>
            <a:ext uri="{FF2B5EF4-FFF2-40B4-BE49-F238E27FC236}">
              <a16:creationId xmlns:a16="http://schemas.microsoft.com/office/drawing/2014/main" id="{FD6D6EE6-3AEE-4A29-BF33-81BA0E9F2CB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0" name="TextBox 1">
          <a:extLst>
            <a:ext uri="{FF2B5EF4-FFF2-40B4-BE49-F238E27FC236}">
              <a16:creationId xmlns:a16="http://schemas.microsoft.com/office/drawing/2014/main" id="{1CBA5710-5BC1-4CB9-824D-91704AD1ADFB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1" name="TextBox 3">
          <a:extLst>
            <a:ext uri="{FF2B5EF4-FFF2-40B4-BE49-F238E27FC236}">
              <a16:creationId xmlns:a16="http://schemas.microsoft.com/office/drawing/2014/main" id="{40D12568-93A8-4A04-A093-A8211AB38FC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2" name="TextBox 6552">
          <a:extLst>
            <a:ext uri="{FF2B5EF4-FFF2-40B4-BE49-F238E27FC236}">
              <a16:creationId xmlns:a16="http://schemas.microsoft.com/office/drawing/2014/main" id="{EAE0AD9D-BF61-4435-BEA6-CB32C268562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3" name="TextBox 6553">
          <a:extLst>
            <a:ext uri="{FF2B5EF4-FFF2-40B4-BE49-F238E27FC236}">
              <a16:creationId xmlns:a16="http://schemas.microsoft.com/office/drawing/2014/main" id="{FA169B29-9F1A-421B-86B1-467E66992A9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4" name="TextBox 6554">
          <a:extLst>
            <a:ext uri="{FF2B5EF4-FFF2-40B4-BE49-F238E27FC236}">
              <a16:creationId xmlns:a16="http://schemas.microsoft.com/office/drawing/2014/main" id="{7BB2A408-15B4-4267-AED2-61F1AEFCFD7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5" name="TextBox 6555">
          <a:extLst>
            <a:ext uri="{FF2B5EF4-FFF2-40B4-BE49-F238E27FC236}">
              <a16:creationId xmlns:a16="http://schemas.microsoft.com/office/drawing/2014/main" id="{63345CF6-EF75-4EB9-A855-E120E014A4A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6" name="TextBox 6556">
          <a:extLst>
            <a:ext uri="{FF2B5EF4-FFF2-40B4-BE49-F238E27FC236}">
              <a16:creationId xmlns:a16="http://schemas.microsoft.com/office/drawing/2014/main" id="{F16F54F6-49A6-4C82-BC82-3F299B720C1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7" name="TextBox 6557">
          <a:extLst>
            <a:ext uri="{FF2B5EF4-FFF2-40B4-BE49-F238E27FC236}">
              <a16:creationId xmlns:a16="http://schemas.microsoft.com/office/drawing/2014/main" id="{1E2E907D-2935-4DC4-982F-3257D3366AF8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8" name="TextBox 6558">
          <a:extLst>
            <a:ext uri="{FF2B5EF4-FFF2-40B4-BE49-F238E27FC236}">
              <a16:creationId xmlns:a16="http://schemas.microsoft.com/office/drawing/2014/main" id="{DD24B310-3614-4CCB-8F84-F9E0244425DB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59" name="TextBox 6559">
          <a:extLst>
            <a:ext uri="{FF2B5EF4-FFF2-40B4-BE49-F238E27FC236}">
              <a16:creationId xmlns:a16="http://schemas.microsoft.com/office/drawing/2014/main" id="{6A9807D0-6984-4772-AC4C-5B22CEDDF46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0" name="TextBox 6560">
          <a:extLst>
            <a:ext uri="{FF2B5EF4-FFF2-40B4-BE49-F238E27FC236}">
              <a16:creationId xmlns:a16="http://schemas.microsoft.com/office/drawing/2014/main" id="{911A9A3E-3D38-4B09-BC6C-E034C7A0E27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1" name="TextBox 6561">
          <a:extLst>
            <a:ext uri="{FF2B5EF4-FFF2-40B4-BE49-F238E27FC236}">
              <a16:creationId xmlns:a16="http://schemas.microsoft.com/office/drawing/2014/main" id="{F0612F9C-E60B-4361-9730-B6FA6AB72A1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2" name="TextBox 13">
          <a:extLst>
            <a:ext uri="{FF2B5EF4-FFF2-40B4-BE49-F238E27FC236}">
              <a16:creationId xmlns:a16="http://schemas.microsoft.com/office/drawing/2014/main" id="{8DFD0608-ADD7-46F5-93E7-3E6BE24215DD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3" name="TextBox 14">
          <a:extLst>
            <a:ext uri="{FF2B5EF4-FFF2-40B4-BE49-F238E27FC236}">
              <a16:creationId xmlns:a16="http://schemas.microsoft.com/office/drawing/2014/main" id="{18243B13-F5F6-426F-8BB3-012F0CF8503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4" name="TextBox 6564">
          <a:extLst>
            <a:ext uri="{FF2B5EF4-FFF2-40B4-BE49-F238E27FC236}">
              <a16:creationId xmlns:a16="http://schemas.microsoft.com/office/drawing/2014/main" id="{77919668-E874-4012-B852-ABC4CD87511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5" name="TextBox 6565">
          <a:extLst>
            <a:ext uri="{FF2B5EF4-FFF2-40B4-BE49-F238E27FC236}">
              <a16:creationId xmlns:a16="http://schemas.microsoft.com/office/drawing/2014/main" id="{2B8BC2A6-5B83-48E4-89AF-16515DDADCA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6" name="TextBox 6566">
          <a:extLst>
            <a:ext uri="{FF2B5EF4-FFF2-40B4-BE49-F238E27FC236}">
              <a16:creationId xmlns:a16="http://schemas.microsoft.com/office/drawing/2014/main" id="{AC8E11E7-CD0A-4326-9D79-0DE4FBAE5CC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7" name="TextBox 6567">
          <a:extLst>
            <a:ext uri="{FF2B5EF4-FFF2-40B4-BE49-F238E27FC236}">
              <a16:creationId xmlns:a16="http://schemas.microsoft.com/office/drawing/2014/main" id="{C0F6A9D9-7ACF-442E-BF62-9A22E6ECFA38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8" name="TextBox 15">
          <a:extLst>
            <a:ext uri="{FF2B5EF4-FFF2-40B4-BE49-F238E27FC236}">
              <a16:creationId xmlns:a16="http://schemas.microsoft.com/office/drawing/2014/main" id="{18B42E40-1CE6-456C-9EED-A926B2EB421B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69" name="TextBox 16">
          <a:extLst>
            <a:ext uri="{FF2B5EF4-FFF2-40B4-BE49-F238E27FC236}">
              <a16:creationId xmlns:a16="http://schemas.microsoft.com/office/drawing/2014/main" id="{49C3FA7C-4DE9-4A3D-BB42-14CE498672E9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0" name="TextBox 17">
          <a:extLst>
            <a:ext uri="{FF2B5EF4-FFF2-40B4-BE49-F238E27FC236}">
              <a16:creationId xmlns:a16="http://schemas.microsoft.com/office/drawing/2014/main" id="{EADDAC42-048F-41C5-89DF-D9B1F0D92C9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1" name="TextBox 18">
          <a:extLst>
            <a:ext uri="{FF2B5EF4-FFF2-40B4-BE49-F238E27FC236}">
              <a16:creationId xmlns:a16="http://schemas.microsoft.com/office/drawing/2014/main" id="{6768245A-32AC-475B-976D-28345CECE9E1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2" name="TextBox 6572">
          <a:extLst>
            <a:ext uri="{FF2B5EF4-FFF2-40B4-BE49-F238E27FC236}">
              <a16:creationId xmlns:a16="http://schemas.microsoft.com/office/drawing/2014/main" id="{D06A8283-E0C8-4AB4-A88D-22724A99456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3" name="TextBox 6573">
          <a:extLst>
            <a:ext uri="{FF2B5EF4-FFF2-40B4-BE49-F238E27FC236}">
              <a16:creationId xmlns:a16="http://schemas.microsoft.com/office/drawing/2014/main" id="{AE3383EC-E236-43E6-8F78-16814E9870E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4" name="TextBox 1">
          <a:extLst>
            <a:ext uri="{FF2B5EF4-FFF2-40B4-BE49-F238E27FC236}">
              <a16:creationId xmlns:a16="http://schemas.microsoft.com/office/drawing/2014/main" id="{1DF71DE4-9815-4B4D-85B0-069A23BD3558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5" name="TextBox 3">
          <a:extLst>
            <a:ext uri="{FF2B5EF4-FFF2-40B4-BE49-F238E27FC236}">
              <a16:creationId xmlns:a16="http://schemas.microsoft.com/office/drawing/2014/main" id="{5A637C56-FAA0-4377-B44B-144B5B21D0C7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6" name="TextBox 6576">
          <a:extLst>
            <a:ext uri="{FF2B5EF4-FFF2-40B4-BE49-F238E27FC236}">
              <a16:creationId xmlns:a16="http://schemas.microsoft.com/office/drawing/2014/main" id="{333FE25D-3ABF-4691-99ED-471886C99545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7" name="TextBox 6577">
          <a:extLst>
            <a:ext uri="{FF2B5EF4-FFF2-40B4-BE49-F238E27FC236}">
              <a16:creationId xmlns:a16="http://schemas.microsoft.com/office/drawing/2014/main" id="{6DCEF707-1E09-4446-AED4-A987E278FAA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8" name="TextBox 6578">
          <a:extLst>
            <a:ext uri="{FF2B5EF4-FFF2-40B4-BE49-F238E27FC236}">
              <a16:creationId xmlns:a16="http://schemas.microsoft.com/office/drawing/2014/main" id="{1E716931-CAE9-4E6D-8F34-5118AF03E5D2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79" name="TextBox 6579">
          <a:extLst>
            <a:ext uri="{FF2B5EF4-FFF2-40B4-BE49-F238E27FC236}">
              <a16:creationId xmlns:a16="http://schemas.microsoft.com/office/drawing/2014/main" id="{B7B28EEE-4A4F-4B01-9B26-A8BF72C2CE10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0" name="TextBox 6580">
          <a:extLst>
            <a:ext uri="{FF2B5EF4-FFF2-40B4-BE49-F238E27FC236}">
              <a16:creationId xmlns:a16="http://schemas.microsoft.com/office/drawing/2014/main" id="{BD686024-B125-4A9A-9503-06D340A318A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1" name="TextBox 6581">
          <a:extLst>
            <a:ext uri="{FF2B5EF4-FFF2-40B4-BE49-F238E27FC236}">
              <a16:creationId xmlns:a16="http://schemas.microsoft.com/office/drawing/2014/main" id="{4BA95AD0-AA88-4EC8-959C-1455812C35D6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2" name="TextBox 6582">
          <a:extLst>
            <a:ext uri="{FF2B5EF4-FFF2-40B4-BE49-F238E27FC236}">
              <a16:creationId xmlns:a16="http://schemas.microsoft.com/office/drawing/2014/main" id="{FD5D2361-84E7-4B35-8685-95A357E11723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3" name="TextBox 6583">
          <a:extLst>
            <a:ext uri="{FF2B5EF4-FFF2-40B4-BE49-F238E27FC236}">
              <a16:creationId xmlns:a16="http://schemas.microsoft.com/office/drawing/2014/main" id="{3F3F8D1E-0857-4028-B8EF-C464DEF9C39F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4" name="TextBox 6584">
          <a:extLst>
            <a:ext uri="{FF2B5EF4-FFF2-40B4-BE49-F238E27FC236}">
              <a16:creationId xmlns:a16="http://schemas.microsoft.com/office/drawing/2014/main" id="{D37EEBB2-7C6A-4C0B-9A34-3E1B6C3F629E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5" name="TextBox 6585">
          <a:extLst>
            <a:ext uri="{FF2B5EF4-FFF2-40B4-BE49-F238E27FC236}">
              <a16:creationId xmlns:a16="http://schemas.microsoft.com/office/drawing/2014/main" id="{4E59DED6-3E58-4A0E-BDE9-7F687C69500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6" name="TextBox 13">
          <a:extLst>
            <a:ext uri="{FF2B5EF4-FFF2-40B4-BE49-F238E27FC236}">
              <a16:creationId xmlns:a16="http://schemas.microsoft.com/office/drawing/2014/main" id="{30170A86-921C-488B-BD38-D48DB94B4224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7" name="TextBox 14">
          <a:extLst>
            <a:ext uri="{FF2B5EF4-FFF2-40B4-BE49-F238E27FC236}">
              <a16:creationId xmlns:a16="http://schemas.microsoft.com/office/drawing/2014/main" id="{0F7EC838-EC5B-4030-B033-7679C12DF89C}"/>
            </a:ext>
          </a:extLst>
        </xdr:cNvPr>
        <xdr:cNvSpPr txBox="1"/>
      </xdr:nvSpPr>
      <xdr:spPr>
        <a:xfrm>
          <a:off x="1909762" y="358711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8" name="TextBox 6588">
          <a:extLst>
            <a:ext uri="{FF2B5EF4-FFF2-40B4-BE49-F238E27FC236}">
              <a16:creationId xmlns:a16="http://schemas.microsoft.com/office/drawing/2014/main" id="{1D82F93B-BFDF-46F6-A649-5E67BAA3EA6E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89" name="TextBox 6589">
          <a:extLst>
            <a:ext uri="{FF2B5EF4-FFF2-40B4-BE49-F238E27FC236}">
              <a16:creationId xmlns:a16="http://schemas.microsoft.com/office/drawing/2014/main" id="{3E1E0975-919A-48E5-B951-0E983490E106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0" name="TextBox 6590">
          <a:extLst>
            <a:ext uri="{FF2B5EF4-FFF2-40B4-BE49-F238E27FC236}">
              <a16:creationId xmlns:a16="http://schemas.microsoft.com/office/drawing/2014/main" id="{C3F11B3E-5705-4D81-83C5-36CC268640AB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1" name="TextBox 6591">
          <a:extLst>
            <a:ext uri="{FF2B5EF4-FFF2-40B4-BE49-F238E27FC236}">
              <a16:creationId xmlns:a16="http://schemas.microsoft.com/office/drawing/2014/main" id="{C5129821-D498-4623-939A-49FFB2CDD46B}"/>
            </a:ext>
          </a:extLst>
        </xdr:cNvPr>
        <xdr:cNvSpPr txBox="1"/>
      </xdr:nvSpPr>
      <xdr:spPr>
        <a:xfrm>
          <a:off x="1909762" y="315753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2" name="TextBox 2">
          <a:extLst>
            <a:ext uri="{FF2B5EF4-FFF2-40B4-BE49-F238E27FC236}">
              <a16:creationId xmlns:a16="http://schemas.microsoft.com/office/drawing/2014/main" id="{92AAD7A8-6C30-4167-8566-9774479B6D2F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3" name="TextBox 4">
          <a:extLst>
            <a:ext uri="{FF2B5EF4-FFF2-40B4-BE49-F238E27FC236}">
              <a16:creationId xmlns:a16="http://schemas.microsoft.com/office/drawing/2014/main" id="{032CA2BD-0421-4D1F-A983-E480A64766D5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4" name="TextBox 5">
          <a:extLst>
            <a:ext uri="{FF2B5EF4-FFF2-40B4-BE49-F238E27FC236}">
              <a16:creationId xmlns:a16="http://schemas.microsoft.com/office/drawing/2014/main" id="{C498D54A-252F-4E02-AE33-D7DCAB94D71E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5" name="TextBox 6">
          <a:extLst>
            <a:ext uri="{FF2B5EF4-FFF2-40B4-BE49-F238E27FC236}">
              <a16:creationId xmlns:a16="http://schemas.microsoft.com/office/drawing/2014/main" id="{32767F34-0071-4FFB-99AA-1D4D41FCE199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6" name="TextBox 7">
          <a:extLst>
            <a:ext uri="{FF2B5EF4-FFF2-40B4-BE49-F238E27FC236}">
              <a16:creationId xmlns:a16="http://schemas.microsoft.com/office/drawing/2014/main" id="{6355C0F5-D9C1-43F6-9A6A-D1E811F438DE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7" name="TextBox 8">
          <a:extLst>
            <a:ext uri="{FF2B5EF4-FFF2-40B4-BE49-F238E27FC236}">
              <a16:creationId xmlns:a16="http://schemas.microsoft.com/office/drawing/2014/main" id="{71A08A15-DB77-445F-A80D-A4ED183BE5CF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8" name="TextBox 2">
          <a:extLst>
            <a:ext uri="{FF2B5EF4-FFF2-40B4-BE49-F238E27FC236}">
              <a16:creationId xmlns:a16="http://schemas.microsoft.com/office/drawing/2014/main" id="{C683D73F-A80F-40BF-B700-40D48E83ECDF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199" name="TextBox 4">
          <a:extLst>
            <a:ext uri="{FF2B5EF4-FFF2-40B4-BE49-F238E27FC236}">
              <a16:creationId xmlns:a16="http://schemas.microsoft.com/office/drawing/2014/main" id="{D507B2EF-1D63-4500-A793-19557560883B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0" name="TextBox 5">
          <a:extLst>
            <a:ext uri="{FF2B5EF4-FFF2-40B4-BE49-F238E27FC236}">
              <a16:creationId xmlns:a16="http://schemas.microsoft.com/office/drawing/2014/main" id="{E26A8E6B-D833-4785-A2EB-51DA6031BB67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1" name="TextBox 6">
          <a:extLst>
            <a:ext uri="{FF2B5EF4-FFF2-40B4-BE49-F238E27FC236}">
              <a16:creationId xmlns:a16="http://schemas.microsoft.com/office/drawing/2014/main" id="{39C13533-48FD-454D-9C17-26CD37E3876E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2" name="TextBox 7">
          <a:extLst>
            <a:ext uri="{FF2B5EF4-FFF2-40B4-BE49-F238E27FC236}">
              <a16:creationId xmlns:a16="http://schemas.microsoft.com/office/drawing/2014/main" id="{AA74713B-1BBE-46DC-A233-9A2D578D309E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3" name="TextBox 8">
          <a:extLst>
            <a:ext uri="{FF2B5EF4-FFF2-40B4-BE49-F238E27FC236}">
              <a16:creationId xmlns:a16="http://schemas.microsoft.com/office/drawing/2014/main" id="{AB24BD7F-54D1-47EE-98A2-90D391182EA2}"/>
            </a:ext>
          </a:extLst>
        </xdr:cNvPr>
        <xdr:cNvSpPr txBox="1"/>
      </xdr:nvSpPr>
      <xdr:spPr>
        <a:xfrm flipH="1"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4" name="TextBox 2">
          <a:extLst>
            <a:ext uri="{FF2B5EF4-FFF2-40B4-BE49-F238E27FC236}">
              <a16:creationId xmlns:a16="http://schemas.microsoft.com/office/drawing/2014/main" id="{00D4EDD4-5F68-4E18-8103-F213A8830A92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5" name="TextBox 4">
          <a:extLst>
            <a:ext uri="{FF2B5EF4-FFF2-40B4-BE49-F238E27FC236}">
              <a16:creationId xmlns:a16="http://schemas.microsoft.com/office/drawing/2014/main" id="{F0787151-8065-40FA-A6D1-7AE231949EFD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6" name="TextBox 5">
          <a:extLst>
            <a:ext uri="{FF2B5EF4-FFF2-40B4-BE49-F238E27FC236}">
              <a16:creationId xmlns:a16="http://schemas.microsoft.com/office/drawing/2014/main" id="{13EF1972-1AB4-4038-B763-C88FDAF7FDB5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7" name="TextBox 6">
          <a:extLst>
            <a:ext uri="{FF2B5EF4-FFF2-40B4-BE49-F238E27FC236}">
              <a16:creationId xmlns:a16="http://schemas.microsoft.com/office/drawing/2014/main" id="{35ED8F6B-0C27-4693-B079-BF91E9C8347D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8" name="TextBox 7">
          <a:extLst>
            <a:ext uri="{FF2B5EF4-FFF2-40B4-BE49-F238E27FC236}">
              <a16:creationId xmlns:a16="http://schemas.microsoft.com/office/drawing/2014/main" id="{5721DA5B-C9CF-4C2E-9050-2761D6D127BE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09" name="TextBox 8">
          <a:extLst>
            <a:ext uri="{FF2B5EF4-FFF2-40B4-BE49-F238E27FC236}">
              <a16:creationId xmlns:a16="http://schemas.microsoft.com/office/drawing/2014/main" id="{1978A62E-5963-4D81-95C9-CB8BC0999C2B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0" name="TextBox 2">
          <a:extLst>
            <a:ext uri="{FF2B5EF4-FFF2-40B4-BE49-F238E27FC236}">
              <a16:creationId xmlns:a16="http://schemas.microsoft.com/office/drawing/2014/main" id="{B9783045-376E-4402-A137-747E4E747EDD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1" name="TextBox 4">
          <a:extLst>
            <a:ext uri="{FF2B5EF4-FFF2-40B4-BE49-F238E27FC236}">
              <a16:creationId xmlns:a16="http://schemas.microsoft.com/office/drawing/2014/main" id="{31A7E2A3-074E-436F-850E-AA0C19F3C559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2" name="TextBox 5">
          <a:extLst>
            <a:ext uri="{FF2B5EF4-FFF2-40B4-BE49-F238E27FC236}">
              <a16:creationId xmlns:a16="http://schemas.microsoft.com/office/drawing/2014/main" id="{F428B4D6-B7DF-4B8E-96F6-139C37B4412E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3" name="TextBox 6">
          <a:extLst>
            <a:ext uri="{FF2B5EF4-FFF2-40B4-BE49-F238E27FC236}">
              <a16:creationId xmlns:a16="http://schemas.microsoft.com/office/drawing/2014/main" id="{1D471131-D5D8-4107-97FB-CC2F4CABCDA6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4" name="TextBox 7">
          <a:extLst>
            <a:ext uri="{FF2B5EF4-FFF2-40B4-BE49-F238E27FC236}">
              <a16:creationId xmlns:a16="http://schemas.microsoft.com/office/drawing/2014/main" id="{B7E7CD7F-5942-4A66-B6D4-F9946A417609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5" name="TextBox 8">
          <a:extLst>
            <a:ext uri="{FF2B5EF4-FFF2-40B4-BE49-F238E27FC236}">
              <a16:creationId xmlns:a16="http://schemas.microsoft.com/office/drawing/2014/main" id="{7354F645-9927-441D-8BCB-89DE3580BA40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6" name="TextBox 2">
          <a:extLst>
            <a:ext uri="{FF2B5EF4-FFF2-40B4-BE49-F238E27FC236}">
              <a16:creationId xmlns:a16="http://schemas.microsoft.com/office/drawing/2014/main" id="{03B4E171-1ACE-4128-987A-DC202F04B60E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7" name="TextBox 4">
          <a:extLst>
            <a:ext uri="{FF2B5EF4-FFF2-40B4-BE49-F238E27FC236}">
              <a16:creationId xmlns:a16="http://schemas.microsoft.com/office/drawing/2014/main" id="{87F62CFD-55A9-475A-BA6F-AADB25FEA28A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8" name="TextBox 5">
          <a:extLst>
            <a:ext uri="{FF2B5EF4-FFF2-40B4-BE49-F238E27FC236}">
              <a16:creationId xmlns:a16="http://schemas.microsoft.com/office/drawing/2014/main" id="{5AD93546-630A-4509-9C99-2CBC82F4F234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19" name="TextBox 6">
          <a:extLst>
            <a:ext uri="{FF2B5EF4-FFF2-40B4-BE49-F238E27FC236}">
              <a16:creationId xmlns:a16="http://schemas.microsoft.com/office/drawing/2014/main" id="{C7CFF764-2807-46E4-B297-1DC94CCE1CED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0" name="TextBox 7">
          <a:extLst>
            <a:ext uri="{FF2B5EF4-FFF2-40B4-BE49-F238E27FC236}">
              <a16:creationId xmlns:a16="http://schemas.microsoft.com/office/drawing/2014/main" id="{5F591CFE-2794-47F8-98AC-A5E97D4E2984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1" name="TextBox 8">
          <a:extLst>
            <a:ext uri="{FF2B5EF4-FFF2-40B4-BE49-F238E27FC236}">
              <a16:creationId xmlns:a16="http://schemas.microsoft.com/office/drawing/2014/main" id="{14D871F5-12CF-49B4-8202-E99D07755E3B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2" name="TextBox 2">
          <a:extLst>
            <a:ext uri="{FF2B5EF4-FFF2-40B4-BE49-F238E27FC236}">
              <a16:creationId xmlns:a16="http://schemas.microsoft.com/office/drawing/2014/main" id="{E7441541-5DB3-4638-A010-1D72E8298721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3" name="TextBox 4">
          <a:extLst>
            <a:ext uri="{FF2B5EF4-FFF2-40B4-BE49-F238E27FC236}">
              <a16:creationId xmlns:a16="http://schemas.microsoft.com/office/drawing/2014/main" id="{7CA94BF8-9FB5-474A-9A9E-9CE8EBA97449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4" name="TextBox 5">
          <a:extLst>
            <a:ext uri="{FF2B5EF4-FFF2-40B4-BE49-F238E27FC236}">
              <a16:creationId xmlns:a16="http://schemas.microsoft.com/office/drawing/2014/main" id="{10199040-7D64-41FD-AEE2-BB1020EF0F46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5" name="TextBox 6">
          <a:extLst>
            <a:ext uri="{FF2B5EF4-FFF2-40B4-BE49-F238E27FC236}">
              <a16:creationId xmlns:a16="http://schemas.microsoft.com/office/drawing/2014/main" id="{C03BAD2E-E18B-436E-A3A9-22387B4F3B07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6" name="TextBox 7">
          <a:extLst>
            <a:ext uri="{FF2B5EF4-FFF2-40B4-BE49-F238E27FC236}">
              <a16:creationId xmlns:a16="http://schemas.microsoft.com/office/drawing/2014/main" id="{1F95998F-C629-491D-A227-76E847AE56B0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7" name="TextBox 8">
          <a:extLst>
            <a:ext uri="{FF2B5EF4-FFF2-40B4-BE49-F238E27FC236}">
              <a16:creationId xmlns:a16="http://schemas.microsoft.com/office/drawing/2014/main" id="{7B8065CB-0569-41B0-A4F7-9D3A86505733}"/>
            </a:ext>
          </a:extLst>
        </xdr:cNvPr>
        <xdr:cNvSpPr txBox="1"/>
      </xdr:nvSpPr>
      <xdr:spPr>
        <a:xfrm flipH="1"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8" name="TextBox 2">
          <a:extLst>
            <a:ext uri="{FF2B5EF4-FFF2-40B4-BE49-F238E27FC236}">
              <a16:creationId xmlns:a16="http://schemas.microsoft.com/office/drawing/2014/main" id="{75367A07-9E08-428A-A800-E858B4C5D015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29" name="TextBox 4">
          <a:extLst>
            <a:ext uri="{FF2B5EF4-FFF2-40B4-BE49-F238E27FC236}">
              <a16:creationId xmlns:a16="http://schemas.microsoft.com/office/drawing/2014/main" id="{45753099-3139-4F12-A5EC-A818F84EABAC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0" name="TextBox 5">
          <a:extLst>
            <a:ext uri="{FF2B5EF4-FFF2-40B4-BE49-F238E27FC236}">
              <a16:creationId xmlns:a16="http://schemas.microsoft.com/office/drawing/2014/main" id="{74A2B6A7-F8A5-4A3F-80D8-5C36EAE344E2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1" name="TextBox 6">
          <a:extLst>
            <a:ext uri="{FF2B5EF4-FFF2-40B4-BE49-F238E27FC236}">
              <a16:creationId xmlns:a16="http://schemas.microsoft.com/office/drawing/2014/main" id="{129EDF9F-1BA4-46E7-A4C2-16AFDB4E3BD1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2" name="TextBox 7">
          <a:extLst>
            <a:ext uri="{FF2B5EF4-FFF2-40B4-BE49-F238E27FC236}">
              <a16:creationId xmlns:a16="http://schemas.microsoft.com/office/drawing/2014/main" id="{5658A6C8-EED7-424C-B3FF-E84A3E5FD2E9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3" name="TextBox 8">
          <a:extLst>
            <a:ext uri="{FF2B5EF4-FFF2-40B4-BE49-F238E27FC236}">
              <a16:creationId xmlns:a16="http://schemas.microsoft.com/office/drawing/2014/main" id="{F6ADC834-613E-40A2-A72F-1CB24A893342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4" name="TextBox 2">
          <a:extLst>
            <a:ext uri="{FF2B5EF4-FFF2-40B4-BE49-F238E27FC236}">
              <a16:creationId xmlns:a16="http://schemas.microsoft.com/office/drawing/2014/main" id="{FA597BA8-5C95-4135-8CF8-278767F8783C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5" name="TextBox 4">
          <a:extLst>
            <a:ext uri="{FF2B5EF4-FFF2-40B4-BE49-F238E27FC236}">
              <a16:creationId xmlns:a16="http://schemas.microsoft.com/office/drawing/2014/main" id="{A953D41F-B8EA-474A-95C3-1497E2FDFE43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6" name="TextBox 5">
          <a:extLst>
            <a:ext uri="{FF2B5EF4-FFF2-40B4-BE49-F238E27FC236}">
              <a16:creationId xmlns:a16="http://schemas.microsoft.com/office/drawing/2014/main" id="{5D9E3A26-7B77-4755-8959-3B2044755FC0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7" name="TextBox 6">
          <a:extLst>
            <a:ext uri="{FF2B5EF4-FFF2-40B4-BE49-F238E27FC236}">
              <a16:creationId xmlns:a16="http://schemas.microsoft.com/office/drawing/2014/main" id="{AA8F96B9-81D7-46A7-839F-6A35B01B5A56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8" name="TextBox 7">
          <a:extLst>
            <a:ext uri="{FF2B5EF4-FFF2-40B4-BE49-F238E27FC236}">
              <a16:creationId xmlns:a16="http://schemas.microsoft.com/office/drawing/2014/main" id="{0FDA8D14-164F-47C2-83B6-A06FC00957C4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39" name="TextBox 8">
          <a:extLst>
            <a:ext uri="{FF2B5EF4-FFF2-40B4-BE49-F238E27FC236}">
              <a16:creationId xmlns:a16="http://schemas.microsoft.com/office/drawing/2014/main" id="{ADD55B90-A698-4E5D-8B59-874976B6F245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0" name="TextBox 2">
          <a:extLst>
            <a:ext uri="{FF2B5EF4-FFF2-40B4-BE49-F238E27FC236}">
              <a16:creationId xmlns:a16="http://schemas.microsoft.com/office/drawing/2014/main" id="{B436EC41-A303-48EB-94BC-5B6967252027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1" name="TextBox 4">
          <a:extLst>
            <a:ext uri="{FF2B5EF4-FFF2-40B4-BE49-F238E27FC236}">
              <a16:creationId xmlns:a16="http://schemas.microsoft.com/office/drawing/2014/main" id="{FAFBAD39-744B-406D-B5E6-F4804F4CB41F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2" name="TextBox 5">
          <a:extLst>
            <a:ext uri="{FF2B5EF4-FFF2-40B4-BE49-F238E27FC236}">
              <a16:creationId xmlns:a16="http://schemas.microsoft.com/office/drawing/2014/main" id="{6CA42303-8A8F-4465-AD17-73DBD15EBC9D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3" name="TextBox 6">
          <a:extLst>
            <a:ext uri="{FF2B5EF4-FFF2-40B4-BE49-F238E27FC236}">
              <a16:creationId xmlns:a16="http://schemas.microsoft.com/office/drawing/2014/main" id="{9CB7AEDA-8346-4787-8D94-2A63DF378155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4" name="TextBox 7">
          <a:extLst>
            <a:ext uri="{FF2B5EF4-FFF2-40B4-BE49-F238E27FC236}">
              <a16:creationId xmlns:a16="http://schemas.microsoft.com/office/drawing/2014/main" id="{4F4D04BD-DBA0-4E9F-9D23-B32AF5DDF97D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5" name="TextBox 8">
          <a:extLst>
            <a:ext uri="{FF2B5EF4-FFF2-40B4-BE49-F238E27FC236}">
              <a16:creationId xmlns:a16="http://schemas.microsoft.com/office/drawing/2014/main" id="{2DD4D228-6BF0-4CEE-8E70-CE4001E08397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6" name="TextBox 2">
          <a:extLst>
            <a:ext uri="{FF2B5EF4-FFF2-40B4-BE49-F238E27FC236}">
              <a16:creationId xmlns:a16="http://schemas.microsoft.com/office/drawing/2014/main" id="{6829FC06-546F-4A55-A629-1C4E661CD7C7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7" name="TextBox 4">
          <a:extLst>
            <a:ext uri="{FF2B5EF4-FFF2-40B4-BE49-F238E27FC236}">
              <a16:creationId xmlns:a16="http://schemas.microsoft.com/office/drawing/2014/main" id="{1FD2C9DB-A50D-4DA2-BAD9-3A8FD8609697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8" name="TextBox 5">
          <a:extLst>
            <a:ext uri="{FF2B5EF4-FFF2-40B4-BE49-F238E27FC236}">
              <a16:creationId xmlns:a16="http://schemas.microsoft.com/office/drawing/2014/main" id="{6D92BEAF-B42C-4DFB-B070-835FFFFC9442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49" name="TextBox 6">
          <a:extLst>
            <a:ext uri="{FF2B5EF4-FFF2-40B4-BE49-F238E27FC236}">
              <a16:creationId xmlns:a16="http://schemas.microsoft.com/office/drawing/2014/main" id="{A7C6142C-9E1A-4898-B366-0AFAEF58D0BF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0" name="TextBox 7">
          <a:extLst>
            <a:ext uri="{FF2B5EF4-FFF2-40B4-BE49-F238E27FC236}">
              <a16:creationId xmlns:a16="http://schemas.microsoft.com/office/drawing/2014/main" id="{E101A139-5B87-4E15-B10C-5E8319A5C2F6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1" name="TextBox 8">
          <a:extLst>
            <a:ext uri="{FF2B5EF4-FFF2-40B4-BE49-F238E27FC236}">
              <a16:creationId xmlns:a16="http://schemas.microsoft.com/office/drawing/2014/main" id="{0FA21C20-44F3-4A59-8C43-C6658FF2AE96}"/>
            </a:ext>
          </a:extLst>
        </xdr:cNvPr>
        <xdr:cNvSpPr txBox="1"/>
      </xdr:nvSpPr>
      <xdr:spPr>
        <a:xfrm flipH="1"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2" name="TextBox 2">
          <a:extLst>
            <a:ext uri="{FF2B5EF4-FFF2-40B4-BE49-F238E27FC236}">
              <a16:creationId xmlns:a16="http://schemas.microsoft.com/office/drawing/2014/main" id="{06B6E262-3674-4CF9-8835-74A1CED5EFB9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3" name="TextBox 4">
          <a:extLst>
            <a:ext uri="{FF2B5EF4-FFF2-40B4-BE49-F238E27FC236}">
              <a16:creationId xmlns:a16="http://schemas.microsoft.com/office/drawing/2014/main" id="{4FB39006-2A28-45CE-BE4D-7E5EFC4AE105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4" name="TextBox 5">
          <a:extLst>
            <a:ext uri="{FF2B5EF4-FFF2-40B4-BE49-F238E27FC236}">
              <a16:creationId xmlns:a16="http://schemas.microsoft.com/office/drawing/2014/main" id="{BB1E97FC-F893-44F4-A586-48B68403243F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5" name="TextBox 6">
          <a:extLst>
            <a:ext uri="{FF2B5EF4-FFF2-40B4-BE49-F238E27FC236}">
              <a16:creationId xmlns:a16="http://schemas.microsoft.com/office/drawing/2014/main" id="{F23167DE-8D0F-4E7B-96A5-16BD73C84E09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6" name="TextBox 7">
          <a:extLst>
            <a:ext uri="{FF2B5EF4-FFF2-40B4-BE49-F238E27FC236}">
              <a16:creationId xmlns:a16="http://schemas.microsoft.com/office/drawing/2014/main" id="{87524EF1-516C-4D64-937F-4D52904DC509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7" name="TextBox 8">
          <a:extLst>
            <a:ext uri="{FF2B5EF4-FFF2-40B4-BE49-F238E27FC236}">
              <a16:creationId xmlns:a16="http://schemas.microsoft.com/office/drawing/2014/main" id="{D6B5553D-BD13-45FD-87F7-5EB34891FC0D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8" name="TextBox 2">
          <a:extLst>
            <a:ext uri="{FF2B5EF4-FFF2-40B4-BE49-F238E27FC236}">
              <a16:creationId xmlns:a16="http://schemas.microsoft.com/office/drawing/2014/main" id="{6172B117-6F72-4EFB-8FD5-31490B2A87EB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59" name="TextBox 4">
          <a:extLst>
            <a:ext uri="{FF2B5EF4-FFF2-40B4-BE49-F238E27FC236}">
              <a16:creationId xmlns:a16="http://schemas.microsoft.com/office/drawing/2014/main" id="{874532BE-0756-460D-B693-6B6DB2282DE6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0" name="TextBox 5">
          <a:extLst>
            <a:ext uri="{FF2B5EF4-FFF2-40B4-BE49-F238E27FC236}">
              <a16:creationId xmlns:a16="http://schemas.microsoft.com/office/drawing/2014/main" id="{06797A99-97F5-4CB3-815C-52275A58183E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1" name="TextBox 6">
          <a:extLst>
            <a:ext uri="{FF2B5EF4-FFF2-40B4-BE49-F238E27FC236}">
              <a16:creationId xmlns:a16="http://schemas.microsoft.com/office/drawing/2014/main" id="{F58C03E8-BB80-40F6-9C9C-785A349EA18E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2" name="TextBox 7">
          <a:extLst>
            <a:ext uri="{FF2B5EF4-FFF2-40B4-BE49-F238E27FC236}">
              <a16:creationId xmlns:a16="http://schemas.microsoft.com/office/drawing/2014/main" id="{078D4760-7AC7-4561-ADE3-106668DFAF11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3" name="TextBox 8">
          <a:extLst>
            <a:ext uri="{FF2B5EF4-FFF2-40B4-BE49-F238E27FC236}">
              <a16:creationId xmlns:a16="http://schemas.microsoft.com/office/drawing/2014/main" id="{C9987425-0845-4B27-A5C6-02ADF3C0E5E1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4" name="TextBox 2">
          <a:extLst>
            <a:ext uri="{FF2B5EF4-FFF2-40B4-BE49-F238E27FC236}">
              <a16:creationId xmlns:a16="http://schemas.microsoft.com/office/drawing/2014/main" id="{A094E170-CC7E-4889-84AB-CAE848FE7D80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5" name="TextBox 4">
          <a:extLst>
            <a:ext uri="{FF2B5EF4-FFF2-40B4-BE49-F238E27FC236}">
              <a16:creationId xmlns:a16="http://schemas.microsoft.com/office/drawing/2014/main" id="{DF138B00-0890-41C8-8DAD-EC1EB7848D13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6" name="TextBox 5">
          <a:extLst>
            <a:ext uri="{FF2B5EF4-FFF2-40B4-BE49-F238E27FC236}">
              <a16:creationId xmlns:a16="http://schemas.microsoft.com/office/drawing/2014/main" id="{646306DA-91AF-4532-8EA1-BE57227ED229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7" name="TextBox 6">
          <a:extLst>
            <a:ext uri="{FF2B5EF4-FFF2-40B4-BE49-F238E27FC236}">
              <a16:creationId xmlns:a16="http://schemas.microsoft.com/office/drawing/2014/main" id="{86B97231-278D-4344-A428-9BBCB3BCF6E9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8" name="TextBox 7">
          <a:extLst>
            <a:ext uri="{FF2B5EF4-FFF2-40B4-BE49-F238E27FC236}">
              <a16:creationId xmlns:a16="http://schemas.microsoft.com/office/drawing/2014/main" id="{901A9014-95D2-4BB2-B6D6-034D108BF2ED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69" name="TextBox 8">
          <a:extLst>
            <a:ext uri="{FF2B5EF4-FFF2-40B4-BE49-F238E27FC236}">
              <a16:creationId xmlns:a16="http://schemas.microsoft.com/office/drawing/2014/main" id="{1D11AC9B-A569-41C2-B3D1-775F1AE906BF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0" name="TextBox 2">
          <a:extLst>
            <a:ext uri="{FF2B5EF4-FFF2-40B4-BE49-F238E27FC236}">
              <a16:creationId xmlns:a16="http://schemas.microsoft.com/office/drawing/2014/main" id="{2382B28D-F653-4FBF-8E3E-7FF345EF717D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1" name="TextBox 4">
          <a:extLst>
            <a:ext uri="{FF2B5EF4-FFF2-40B4-BE49-F238E27FC236}">
              <a16:creationId xmlns:a16="http://schemas.microsoft.com/office/drawing/2014/main" id="{5E323DD6-2616-4310-BB7E-74DA9A2A691B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2" name="TextBox 5">
          <a:extLst>
            <a:ext uri="{FF2B5EF4-FFF2-40B4-BE49-F238E27FC236}">
              <a16:creationId xmlns:a16="http://schemas.microsoft.com/office/drawing/2014/main" id="{09C4ABE3-4607-4AFD-A5E9-AE4DFFA740BE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3" name="TextBox 6">
          <a:extLst>
            <a:ext uri="{FF2B5EF4-FFF2-40B4-BE49-F238E27FC236}">
              <a16:creationId xmlns:a16="http://schemas.microsoft.com/office/drawing/2014/main" id="{9092093C-3BB1-44BA-99B3-8DE62C8E0F84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4" name="TextBox 7">
          <a:extLst>
            <a:ext uri="{FF2B5EF4-FFF2-40B4-BE49-F238E27FC236}">
              <a16:creationId xmlns:a16="http://schemas.microsoft.com/office/drawing/2014/main" id="{2D67873E-8588-47FA-95F8-0C4E8988F543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5" name="TextBox 8">
          <a:extLst>
            <a:ext uri="{FF2B5EF4-FFF2-40B4-BE49-F238E27FC236}">
              <a16:creationId xmlns:a16="http://schemas.microsoft.com/office/drawing/2014/main" id="{2C146157-5A00-467F-A669-C9028AAA16EF}"/>
            </a:ext>
          </a:extLst>
        </xdr:cNvPr>
        <xdr:cNvSpPr txBox="1"/>
      </xdr:nvSpPr>
      <xdr:spPr>
        <a:xfrm flipH="1">
          <a:off x="1909762" y="311848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6" name="TextBox 5">
          <a:extLst>
            <a:ext uri="{FF2B5EF4-FFF2-40B4-BE49-F238E27FC236}">
              <a16:creationId xmlns:a16="http://schemas.microsoft.com/office/drawing/2014/main" id="{0E4977F8-2632-40F4-BBF8-2BF730CD464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7" name="TextBox 6">
          <a:extLst>
            <a:ext uri="{FF2B5EF4-FFF2-40B4-BE49-F238E27FC236}">
              <a16:creationId xmlns:a16="http://schemas.microsoft.com/office/drawing/2014/main" id="{F86B0C98-E49C-4D04-8389-09601E9118D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8" name="TextBox 7">
          <a:extLst>
            <a:ext uri="{FF2B5EF4-FFF2-40B4-BE49-F238E27FC236}">
              <a16:creationId xmlns:a16="http://schemas.microsoft.com/office/drawing/2014/main" id="{69DA076E-BDDF-4B23-9F3B-4E228F63BD2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79" name="TextBox 8">
          <a:extLst>
            <a:ext uri="{FF2B5EF4-FFF2-40B4-BE49-F238E27FC236}">
              <a16:creationId xmlns:a16="http://schemas.microsoft.com/office/drawing/2014/main" id="{AADBDD46-4214-46B6-A33F-94F7ACB26DC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0" name="TextBox 6680">
          <a:extLst>
            <a:ext uri="{FF2B5EF4-FFF2-40B4-BE49-F238E27FC236}">
              <a16:creationId xmlns:a16="http://schemas.microsoft.com/office/drawing/2014/main" id="{08F5FC64-6C64-42B3-93E2-47DA7DC7E51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1" name="TextBox 6681">
          <a:extLst>
            <a:ext uri="{FF2B5EF4-FFF2-40B4-BE49-F238E27FC236}">
              <a16:creationId xmlns:a16="http://schemas.microsoft.com/office/drawing/2014/main" id="{A7626474-0187-43F2-A981-E455467B43B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2" name="TextBox 6682">
          <a:extLst>
            <a:ext uri="{FF2B5EF4-FFF2-40B4-BE49-F238E27FC236}">
              <a16:creationId xmlns:a16="http://schemas.microsoft.com/office/drawing/2014/main" id="{D25518FA-2626-48F4-9428-6FBD5622357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3" name="TextBox 6683">
          <a:extLst>
            <a:ext uri="{FF2B5EF4-FFF2-40B4-BE49-F238E27FC236}">
              <a16:creationId xmlns:a16="http://schemas.microsoft.com/office/drawing/2014/main" id="{D39B01FD-CB96-41F4-BF4D-A9FD97245A5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4" name="TextBox 2">
          <a:extLst>
            <a:ext uri="{FF2B5EF4-FFF2-40B4-BE49-F238E27FC236}">
              <a16:creationId xmlns:a16="http://schemas.microsoft.com/office/drawing/2014/main" id="{40CE51EE-A86B-4246-AA28-CC5717584D3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5" name="TextBox 4">
          <a:extLst>
            <a:ext uri="{FF2B5EF4-FFF2-40B4-BE49-F238E27FC236}">
              <a16:creationId xmlns:a16="http://schemas.microsoft.com/office/drawing/2014/main" id="{B39CDE12-CF09-40E5-97D8-9334C619DB0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6" name="TextBox 5">
          <a:extLst>
            <a:ext uri="{FF2B5EF4-FFF2-40B4-BE49-F238E27FC236}">
              <a16:creationId xmlns:a16="http://schemas.microsoft.com/office/drawing/2014/main" id="{00E7041D-7A78-4FCF-B5F9-09DEB9F0BF7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7" name="TextBox 6">
          <a:extLst>
            <a:ext uri="{FF2B5EF4-FFF2-40B4-BE49-F238E27FC236}">
              <a16:creationId xmlns:a16="http://schemas.microsoft.com/office/drawing/2014/main" id="{0C5A5ED0-7FBB-4D06-B7CA-37B9286262C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8" name="TextBox 7">
          <a:extLst>
            <a:ext uri="{FF2B5EF4-FFF2-40B4-BE49-F238E27FC236}">
              <a16:creationId xmlns:a16="http://schemas.microsoft.com/office/drawing/2014/main" id="{F6FB16F8-EBD4-4419-A95C-CD1603979DF9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89" name="TextBox 8">
          <a:extLst>
            <a:ext uri="{FF2B5EF4-FFF2-40B4-BE49-F238E27FC236}">
              <a16:creationId xmlns:a16="http://schemas.microsoft.com/office/drawing/2014/main" id="{A51E94FD-424B-4E6C-9583-9A60EDED2BB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0" name="TextBox 6690">
          <a:extLst>
            <a:ext uri="{FF2B5EF4-FFF2-40B4-BE49-F238E27FC236}">
              <a16:creationId xmlns:a16="http://schemas.microsoft.com/office/drawing/2014/main" id="{69C321C6-BC70-455A-B710-D457248245F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1" name="TextBox 6691">
          <a:extLst>
            <a:ext uri="{FF2B5EF4-FFF2-40B4-BE49-F238E27FC236}">
              <a16:creationId xmlns:a16="http://schemas.microsoft.com/office/drawing/2014/main" id="{C0A91948-EDF3-4744-80B4-C2F4476935D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2" name="TextBox 6692">
          <a:extLst>
            <a:ext uri="{FF2B5EF4-FFF2-40B4-BE49-F238E27FC236}">
              <a16:creationId xmlns:a16="http://schemas.microsoft.com/office/drawing/2014/main" id="{69CA359D-0326-4F64-ABC9-9CC49EB2EDF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3" name="TextBox 6693">
          <a:extLst>
            <a:ext uri="{FF2B5EF4-FFF2-40B4-BE49-F238E27FC236}">
              <a16:creationId xmlns:a16="http://schemas.microsoft.com/office/drawing/2014/main" id="{3470CFB4-AB5C-405C-8A60-11276811085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4" name="TextBox 15">
          <a:extLst>
            <a:ext uri="{FF2B5EF4-FFF2-40B4-BE49-F238E27FC236}">
              <a16:creationId xmlns:a16="http://schemas.microsoft.com/office/drawing/2014/main" id="{4785960D-0EF5-4F57-A310-0AFBB7F5CCB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5" name="TextBox 16">
          <a:extLst>
            <a:ext uri="{FF2B5EF4-FFF2-40B4-BE49-F238E27FC236}">
              <a16:creationId xmlns:a16="http://schemas.microsoft.com/office/drawing/2014/main" id="{A70FA2BE-FCE6-4D17-970B-CA27F6F13BF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6" name="TextBox 17">
          <a:extLst>
            <a:ext uri="{FF2B5EF4-FFF2-40B4-BE49-F238E27FC236}">
              <a16:creationId xmlns:a16="http://schemas.microsoft.com/office/drawing/2014/main" id="{8D419EDB-D737-41FD-93C0-EEBA67CE09D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7" name="TextBox 18">
          <a:extLst>
            <a:ext uri="{FF2B5EF4-FFF2-40B4-BE49-F238E27FC236}">
              <a16:creationId xmlns:a16="http://schemas.microsoft.com/office/drawing/2014/main" id="{F42705AB-5F6D-4217-8ADB-230E4B13E02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8" name="TextBox 6698">
          <a:extLst>
            <a:ext uri="{FF2B5EF4-FFF2-40B4-BE49-F238E27FC236}">
              <a16:creationId xmlns:a16="http://schemas.microsoft.com/office/drawing/2014/main" id="{5C1F92F3-A329-403E-866C-AB1E37012B3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299" name="TextBox 6699">
          <a:extLst>
            <a:ext uri="{FF2B5EF4-FFF2-40B4-BE49-F238E27FC236}">
              <a16:creationId xmlns:a16="http://schemas.microsoft.com/office/drawing/2014/main" id="{D9CF4419-DC6B-4A32-9355-12254B00AFA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0" name="TextBox 1">
          <a:extLst>
            <a:ext uri="{FF2B5EF4-FFF2-40B4-BE49-F238E27FC236}">
              <a16:creationId xmlns:a16="http://schemas.microsoft.com/office/drawing/2014/main" id="{249B17FD-7F5A-4E8E-9626-FFE37E3B21B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1" name="TextBox 3">
          <a:extLst>
            <a:ext uri="{FF2B5EF4-FFF2-40B4-BE49-F238E27FC236}">
              <a16:creationId xmlns:a16="http://schemas.microsoft.com/office/drawing/2014/main" id="{B441D4A6-9D88-451D-9C12-82D7C18CCE0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2" name="TextBox 6702">
          <a:extLst>
            <a:ext uri="{FF2B5EF4-FFF2-40B4-BE49-F238E27FC236}">
              <a16:creationId xmlns:a16="http://schemas.microsoft.com/office/drawing/2014/main" id="{F4005F3C-7ABB-4A79-8E69-09A21F1ED8D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3" name="TextBox 6703">
          <a:extLst>
            <a:ext uri="{FF2B5EF4-FFF2-40B4-BE49-F238E27FC236}">
              <a16:creationId xmlns:a16="http://schemas.microsoft.com/office/drawing/2014/main" id="{B893A8F1-00BA-4C22-8565-24C99CD378D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4" name="TextBox 6704">
          <a:extLst>
            <a:ext uri="{FF2B5EF4-FFF2-40B4-BE49-F238E27FC236}">
              <a16:creationId xmlns:a16="http://schemas.microsoft.com/office/drawing/2014/main" id="{D917B9B2-E778-4414-AE4C-F254F26F497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5" name="TextBox 6705">
          <a:extLst>
            <a:ext uri="{FF2B5EF4-FFF2-40B4-BE49-F238E27FC236}">
              <a16:creationId xmlns:a16="http://schemas.microsoft.com/office/drawing/2014/main" id="{B924D7BA-2A88-4B0E-8A47-99B29F1754E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6" name="TextBox 6706">
          <a:extLst>
            <a:ext uri="{FF2B5EF4-FFF2-40B4-BE49-F238E27FC236}">
              <a16:creationId xmlns:a16="http://schemas.microsoft.com/office/drawing/2014/main" id="{F656853C-F129-4AF1-9ED8-38AD03DBD7C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7" name="TextBox 6707">
          <a:extLst>
            <a:ext uri="{FF2B5EF4-FFF2-40B4-BE49-F238E27FC236}">
              <a16:creationId xmlns:a16="http://schemas.microsoft.com/office/drawing/2014/main" id="{BCF0993B-E371-484C-9892-33AFC9D3031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8" name="TextBox 6708">
          <a:extLst>
            <a:ext uri="{FF2B5EF4-FFF2-40B4-BE49-F238E27FC236}">
              <a16:creationId xmlns:a16="http://schemas.microsoft.com/office/drawing/2014/main" id="{C6A1B0F0-0857-48D7-B115-633D427FD08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09" name="TextBox 6709">
          <a:extLst>
            <a:ext uri="{FF2B5EF4-FFF2-40B4-BE49-F238E27FC236}">
              <a16:creationId xmlns:a16="http://schemas.microsoft.com/office/drawing/2014/main" id="{E33513D2-BF25-4E1E-8B85-DD99B2AC198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0" name="TextBox 6710">
          <a:extLst>
            <a:ext uri="{FF2B5EF4-FFF2-40B4-BE49-F238E27FC236}">
              <a16:creationId xmlns:a16="http://schemas.microsoft.com/office/drawing/2014/main" id="{EC88A14E-E96F-4EAB-B1BC-B05ABDF26F3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1" name="TextBox 6711">
          <a:extLst>
            <a:ext uri="{FF2B5EF4-FFF2-40B4-BE49-F238E27FC236}">
              <a16:creationId xmlns:a16="http://schemas.microsoft.com/office/drawing/2014/main" id="{48DBEB6E-71EE-4424-B8AB-C26CBBB6F0E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2" name="TextBox 13">
          <a:extLst>
            <a:ext uri="{FF2B5EF4-FFF2-40B4-BE49-F238E27FC236}">
              <a16:creationId xmlns:a16="http://schemas.microsoft.com/office/drawing/2014/main" id="{B941F090-6F3A-4214-8734-73532971862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3" name="TextBox 14">
          <a:extLst>
            <a:ext uri="{FF2B5EF4-FFF2-40B4-BE49-F238E27FC236}">
              <a16:creationId xmlns:a16="http://schemas.microsoft.com/office/drawing/2014/main" id="{C07EBD3C-D5C7-426C-B52D-40BDC86E933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4" name="TextBox 6714">
          <a:extLst>
            <a:ext uri="{FF2B5EF4-FFF2-40B4-BE49-F238E27FC236}">
              <a16:creationId xmlns:a16="http://schemas.microsoft.com/office/drawing/2014/main" id="{173583BD-5CFF-4315-A445-C4BED4F1ED2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5" name="TextBox 6715">
          <a:extLst>
            <a:ext uri="{FF2B5EF4-FFF2-40B4-BE49-F238E27FC236}">
              <a16:creationId xmlns:a16="http://schemas.microsoft.com/office/drawing/2014/main" id="{883B1B56-740F-4E5F-9F8A-F5C8CA98027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6" name="TextBox 6716">
          <a:extLst>
            <a:ext uri="{FF2B5EF4-FFF2-40B4-BE49-F238E27FC236}">
              <a16:creationId xmlns:a16="http://schemas.microsoft.com/office/drawing/2014/main" id="{BE1405B1-1978-4CEF-9ACB-B64DB1D3890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7" name="TextBox 6717">
          <a:extLst>
            <a:ext uri="{FF2B5EF4-FFF2-40B4-BE49-F238E27FC236}">
              <a16:creationId xmlns:a16="http://schemas.microsoft.com/office/drawing/2014/main" id="{B18720C7-9824-4C90-8288-15635F597C1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8" name="TextBox 15">
          <a:extLst>
            <a:ext uri="{FF2B5EF4-FFF2-40B4-BE49-F238E27FC236}">
              <a16:creationId xmlns:a16="http://schemas.microsoft.com/office/drawing/2014/main" id="{C7E8E23A-6E57-4F32-869C-62682E76190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19" name="TextBox 16">
          <a:extLst>
            <a:ext uri="{FF2B5EF4-FFF2-40B4-BE49-F238E27FC236}">
              <a16:creationId xmlns:a16="http://schemas.microsoft.com/office/drawing/2014/main" id="{682EFDF1-D379-4D04-96EE-D74B8AB4E01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0" name="TextBox 17">
          <a:extLst>
            <a:ext uri="{FF2B5EF4-FFF2-40B4-BE49-F238E27FC236}">
              <a16:creationId xmlns:a16="http://schemas.microsoft.com/office/drawing/2014/main" id="{8ABAEFEB-8A5C-4889-915A-72B34F7BAEC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1" name="TextBox 18">
          <a:extLst>
            <a:ext uri="{FF2B5EF4-FFF2-40B4-BE49-F238E27FC236}">
              <a16:creationId xmlns:a16="http://schemas.microsoft.com/office/drawing/2014/main" id="{0A0DDAFF-599B-49D8-BCE9-462828E54CE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2" name="TextBox 6722">
          <a:extLst>
            <a:ext uri="{FF2B5EF4-FFF2-40B4-BE49-F238E27FC236}">
              <a16:creationId xmlns:a16="http://schemas.microsoft.com/office/drawing/2014/main" id="{A2711302-2838-4D2D-A302-F97A1C09D57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3" name="TextBox 6723">
          <a:extLst>
            <a:ext uri="{FF2B5EF4-FFF2-40B4-BE49-F238E27FC236}">
              <a16:creationId xmlns:a16="http://schemas.microsoft.com/office/drawing/2014/main" id="{4322D2ED-03AE-44EA-9D3B-E23C0BC84A1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4" name="TextBox 1">
          <a:extLst>
            <a:ext uri="{FF2B5EF4-FFF2-40B4-BE49-F238E27FC236}">
              <a16:creationId xmlns:a16="http://schemas.microsoft.com/office/drawing/2014/main" id="{59EED7BF-CAE8-47FE-821C-9C2281C0557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5" name="TextBox 3">
          <a:extLst>
            <a:ext uri="{FF2B5EF4-FFF2-40B4-BE49-F238E27FC236}">
              <a16:creationId xmlns:a16="http://schemas.microsoft.com/office/drawing/2014/main" id="{E8469C77-C933-40EE-B6E2-3CE75D5AD04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6" name="TextBox 6726">
          <a:extLst>
            <a:ext uri="{FF2B5EF4-FFF2-40B4-BE49-F238E27FC236}">
              <a16:creationId xmlns:a16="http://schemas.microsoft.com/office/drawing/2014/main" id="{3E76A769-FBE0-495F-9E93-B7C2FFE7A43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7" name="TextBox 6727">
          <a:extLst>
            <a:ext uri="{FF2B5EF4-FFF2-40B4-BE49-F238E27FC236}">
              <a16:creationId xmlns:a16="http://schemas.microsoft.com/office/drawing/2014/main" id="{8DB22695-06E3-42E9-A1C5-12B455385D1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8" name="TextBox 6728">
          <a:extLst>
            <a:ext uri="{FF2B5EF4-FFF2-40B4-BE49-F238E27FC236}">
              <a16:creationId xmlns:a16="http://schemas.microsoft.com/office/drawing/2014/main" id="{48261602-0AEF-424C-BCB1-00310FEC02E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29" name="TextBox 6729">
          <a:extLst>
            <a:ext uri="{FF2B5EF4-FFF2-40B4-BE49-F238E27FC236}">
              <a16:creationId xmlns:a16="http://schemas.microsoft.com/office/drawing/2014/main" id="{2D87D63A-5D3F-403B-839D-86E9A7B0879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0" name="TextBox 6730">
          <a:extLst>
            <a:ext uri="{FF2B5EF4-FFF2-40B4-BE49-F238E27FC236}">
              <a16:creationId xmlns:a16="http://schemas.microsoft.com/office/drawing/2014/main" id="{5701AECE-44CB-4BDC-B687-168B65FF21F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1" name="TextBox 6731">
          <a:extLst>
            <a:ext uri="{FF2B5EF4-FFF2-40B4-BE49-F238E27FC236}">
              <a16:creationId xmlns:a16="http://schemas.microsoft.com/office/drawing/2014/main" id="{1CF64788-CE35-425C-A0C1-7C8F9D6E1B7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2" name="TextBox 6732">
          <a:extLst>
            <a:ext uri="{FF2B5EF4-FFF2-40B4-BE49-F238E27FC236}">
              <a16:creationId xmlns:a16="http://schemas.microsoft.com/office/drawing/2014/main" id="{A5C241B0-24BB-4A27-93A8-C8394B0BBFE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3" name="TextBox 6733">
          <a:extLst>
            <a:ext uri="{FF2B5EF4-FFF2-40B4-BE49-F238E27FC236}">
              <a16:creationId xmlns:a16="http://schemas.microsoft.com/office/drawing/2014/main" id="{F59888FA-4AD8-4399-AB0C-34C766402D6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4" name="TextBox 6734">
          <a:extLst>
            <a:ext uri="{FF2B5EF4-FFF2-40B4-BE49-F238E27FC236}">
              <a16:creationId xmlns:a16="http://schemas.microsoft.com/office/drawing/2014/main" id="{EBF8727B-26FD-41EE-A47F-A95408DF620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5" name="TextBox 6735">
          <a:extLst>
            <a:ext uri="{FF2B5EF4-FFF2-40B4-BE49-F238E27FC236}">
              <a16:creationId xmlns:a16="http://schemas.microsoft.com/office/drawing/2014/main" id="{09BAD5B2-A71C-41BF-A9E0-5FA7DE8E339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6" name="TextBox 13">
          <a:extLst>
            <a:ext uri="{FF2B5EF4-FFF2-40B4-BE49-F238E27FC236}">
              <a16:creationId xmlns:a16="http://schemas.microsoft.com/office/drawing/2014/main" id="{F1FAB961-FE72-4F89-9C1E-6E2C42D44DB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7" name="TextBox 14">
          <a:extLst>
            <a:ext uri="{FF2B5EF4-FFF2-40B4-BE49-F238E27FC236}">
              <a16:creationId xmlns:a16="http://schemas.microsoft.com/office/drawing/2014/main" id="{BBA0A408-3A55-4B84-980D-A15572B71AC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8" name="TextBox 6738">
          <a:extLst>
            <a:ext uri="{FF2B5EF4-FFF2-40B4-BE49-F238E27FC236}">
              <a16:creationId xmlns:a16="http://schemas.microsoft.com/office/drawing/2014/main" id="{1CEEAB34-7111-494A-A576-13CBE55A899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39" name="TextBox 6739">
          <a:extLst>
            <a:ext uri="{FF2B5EF4-FFF2-40B4-BE49-F238E27FC236}">
              <a16:creationId xmlns:a16="http://schemas.microsoft.com/office/drawing/2014/main" id="{75EAF77D-2E6C-4065-80FB-8FFB604D70B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0" name="TextBox 6740">
          <a:extLst>
            <a:ext uri="{FF2B5EF4-FFF2-40B4-BE49-F238E27FC236}">
              <a16:creationId xmlns:a16="http://schemas.microsoft.com/office/drawing/2014/main" id="{469B8940-AEDD-4DB3-9227-66F88030A65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1" name="TextBox 6741">
          <a:extLst>
            <a:ext uri="{FF2B5EF4-FFF2-40B4-BE49-F238E27FC236}">
              <a16:creationId xmlns:a16="http://schemas.microsoft.com/office/drawing/2014/main" id="{4737D8D0-59EA-4257-879B-C217F0EF4D2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2" name="TextBox 15">
          <a:extLst>
            <a:ext uri="{FF2B5EF4-FFF2-40B4-BE49-F238E27FC236}">
              <a16:creationId xmlns:a16="http://schemas.microsoft.com/office/drawing/2014/main" id="{725418EB-102C-455C-865A-86EB20F934F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3" name="TextBox 16">
          <a:extLst>
            <a:ext uri="{FF2B5EF4-FFF2-40B4-BE49-F238E27FC236}">
              <a16:creationId xmlns:a16="http://schemas.microsoft.com/office/drawing/2014/main" id="{3378384B-45DC-4311-82AE-9AA75EBA0ED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4" name="TextBox 17">
          <a:extLst>
            <a:ext uri="{FF2B5EF4-FFF2-40B4-BE49-F238E27FC236}">
              <a16:creationId xmlns:a16="http://schemas.microsoft.com/office/drawing/2014/main" id="{2E95A574-5972-418B-8F8B-EA746C9A04A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5" name="TextBox 18">
          <a:extLst>
            <a:ext uri="{FF2B5EF4-FFF2-40B4-BE49-F238E27FC236}">
              <a16:creationId xmlns:a16="http://schemas.microsoft.com/office/drawing/2014/main" id="{44794DC2-D56E-42EE-B00A-CB85B62EAA3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6" name="TextBox 6746">
          <a:extLst>
            <a:ext uri="{FF2B5EF4-FFF2-40B4-BE49-F238E27FC236}">
              <a16:creationId xmlns:a16="http://schemas.microsoft.com/office/drawing/2014/main" id="{D5A2FB07-ED39-43BD-89B7-87F0DE80FA6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7" name="TextBox 6747">
          <a:extLst>
            <a:ext uri="{FF2B5EF4-FFF2-40B4-BE49-F238E27FC236}">
              <a16:creationId xmlns:a16="http://schemas.microsoft.com/office/drawing/2014/main" id="{AF453BD1-0DD2-43C7-9A15-462C49ACE47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8" name="TextBox 1">
          <a:extLst>
            <a:ext uri="{FF2B5EF4-FFF2-40B4-BE49-F238E27FC236}">
              <a16:creationId xmlns:a16="http://schemas.microsoft.com/office/drawing/2014/main" id="{2FA9219B-B566-4FCE-A10C-58F5C2375D6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49" name="TextBox 3">
          <a:extLst>
            <a:ext uri="{FF2B5EF4-FFF2-40B4-BE49-F238E27FC236}">
              <a16:creationId xmlns:a16="http://schemas.microsoft.com/office/drawing/2014/main" id="{D0244CE6-93B8-4ADC-8D37-B0044420153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0" name="TextBox 6750">
          <a:extLst>
            <a:ext uri="{FF2B5EF4-FFF2-40B4-BE49-F238E27FC236}">
              <a16:creationId xmlns:a16="http://schemas.microsoft.com/office/drawing/2014/main" id="{881111F6-3B33-4E1C-AF55-BB1302AF151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1" name="TextBox 6751">
          <a:extLst>
            <a:ext uri="{FF2B5EF4-FFF2-40B4-BE49-F238E27FC236}">
              <a16:creationId xmlns:a16="http://schemas.microsoft.com/office/drawing/2014/main" id="{79DD550C-F495-4D73-8462-27AA2E2958E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2" name="TextBox 6752">
          <a:extLst>
            <a:ext uri="{FF2B5EF4-FFF2-40B4-BE49-F238E27FC236}">
              <a16:creationId xmlns:a16="http://schemas.microsoft.com/office/drawing/2014/main" id="{795A08E3-0A41-4D67-9A9E-6DDF5EF3592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3" name="TextBox 6753">
          <a:extLst>
            <a:ext uri="{FF2B5EF4-FFF2-40B4-BE49-F238E27FC236}">
              <a16:creationId xmlns:a16="http://schemas.microsoft.com/office/drawing/2014/main" id="{323C8731-50DF-4398-8BF5-CC2E7063FDC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4" name="TextBox 6754">
          <a:extLst>
            <a:ext uri="{FF2B5EF4-FFF2-40B4-BE49-F238E27FC236}">
              <a16:creationId xmlns:a16="http://schemas.microsoft.com/office/drawing/2014/main" id="{83EDB2A6-835E-4A61-8937-B930696665D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5" name="TextBox 6755">
          <a:extLst>
            <a:ext uri="{FF2B5EF4-FFF2-40B4-BE49-F238E27FC236}">
              <a16:creationId xmlns:a16="http://schemas.microsoft.com/office/drawing/2014/main" id="{C00824DD-63E9-48A0-8C63-8CDDAB5E331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6" name="TextBox 6756">
          <a:extLst>
            <a:ext uri="{FF2B5EF4-FFF2-40B4-BE49-F238E27FC236}">
              <a16:creationId xmlns:a16="http://schemas.microsoft.com/office/drawing/2014/main" id="{E89FDD26-2CEF-4D05-AB48-C40A1E4A062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7" name="TextBox 6757">
          <a:extLst>
            <a:ext uri="{FF2B5EF4-FFF2-40B4-BE49-F238E27FC236}">
              <a16:creationId xmlns:a16="http://schemas.microsoft.com/office/drawing/2014/main" id="{62C0F9EC-C876-481F-92CB-259FCF7E711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8" name="TextBox 6758">
          <a:extLst>
            <a:ext uri="{FF2B5EF4-FFF2-40B4-BE49-F238E27FC236}">
              <a16:creationId xmlns:a16="http://schemas.microsoft.com/office/drawing/2014/main" id="{70605438-1A33-4D3B-A181-0D17D0F6D3A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59" name="TextBox 6759">
          <a:extLst>
            <a:ext uri="{FF2B5EF4-FFF2-40B4-BE49-F238E27FC236}">
              <a16:creationId xmlns:a16="http://schemas.microsoft.com/office/drawing/2014/main" id="{9FC068E2-850D-40B3-9DA4-939EDD7D007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0" name="TextBox 13">
          <a:extLst>
            <a:ext uri="{FF2B5EF4-FFF2-40B4-BE49-F238E27FC236}">
              <a16:creationId xmlns:a16="http://schemas.microsoft.com/office/drawing/2014/main" id="{67828716-8C84-4AB1-A96C-76122EAB054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1" name="TextBox 14">
          <a:extLst>
            <a:ext uri="{FF2B5EF4-FFF2-40B4-BE49-F238E27FC236}">
              <a16:creationId xmlns:a16="http://schemas.microsoft.com/office/drawing/2014/main" id="{B4134C5F-2105-446A-93C8-9D3F2167A79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2" name="TextBox 6762">
          <a:extLst>
            <a:ext uri="{FF2B5EF4-FFF2-40B4-BE49-F238E27FC236}">
              <a16:creationId xmlns:a16="http://schemas.microsoft.com/office/drawing/2014/main" id="{E1C8D8E4-0782-49B1-A946-33762BDA6CA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3" name="TextBox 6763">
          <a:extLst>
            <a:ext uri="{FF2B5EF4-FFF2-40B4-BE49-F238E27FC236}">
              <a16:creationId xmlns:a16="http://schemas.microsoft.com/office/drawing/2014/main" id="{649C5178-3057-45FE-BAAE-3A7543A2D88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4" name="TextBox 6764">
          <a:extLst>
            <a:ext uri="{FF2B5EF4-FFF2-40B4-BE49-F238E27FC236}">
              <a16:creationId xmlns:a16="http://schemas.microsoft.com/office/drawing/2014/main" id="{6A7DC492-FF27-41BC-B011-63319F71089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5" name="TextBox 6765">
          <a:extLst>
            <a:ext uri="{FF2B5EF4-FFF2-40B4-BE49-F238E27FC236}">
              <a16:creationId xmlns:a16="http://schemas.microsoft.com/office/drawing/2014/main" id="{87150427-6D62-418B-97F6-4BE62FDFD75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6" name="TextBox 15">
          <a:extLst>
            <a:ext uri="{FF2B5EF4-FFF2-40B4-BE49-F238E27FC236}">
              <a16:creationId xmlns:a16="http://schemas.microsoft.com/office/drawing/2014/main" id="{41DB2F3E-6C6C-48FE-A555-1E820C5C4A2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7" name="TextBox 16">
          <a:extLst>
            <a:ext uri="{FF2B5EF4-FFF2-40B4-BE49-F238E27FC236}">
              <a16:creationId xmlns:a16="http://schemas.microsoft.com/office/drawing/2014/main" id="{16151B70-CBD8-4939-B712-EF67F55730C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8" name="TextBox 17">
          <a:extLst>
            <a:ext uri="{FF2B5EF4-FFF2-40B4-BE49-F238E27FC236}">
              <a16:creationId xmlns:a16="http://schemas.microsoft.com/office/drawing/2014/main" id="{62DFDA4F-5959-4318-8D0C-9268E21F24E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69" name="TextBox 18">
          <a:extLst>
            <a:ext uri="{FF2B5EF4-FFF2-40B4-BE49-F238E27FC236}">
              <a16:creationId xmlns:a16="http://schemas.microsoft.com/office/drawing/2014/main" id="{51291120-DF9D-4AC0-B399-FD41B42A899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0" name="TextBox 6770">
          <a:extLst>
            <a:ext uri="{FF2B5EF4-FFF2-40B4-BE49-F238E27FC236}">
              <a16:creationId xmlns:a16="http://schemas.microsoft.com/office/drawing/2014/main" id="{A528C59E-2473-4F89-8655-6083315CE5A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1" name="TextBox 6771">
          <a:extLst>
            <a:ext uri="{FF2B5EF4-FFF2-40B4-BE49-F238E27FC236}">
              <a16:creationId xmlns:a16="http://schemas.microsoft.com/office/drawing/2014/main" id="{76C47BA5-07B5-4363-B953-07ED05B5DF4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2" name="TextBox 1">
          <a:extLst>
            <a:ext uri="{FF2B5EF4-FFF2-40B4-BE49-F238E27FC236}">
              <a16:creationId xmlns:a16="http://schemas.microsoft.com/office/drawing/2014/main" id="{CED22F70-B0E2-4D95-B192-0A63690725B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3" name="TextBox 3">
          <a:extLst>
            <a:ext uri="{FF2B5EF4-FFF2-40B4-BE49-F238E27FC236}">
              <a16:creationId xmlns:a16="http://schemas.microsoft.com/office/drawing/2014/main" id="{8D6E0DCB-B88C-4F2C-85E1-2CBB49D9A97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4" name="TextBox 6774">
          <a:extLst>
            <a:ext uri="{FF2B5EF4-FFF2-40B4-BE49-F238E27FC236}">
              <a16:creationId xmlns:a16="http://schemas.microsoft.com/office/drawing/2014/main" id="{448A56C3-6224-4B5F-A59F-2D91E14678E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5" name="TextBox 6775">
          <a:extLst>
            <a:ext uri="{FF2B5EF4-FFF2-40B4-BE49-F238E27FC236}">
              <a16:creationId xmlns:a16="http://schemas.microsoft.com/office/drawing/2014/main" id="{38FB1971-4797-4AA0-805C-2CF7760ABD1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6" name="TextBox 6776">
          <a:extLst>
            <a:ext uri="{FF2B5EF4-FFF2-40B4-BE49-F238E27FC236}">
              <a16:creationId xmlns:a16="http://schemas.microsoft.com/office/drawing/2014/main" id="{DAF7CA67-546C-465A-B7B1-72BAD38F99D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7" name="TextBox 6777">
          <a:extLst>
            <a:ext uri="{FF2B5EF4-FFF2-40B4-BE49-F238E27FC236}">
              <a16:creationId xmlns:a16="http://schemas.microsoft.com/office/drawing/2014/main" id="{8C45ACAD-0616-42B3-911F-95C397DD159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8" name="TextBox 6778">
          <a:extLst>
            <a:ext uri="{FF2B5EF4-FFF2-40B4-BE49-F238E27FC236}">
              <a16:creationId xmlns:a16="http://schemas.microsoft.com/office/drawing/2014/main" id="{DC6500FA-455A-4A66-A61F-4D612B746DD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79" name="TextBox 6779">
          <a:extLst>
            <a:ext uri="{FF2B5EF4-FFF2-40B4-BE49-F238E27FC236}">
              <a16:creationId xmlns:a16="http://schemas.microsoft.com/office/drawing/2014/main" id="{AB056B96-9C84-4BAF-AED7-23AC98D2FDA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0" name="TextBox 6780">
          <a:extLst>
            <a:ext uri="{FF2B5EF4-FFF2-40B4-BE49-F238E27FC236}">
              <a16:creationId xmlns:a16="http://schemas.microsoft.com/office/drawing/2014/main" id="{38998E51-6F7E-4C1A-96DC-F4AF49D2D53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1" name="TextBox 6781">
          <a:extLst>
            <a:ext uri="{FF2B5EF4-FFF2-40B4-BE49-F238E27FC236}">
              <a16:creationId xmlns:a16="http://schemas.microsoft.com/office/drawing/2014/main" id="{2FAB6A8D-277F-4F29-AECB-1BA88A0A398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2" name="TextBox 6782">
          <a:extLst>
            <a:ext uri="{FF2B5EF4-FFF2-40B4-BE49-F238E27FC236}">
              <a16:creationId xmlns:a16="http://schemas.microsoft.com/office/drawing/2014/main" id="{338CFC52-B0A9-4739-8D32-D3D54DA9A10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3" name="TextBox 6783">
          <a:extLst>
            <a:ext uri="{FF2B5EF4-FFF2-40B4-BE49-F238E27FC236}">
              <a16:creationId xmlns:a16="http://schemas.microsoft.com/office/drawing/2014/main" id="{B4E56E85-4D9E-4E66-AB73-92032165F5D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4" name="TextBox 13">
          <a:extLst>
            <a:ext uri="{FF2B5EF4-FFF2-40B4-BE49-F238E27FC236}">
              <a16:creationId xmlns:a16="http://schemas.microsoft.com/office/drawing/2014/main" id="{6646E554-BB4C-4FA1-8C0F-937691E7F50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5" name="TextBox 14">
          <a:extLst>
            <a:ext uri="{FF2B5EF4-FFF2-40B4-BE49-F238E27FC236}">
              <a16:creationId xmlns:a16="http://schemas.microsoft.com/office/drawing/2014/main" id="{381117F1-BBE4-4897-AC95-02774E186AD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6" name="TextBox 6786">
          <a:extLst>
            <a:ext uri="{FF2B5EF4-FFF2-40B4-BE49-F238E27FC236}">
              <a16:creationId xmlns:a16="http://schemas.microsoft.com/office/drawing/2014/main" id="{F900F2F2-BF70-4EBE-9442-1177A2A4AC4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7" name="TextBox 6787">
          <a:extLst>
            <a:ext uri="{FF2B5EF4-FFF2-40B4-BE49-F238E27FC236}">
              <a16:creationId xmlns:a16="http://schemas.microsoft.com/office/drawing/2014/main" id="{C566482F-0372-4289-84DA-74DB37946C0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8" name="TextBox 6788">
          <a:extLst>
            <a:ext uri="{FF2B5EF4-FFF2-40B4-BE49-F238E27FC236}">
              <a16:creationId xmlns:a16="http://schemas.microsoft.com/office/drawing/2014/main" id="{56338079-50EE-4A7A-8864-508A98EDC6D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89" name="TextBox 6789">
          <a:extLst>
            <a:ext uri="{FF2B5EF4-FFF2-40B4-BE49-F238E27FC236}">
              <a16:creationId xmlns:a16="http://schemas.microsoft.com/office/drawing/2014/main" id="{681F8F0B-2BB2-490F-A1C2-284859E4F82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0" name="TextBox 15">
          <a:extLst>
            <a:ext uri="{FF2B5EF4-FFF2-40B4-BE49-F238E27FC236}">
              <a16:creationId xmlns:a16="http://schemas.microsoft.com/office/drawing/2014/main" id="{E6FEA1E9-D14D-4BE2-BC7F-397D1C3F928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1" name="TextBox 16">
          <a:extLst>
            <a:ext uri="{FF2B5EF4-FFF2-40B4-BE49-F238E27FC236}">
              <a16:creationId xmlns:a16="http://schemas.microsoft.com/office/drawing/2014/main" id="{2CFDB7B8-EEE4-4E09-B224-8ACB01D0130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2" name="TextBox 17">
          <a:extLst>
            <a:ext uri="{FF2B5EF4-FFF2-40B4-BE49-F238E27FC236}">
              <a16:creationId xmlns:a16="http://schemas.microsoft.com/office/drawing/2014/main" id="{A3CE6BDE-23C8-4EDA-834E-D7716A20582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3" name="TextBox 18">
          <a:extLst>
            <a:ext uri="{FF2B5EF4-FFF2-40B4-BE49-F238E27FC236}">
              <a16:creationId xmlns:a16="http://schemas.microsoft.com/office/drawing/2014/main" id="{CFBC5D8E-66C6-48C1-B071-8ADD8F32ED9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4" name="TextBox 6794">
          <a:extLst>
            <a:ext uri="{FF2B5EF4-FFF2-40B4-BE49-F238E27FC236}">
              <a16:creationId xmlns:a16="http://schemas.microsoft.com/office/drawing/2014/main" id="{01E6F72E-5652-44F4-B010-C6494674572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5" name="TextBox 6795">
          <a:extLst>
            <a:ext uri="{FF2B5EF4-FFF2-40B4-BE49-F238E27FC236}">
              <a16:creationId xmlns:a16="http://schemas.microsoft.com/office/drawing/2014/main" id="{31BF1AD4-96DE-48F1-A361-B4C35C04143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6" name="TextBox 1">
          <a:extLst>
            <a:ext uri="{FF2B5EF4-FFF2-40B4-BE49-F238E27FC236}">
              <a16:creationId xmlns:a16="http://schemas.microsoft.com/office/drawing/2014/main" id="{A4B03340-CE1D-4183-A012-D03F3D6A0FF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7" name="TextBox 3">
          <a:extLst>
            <a:ext uri="{FF2B5EF4-FFF2-40B4-BE49-F238E27FC236}">
              <a16:creationId xmlns:a16="http://schemas.microsoft.com/office/drawing/2014/main" id="{736CA9C0-768E-413B-968C-817F1F8E024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8" name="TextBox 6798">
          <a:extLst>
            <a:ext uri="{FF2B5EF4-FFF2-40B4-BE49-F238E27FC236}">
              <a16:creationId xmlns:a16="http://schemas.microsoft.com/office/drawing/2014/main" id="{4268FE73-42E8-42CE-A6E9-31BEC784211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399" name="TextBox 6799">
          <a:extLst>
            <a:ext uri="{FF2B5EF4-FFF2-40B4-BE49-F238E27FC236}">
              <a16:creationId xmlns:a16="http://schemas.microsoft.com/office/drawing/2014/main" id="{D40A3D29-6D85-4F91-A277-F9F4DF54559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0" name="TextBox 6800">
          <a:extLst>
            <a:ext uri="{FF2B5EF4-FFF2-40B4-BE49-F238E27FC236}">
              <a16:creationId xmlns:a16="http://schemas.microsoft.com/office/drawing/2014/main" id="{31851864-40A2-45AD-A0A1-30D891C8CCD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1" name="TextBox 6801">
          <a:extLst>
            <a:ext uri="{FF2B5EF4-FFF2-40B4-BE49-F238E27FC236}">
              <a16:creationId xmlns:a16="http://schemas.microsoft.com/office/drawing/2014/main" id="{C78FAC2C-3985-44D1-87A6-4FA10A633DB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2" name="TextBox 6802">
          <a:extLst>
            <a:ext uri="{FF2B5EF4-FFF2-40B4-BE49-F238E27FC236}">
              <a16:creationId xmlns:a16="http://schemas.microsoft.com/office/drawing/2014/main" id="{650D739A-D6C0-4966-92A7-6AD67EDD8F6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3" name="TextBox 6803">
          <a:extLst>
            <a:ext uri="{FF2B5EF4-FFF2-40B4-BE49-F238E27FC236}">
              <a16:creationId xmlns:a16="http://schemas.microsoft.com/office/drawing/2014/main" id="{E0E7EB5C-635F-4D58-8F27-150FEAE6E4A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4" name="TextBox 6804">
          <a:extLst>
            <a:ext uri="{FF2B5EF4-FFF2-40B4-BE49-F238E27FC236}">
              <a16:creationId xmlns:a16="http://schemas.microsoft.com/office/drawing/2014/main" id="{F86921E5-CDCF-46A7-8167-24A4CE0A28B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5" name="TextBox 6805">
          <a:extLst>
            <a:ext uri="{FF2B5EF4-FFF2-40B4-BE49-F238E27FC236}">
              <a16:creationId xmlns:a16="http://schemas.microsoft.com/office/drawing/2014/main" id="{64CF4F86-861B-49BF-83E3-26F7466259E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6" name="TextBox 6806">
          <a:extLst>
            <a:ext uri="{FF2B5EF4-FFF2-40B4-BE49-F238E27FC236}">
              <a16:creationId xmlns:a16="http://schemas.microsoft.com/office/drawing/2014/main" id="{9B33AFAF-166B-4E54-BA4B-BCD8835E8B9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7" name="TextBox 6807">
          <a:extLst>
            <a:ext uri="{FF2B5EF4-FFF2-40B4-BE49-F238E27FC236}">
              <a16:creationId xmlns:a16="http://schemas.microsoft.com/office/drawing/2014/main" id="{E5C0B6CA-B7ED-4F30-9353-C6FCFC3230F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8" name="TextBox 13">
          <a:extLst>
            <a:ext uri="{FF2B5EF4-FFF2-40B4-BE49-F238E27FC236}">
              <a16:creationId xmlns:a16="http://schemas.microsoft.com/office/drawing/2014/main" id="{87CD8CB9-8C3E-43B1-BF81-C2F62F42D80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09" name="TextBox 14">
          <a:extLst>
            <a:ext uri="{FF2B5EF4-FFF2-40B4-BE49-F238E27FC236}">
              <a16:creationId xmlns:a16="http://schemas.microsoft.com/office/drawing/2014/main" id="{AF0426FA-93B1-453D-BDAD-AD6D4ED26F4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0" name="TextBox 6810">
          <a:extLst>
            <a:ext uri="{FF2B5EF4-FFF2-40B4-BE49-F238E27FC236}">
              <a16:creationId xmlns:a16="http://schemas.microsoft.com/office/drawing/2014/main" id="{F40C4E73-517E-4807-AC0E-FBE4531B1EB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1" name="TextBox 6811">
          <a:extLst>
            <a:ext uri="{FF2B5EF4-FFF2-40B4-BE49-F238E27FC236}">
              <a16:creationId xmlns:a16="http://schemas.microsoft.com/office/drawing/2014/main" id="{95FD32FA-CD3F-4777-9FFB-2A8B689D125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2" name="TextBox 6812">
          <a:extLst>
            <a:ext uri="{FF2B5EF4-FFF2-40B4-BE49-F238E27FC236}">
              <a16:creationId xmlns:a16="http://schemas.microsoft.com/office/drawing/2014/main" id="{DE162310-C570-47BC-83B9-2E1791BF7CC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3" name="TextBox 6813">
          <a:extLst>
            <a:ext uri="{FF2B5EF4-FFF2-40B4-BE49-F238E27FC236}">
              <a16:creationId xmlns:a16="http://schemas.microsoft.com/office/drawing/2014/main" id="{508A89A4-3FBE-4E31-8025-908EB2904DF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4" name="TextBox 15">
          <a:extLst>
            <a:ext uri="{FF2B5EF4-FFF2-40B4-BE49-F238E27FC236}">
              <a16:creationId xmlns:a16="http://schemas.microsoft.com/office/drawing/2014/main" id="{DAE8DE30-4D27-4ACB-AA92-B1F039D08FB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5" name="TextBox 16">
          <a:extLst>
            <a:ext uri="{FF2B5EF4-FFF2-40B4-BE49-F238E27FC236}">
              <a16:creationId xmlns:a16="http://schemas.microsoft.com/office/drawing/2014/main" id="{74B225FC-B630-4AD3-A083-07114C93159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6" name="TextBox 17">
          <a:extLst>
            <a:ext uri="{FF2B5EF4-FFF2-40B4-BE49-F238E27FC236}">
              <a16:creationId xmlns:a16="http://schemas.microsoft.com/office/drawing/2014/main" id="{E614D843-CB3A-4CCD-B310-97498B49EB0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7" name="TextBox 18">
          <a:extLst>
            <a:ext uri="{FF2B5EF4-FFF2-40B4-BE49-F238E27FC236}">
              <a16:creationId xmlns:a16="http://schemas.microsoft.com/office/drawing/2014/main" id="{381058AF-56AC-48AA-A84C-047C49E77FD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8" name="TextBox 6818">
          <a:extLst>
            <a:ext uri="{FF2B5EF4-FFF2-40B4-BE49-F238E27FC236}">
              <a16:creationId xmlns:a16="http://schemas.microsoft.com/office/drawing/2014/main" id="{9A32EA7C-8886-425C-B8A8-6B4C6F7554D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19" name="TextBox 6819">
          <a:extLst>
            <a:ext uri="{FF2B5EF4-FFF2-40B4-BE49-F238E27FC236}">
              <a16:creationId xmlns:a16="http://schemas.microsoft.com/office/drawing/2014/main" id="{54A76BC4-3816-4350-B29E-11A75818DD8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0" name="TextBox 1">
          <a:extLst>
            <a:ext uri="{FF2B5EF4-FFF2-40B4-BE49-F238E27FC236}">
              <a16:creationId xmlns:a16="http://schemas.microsoft.com/office/drawing/2014/main" id="{50E692AB-37B7-478C-87BC-756EC856497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1" name="TextBox 3">
          <a:extLst>
            <a:ext uri="{FF2B5EF4-FFF2-40B4-BE49-F238E27FC236}">
              <a16:creationId xmlns:a16="http://schemas.microsoft.com/office/drawing/2014/main" id="{296E6228-2D69-4A6D-9B63-FB273CBB054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2" name="TextBox 6822">
          <a:extLst>
            <a:ext uri="{FF2B5EF4-FFF2-40B4-BE49-F238E27FC236}">
              <a16:creationId xmlns:a16="http://schemas.microsoft.com/office/drawing/2014/main" id="{066A4C07-F752-4E50-AD8B-6A7FF234D84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3" name="TextBox 6823">
          <a:extLst>
            <a:ext uri="{FF2B5EF4-FFF2-40B4-BE49-F238E27FC236}">
              <a16:creationId xmlns:a16="http://schemas.microsoft.com/office/drawing/2014/main" id="{AD3D7E7D-0695-4CEA-A793-A1B1A789AED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4" name="TextBox 6824">
          <a:extLst>
            <a:ext uri="{FF2B5EF4-FFF2-40B4-BE49-F238E27FC236}">
              <a16:creationId xmlns:a16="http://schemas.microsoft.com/office/drawing/2014/main" id="{CA9C83AE-5529-4418-89DD-6EADC4DC6B9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5" name="TextBox 6825">
          <a:extLst>
            <a:ext uri="{FF2B5EF4-FFF2-40B4-BE49-F238E27FC236}">
              <a16:creationId xmlns:a16="http://schemas.microsoft.com/office/drawing/2014/main" id="{3FB64EAA-700D-433C-A6A4-77DD85DC7AC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6" name="TextBox 6826">
          <a:extLst>
            <a:ext uri="{FF2B5EF4-FFF2-40B4-BE49-F238E27FC236}">
              <a16:creationId xmlns:a16="http://schemas.microsoft.com/office/drawing/2014/main" id="{697894DD-B8E0-4D54-BBCA-788E5247886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7" name="TextBox 6827">
          <a:extLst>
            <a:ext uri="{FF2B5EF4-FFF2-40B4-BE49-F238E27FC236}">
              <a16:creationId xmlns:a16="http://schemas.microsoft.com/office/drawing/2014/main" id="{4E34796D-FD61-4C62-80A3-D80D8C3D84A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8" name="TextBox 6828">
          <a:extLst>
            <a:ext uri="{FF2B5EF4-FFF2-40B4-BE49-F238E27FC236}">
              <a16:creationId xmlns:a16="http://schemas.microsoft.com/office/drawing/2014/main" id="{127A328D-FCCA-43AF-ABC5-BB3E3C54017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29" name="TextBox 6829">
          <a:extLst>
            <a:ext uri="{FF2B5EF4-FFF2-40B4-BE49-F238E27FC236}">
              <a16:creationId xmlns:a16="http://schemas.microsoft.com/office/drawing/2014/main" id="{CE2612DD-AB6D-4428-BE7C-BCBFF5036306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0" name="TextBox 6830">
          <a:extLst>
            <a:ext uri="{FF2B5EF4-FFF2-40B4-BE49-F238E27FC236}">
              <a16:creationId xmlns:a16="http://schemas.microsoft.com/office/drawing/2014/main" id="{F57D4B38-5529-4CC3-B06B-05DFA012B6C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1" name="TextBox 6831">
          <a:extLst>
            <a:ext uri="{FF2B5EF4-FFF2-40B4-BE49-F238E27FC236}">
              <a16:creationId xmlns:a16="http://schemas.microsoft.com/office/drawing/2014/main" id="{FDE695C3-7341-4ACA-BC34-09D09239413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2" name="TextBox 13">
          <a:extLst>
            <a:ext uri="{FF2B5EF4-FFF2-40B4-BE49-F238E27FC236}">
              <a16:creationId xmlns:a16="http://schemas.microsoft.com/office/drawing/2014/main" id="{4A67D34E-F7C1-4AAE-982F-47AB2E9F4E5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3" name="TextBox 14">
          <a:extLst>
            <a:ext uri="{FF2B5EF4-FFF2-40B4-BE49-F238E27FC236}">
              <a16:creationId xmlns:a16="http://schemas.microsoft.com/office/drawing/2014/main" id="{8B227848-F942-4D87-A79F-152F876DD9E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4" name="TextBox 6834">
          <a:extLst>
            <a:ext uri="{FF2B5EF4-FFF2-40B4-BE49-F238E27FC236}">
              <a16:creationId xmlns:a16="http://schemas.microsoft.com/office/drawing/2014/main" id="{644A23F3-7D13-4D4D-80BB-CA769C53DD0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5" name="TextBox 6835">
          <a:extLst>
            <a:ext uri="{FF2B5EF4-FFF2-40B4-BE49-F238E27FC236}">
              <a16:creationId xmlns:a16="http://schemas.microsoft.com/office/drawing/2014/main" id="{18313AD1-88B8-4F17-AEDC-3A6A1B08740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6" name="TextBox 6836">
          <a:extLst>
            <a:ext uri="{FF2B5EF4-FFF2-40B4-BE49-F238E27FC236}">
              <a16:creationId xmlns:a16="http://schemas.microsoft.com/office/drawing/2014/main" id="{22FBAD97-F2B6-4A7C-962F-96CB847EAA6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7" name="TextBox 6837">
          <a:extLst>
            <a:ext uri="{FF2B5EF4-FFF2-40B4-BE49-F238E27FC236}">
              <a16:creationId xmlns:a16="http://schemas.microsoft.com/office/drawing/2014/main" id="{8695E054-CA4F-42AC-91A4-F912C5C6EA9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8" name="TextBox 15">
          <a:extLst>
            <a:ext uri="{FF2B5EF4-FFF2-40B4-BE49-F238E27FC236}">
              <a16:creationId xmlns:a16="http://schemas.microsoft.com/office/drawing/2014/main" id="{FE08CA1B-8557-4EC4-BB42-B36DAEA454D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39" name="TextBox 16">
          <a:extLst>
            <a:ext uri="{FF2B5EF4-FFF2-40B4-BE49-F238E27FC236}">
              <a16:creationId xmlns:a16="http://schemas.microsoft.com/office/drawing/2014/main" id="{4451CEAB-C385-4EC4-934E-6E13E300199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0" name="TextBox 17">
          <a:extLst>
            <a:ext uri="{FF2B5EF4-FFF2-40B4-BE49-F238E27FC236}">
              <a16:creationId xmlns:a16="http://schemas.microsoft.com/office/drawing/2014/main" id="{F576D682-9436-4F68-947D-6C077C8B27C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1" name="TextBox 18">
          <a:extLst>
            <a:ext uri="{FF2B5EF4-FFF2-40B4-BE49-F238E27FC236}">
              <a16:creationId xmlns:a16="http://schemas.microsoft.com/office/drawing/2014/main" id="{F119A349-E20F-404B-8847-7BC59EFABB3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2" name="TextBox 6842">
          <a:extLst>
            <a:ext uri="{FF2B5EF4-FFF2-40B4-BE49-F238E27FC236}">
              <a16:creationId xmlns:a16="http://schemas.microsoft.com/office/drawing/2014/main" id="{8D1F5145-B3E2-44C8-A071-80152EC89F9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3" name="TextBox 6843">
          <a:extLst>
            <a:ext uri="{FF2B5EF4-FFF2-40B4-BE49-F238E27FC236}">
              <a16:creationId xmlns:a16="http://schemas.microsoft.com/office/drawing/2014/main" id="{44307832-895E-4A40-9EB4-61C75AF31D1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4" name="TextBox 1">
          <a:extLst>
            <a:ext uri="{FF2B5EF4-FFF2-40B4-BE49-F238E27FC236}">
              <a16:creationId xmlns:a16="http://schemas.microsoft.com/office/drawing/2014/main" id="{C49EAE13-5803-4E59-A390-AB8A1370D1D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5" name="TextBox 3">
          <a:extLst>
            <a:ext uri="{FF2B5EF4-FFF2-40B4-BE49-F238E27FC236}">
              <a16:creationId xmlns:a16="http://schemas.microsoft.com/office/drawing/2014/main" id="{7C9A42F0-ACD1-4750-86DC-720EBBF8E0D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6" name="TextBox 6846">
          <a:extLst>
            <a:ext uri="{FF2B5EF4-FFF2-40B4-BE49-F238E27FC236}">
              <a16:creationId xmlns:a16="http://schemas.microsoft.com/office/drawing/2014/main" id="{C0A75CF9-F583-4E55-9785-4F4FCD9FEB13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7" name="TextBox 6847">
          <a:extLst>
            <a:ext uri="{FF2B5EF4-FFF2-40B4-BE49-F238E27FC236}">
              <a16:creationId xmlns:a16="http://schemas.microsoft.com/office/drawing/2014/main" id="{05224C1E-3203-4063-BF06-74B049D4701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8" name="TextBox 6848">
          <a:extLst>
            <a:ext uri="{FF2B5EF4-FFF2-40B4-BE49-F238E27FC236}">
              <a16:creationId xmlns:a16="http://schemas.microsoft.com/office/drawing/2014/main" id="{ED3B4711-99E8-4DEA-8969-83C360942A2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49" name="TextBox 6849">
          <a:extLst>
            <a:ext uri="{FF2B5EF4-FFF2-40B4-BE49-F238E27FC236}">
              <a16:creationId xmlns:a16="http://schemas.microsoft.com/office/drawing/2014/main" id="{7DA6DECD-A7E6-4470-9089-54C63CD1A54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0" name="TextBox 6850">
          <a:extLst>
            <a:ext uri="{FF2B5EF4-FFF2-40B4-BE49-F238E27FC236}">
              <a16:creationId xmlns:a16="http://schemas.microsoft.com/office/drawing/2014/main" id="{F535A8EF-F7DC-4C57-8344-AA460DE030B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1" name="TextBox 6851">
          <a:extLst>
            <a:ext uri="{FF2B5EF4-FFF2-40B4-BE49-F238E27FC236}">
              <a16:creationId xmlns:a16="http://schemas.microsoft.com/office/drawing/2014/main" id="{1A7420DB-ABF1-4CE1-952D-88E271F31A5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2" name="TextBox 6852">
          <a:extLst>
            <a:ext uri="{FF2B5EF4-FFF2-40B4-BE49-F238E27FC236}">
              <a16:creationId xmlns:a16="http://schemas.microsoft.com/office/drawing/2014/main" id="{B12C13C6-E20A-4DC5-AF89-734BE837608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3" name="TextBox 6853">
          <a:extLst>
            <a:ext uri="{FF2B5EF4-FFF2-40B4-BE49-F238E27FC236}">
              <a16:creationId xmlns:a16="http://schemas.microsoft.com/office/drawing/2014/main" id="{C310BDCA-6A1B-4CE7-A46E-1443794DE8A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4" name="TextBox 6854">
          <a:extLst>
            <a:ext uri="{FF2B5EF4-FFF2-40B4-BE49-F238E27FC236}">
              <a16:creationId xmlns:a16="http://schemas.microsoft.com/office/drawing/2014/main" id="{D5FCD39B-9637-4F4B-B619-E631FEF6501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5" name="TextBox 6855">
          <a:extLst>
            <a:ext uri="{FF2B5EF4-FFF2-40B4-BE49-F238E27FC236}">
              <a16:creationId xmlns:a16="http://schemas.microsoft.com/office/drawing/2014/main" id="{C4BB773D-9042-4CBC-8241-FA3D899311D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6" name="TextBox 13">
          <a:extLst>
            <a:ext uri="{FF2B5EF4-FFF2-40B4-BE49-F238E27FC236}">
              <a16:creationId xmlns:a16="http://schemas.microsoft.com/office/drawing/2014/main" id="{8806A4B0-4964-415E-9EFF-FBE7C2A7E3C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7" name="TextBox 14">
          <a:extLst>
            <a:ext uri="{FF2B5EF4-FFF2-40B4-BE49-F238E27FC236}">
              <a16:creationId xmlns:a16="http://schemas.microsoft.com/office/drawing/2014/main" id="{A2936C40-66A3-4F43-A10F-1598F34CB7A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8" name="TextBox 6858">
          <a:extLst>
            <a:ext uri="{FF2B5EF4-FFF2-40B4-BE49-F238E27FC236}">
              <a16:creationId xmlns:a16="http://schemas.microsoft.com/office/drawing/2014/main" id="{22D89BB2-892A-4D7B-A0AF-7E622CF0932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59" name="TextBox 6859">
          <a:extLst>
            <a:ext uri="{FF2B5EF4-FFF2-40B4-BE49-F238E27FC236}">
              <a16:creationId xmlns:a16="http://schemas.microsoft.com/office/drawing/2014/main" id="{4DB7B490-2F1A-4B17-876A-980476EA783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0" name="TextBox 6860">
          <a:extLst>
            <a:ext uri="{FF2B5EF4-FFF2-40B4-BE49-F238E27FC236}">
              <a16:creationId xmlns:a16="http://schemas.microsoft.com/office/drawing/2014/main" id="{FE06710D-1BC0-42B9-8C3F-B4DEDCAC6CC7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1" name="TextBox 6861">
          <a:extLst>
            <a:ext uri="{FF2B5EF4-FFF2-40B4-BE49-F238E27FC236}">
              <a16:creationId xmlns:a16="http://schemas.microsoft.com/office/drawing/2014/main" id="{9AFA2869-DAA0-4872-8827-C13F56CB2500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2" name="TextBox 15">
          <a:extLst>
            <a:ext uri="{FF2B5EF4-FFF2-40B4-BE49-F238E27FC236}">
              <a16:creationId xmlns:a16="http://schemas.microsoft.com/office/drawing/2014/main" id="{3055042D-7DC1-4787-B32A-C178DC55C8B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3" name="TextBox 16">
          <a:extLst>
            <a:ext uri="{FF2B5EF4-FFF2-40B4-BE49-F238E27FC236}">
              <a16:creationId xmlns:a16="http://schemas.microsoft.com/office/drawing/2014/main" id="{51C1F449-AE41-418B-9FD3-2E7759CA23A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4" name="TextBox 17">
          <a:extLst>
            <a:ext uri="{FF2B5EF4-FFF2-40B4-BE49-F238E27FC236}">
              <a16:creationId xmlns:a16="http://schemas.microsoft.com/office/drawing/2014/main" id="{0B989B0B-7225-4DB1-9733-CCE2E449CB6B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5" name="TextBox 18">
          <a:extLst>
            <a:ext uri="{FF2B5EF4-FFF2-40B4-BE49-F238E27FC236}">
              <a16:creationId xmlns:a16="http://schemas.microsoft.com/office/drawing/2014/main" id="{2906660C-59BE-47BB-A5A8-B076B91E70D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6" name="TextBox 6866">
          <a:extLst>
            <a:ext uri="{FF2B5EF4-FFF2-40B4-BE49-F238E27FC236}">
              <a16:creationId xmlns:a16="http://schemas.microsoft.com/office/drawing/2014/main" id="{2BC79D83-443A-4160-862C-F398E0B82B22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7" name="TextBox 6867">
          <a:extLst>
            <a:ext uri="{FF2B5EF4-FFF2-40B4-BE49-F238E27FC236}">
              <a16:creationId xmlns:a16="http://schemas.microsoft.com/office/drawing/2014/main" id="{C9356177-72FA-4194-B429-FBFCF9F5A6B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8" name="TextBox 1">
          <a:extLst>
            <a:ext uri="{FF2B5EF4-FFF2-40B4-BE49-F238E27FC236}">
              <a16:creationId xmlns:a16="http://schemas.microsoft.com/office/drawing/2014/main" id="{4680CD40-1ACE-4B23-AAEE-5814C02A094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69" name="TextBox 3">
          <a:extLst>
            <a:ext uri="{FF2B5EF4-FFF2-40B4-BE49-F238E27FC236}">
              <a16:creationId xmlns:a16="http://schemas.microsoft.com/office/drawing/2014/main" id="{3FCBE4F5-8B75-4B11-94AA-C06CE261866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0" name="TextBox 6870">
          <a:extLst>
            <a:ext uri="{FF2B5EF4-FFF2-40B4-BE49-F238E27FC236}">
              <a16:creationId xmlns:a16="http://schemas.microsoft.com/office/drawing/2014/main" id="{D11F9F41-054E-4F35-B19E-33736C8EA319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1" name="TextBox 6871">
          <a:extLst>
            <a:ext uri="{FF2B5EF4-FFF2-40B4-BE49-F238E27FC236}">
              <a16:creationId xmlns:a16="http://schemas.microsoft.com/office/drawing/2014/main" id="{BD7B64E4-80F4-4ACD-AAF3-BCBA0062ED24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2" name="TextBox 6872">
          <a:extLst>
            <a:ext uri="{FF2B5EF4-FFF2-40B4-BE49-F238E27FC236}">
              <a16:creationId xmlns:a16="http://schemas.microsoft.com/office/drawing/2014/main" id="{1A2CBCB9-2097-44C7-9774-CD20C3AE0BA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3" name="TextBox 6873">
          <a:extLst>
            <a:ext uri="{FF2B5EF4-FFF2-40B4-BE49-F238E27FC236}">
              <a16:creationId xmlns:a16="http://schemas.microsoft.com/office/drawing/2014/main" id="{D43FDCBE-0132-41DE-B0B5-9D5077AA2FCF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4" name="TextBox 6874">
          <a:extLst>
            <a:ext uri="{FF2B5EF4-FFF2-40B4-BE49-F238E27FC236}">
              <a16:creationId xmlns:a16="http://schemas.microsoft.com/office/drawing/2014/main" id="{5A38CBEA-6B1C-4EF8-85F0-29A0FED24BDD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5" name="TextBox 6875">
          <a:extLst>
            <a:ext uri="{FF2B5EF4-FFF2-40B4-BE49-F238E27FC236}">
              <a16:creationId xmlns:a16="http://schemas.microsoft.com/office/drawing/2014/main" id="{9AB202E4-E89C-450A-8646-1A807094B5B8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6" name="TextBox 6876">
          <a:extLst>
            <a:ext uri="{FF2B5EF4-FFF2-40B4-BE49-F238E27FC236}">
              <a16:creationId xmlns:a16="http://schemas.microsoft.com/office/drawing/2014/main" id="{EBF596E7-61F3-4DC1-B723-E551FB05F67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7" name="TextBox 6877">
          <a:extLst>
            <a:ext uri="{FF2B5EF4-FFF2-40B4-BE49-F238E27FC236}">
              <a16:creationId xmlns:a16="http://schemas.microsoft.com/office/drawing/2014/main" id="{699F9703-CF29-4055-A8F6-AF208472E48C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8" name="TextBox 6878">
          <a:extLst>
            <a:ext uri="{FF2B5EF4-FFF2-40B4-BE49-F238E27FC236}">
              <a16:creationId xmlns:a16="http://schemas.microsoft.com/office/drawing/2014/main" id="{6E9D6A4E-D29E-42E6-926E-839DE782C0BA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79" name="TextBox 6879">
          <a:extLst>
            <a:ext uri="{FF2B5EF4-FFF2-40B4-BE49-F238E27FC236}">
              <a16:creationId xmlns:a16="http://schemas.microsoft.com/office/drawing/2014/main" id="{19D8C8F8-60EA-4182-BDCD-C72886132B81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0" name="TextBox 13">
          <a:extLst>
            <a:ext uri="{FF2B5EF4-FFF2-40B4-BE49-F238E27FC236}">
              <a16:creationId xmlns:a16="http://schemas.microsoft.com/office/drawing/2014/main" id="{BA17F4F1-2218-457B-8DD4-5273E7823D1E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1" name="TextBox 14">
          <a:extLst>
            <a:ext uri="{FF2B5EF4-FFF2-40B4-BE49-F238E27FC236}">
              <a16:creationId xmlns:a16="http://schemas.microsoft.com/office/drawing/2014/main" id="{DFE58115-83F3-4581-936F-5FB2211885E5}"/>
            </a:ext>
          </a:extLst>
        </xdr:cNvPr>
        <xdr:cNvSpPr txBox="1"/>
      </xdr:nvSpPr>
      <xdr:spPr>
        <a:xfrm>
          <a:off x="1909762" y="31965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2" name="TextBox 6882">
          <a:extLst>
            <a:ext uri="{FF2B5EF4-FFF2-40B4-BE49-F238E27FC236}">
              <a16:creationId xmlns:a16="http://schemas.microsoft.com/office/drawing/2014/main" id="{8F6EBF85-60A2-4827-A300-2A0B62FD449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3" name="TextBox 6883">
          <a:extLst>
            <a:ext uri="{FF2B5EF4-FFF2-40B4-BE49-F238E27FC236}">
              <a16:creationId xmlns:a16="http://schemas.microsoft.com/office/drawing/2014/main" id="{DE50F245-BE5C-47EB-B413-9FAE8669B3C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4" name="TextBox 6884">
          <a:extLst>
            <a:ext uri="{FF2B5EF4-FFF2-40B4-BE49-F238E27FC236}">
              <a16:creationId xmlns:a16="http://schemas.microsoft.com/office/drawing/2014/main" id="{41858A8D-081E-4979-9BBF-91A5A0FE6A24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5" name="TextBox 6885">
          <a:extLst>
            <a:ext uri="{FF2B5EF4-FFF2-40B4-BE49-F238E27FC236}">
              <a16:creationId xmlns:a16="http://schemas.microsoft.com/office/drawing/2014/main" id="{42C61818-479E-415C-ADAA-979E42F161B0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6" name="TextBox 15">
          <a:extLst>
            <a:ext uri="{FF2B5EF4-FFF2-40B4-BE49-F238E27FC236}">
              <a16:creationId xmlns:a16="http://schemas.microsoft.com/office/drawing/2014/main" id="{6A937A57-AE41-461D-AAA2-62C89FE4447F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7" name="TextBox 16">
          <a:extLst>
            <a:ext uri="{FF2B5EF4-FFF2-40B4-BE49-F238E27FC236}">
              <a16:creationId xmlns:a16="http://schemas.microsoft.com/office/drawing/2014/main" id="{90EC353E-19D7-4944-9C4E-ED73F9D8F246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8" name="TextBox 17">
          <a:extLst>
            <a:ext uri="{FF2B5EF4-FFF2-40B4-BE49-F238E27FC236}">
              <a16:creationId xmlns:a16="http://schemas.microsoft.com/office/drawing/2014/main" id="{390D3154-FB07-42B8-B8EC-87FC315DCD8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89" name="TextBox 18">
          <a:extLst>
            <a:ext uri="{FF2B5EF4-FFF2-40B4-BE49-F238E27FC236}">
              <a16:creationId xmlns:a16="http://schemas.microsoft.com/office/drawing/2014/main" id="{05636D42-D632-4625-89F8-D4F52C330A6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0" name="TextBox 6890">
          <a:extLst>
            <a:ext uri="{FF2B5EF4-FFF2-40B4-BE49-F238E27FC236}">
              <a16:creationId xmlns:a16="http://schemas.microsoft.com/office/drawing/2014/main" id="{07BB51EB-7CE8-4A9C-AE55-BCFA3B22FB0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1" name="TextBox 6891">
          <a:extLst>
            <a:ext uri="{FF2B5EF4-FFF2-40B4-BE49-F238E27FC236}">
              <a16:creationId xmlns:a16="http://schemas.microsoft.com/office/drawing/2014/main" id="{D2C49981-23EF-4C9A-9E07-65E2E007C751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2" name="TextBox 1">
          <a:extLst>
            <a:ext uri="{FF2B5EF4-FFF2-40B4-BE49-F238E27FC236}">
              <a16:creationId xmlns:a16="http://schemas.microsoft.com/office/drawing/2014/main" id="{C3C42073-C08B-4CB1-9C64-71053CC42D6D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3" name="TextBox 3">
          <a:extLst>
            <a:ext uri="{FF2B5EF4-FFF2-40B4-BE49-F238E27FC236}">
              <a16:creationId xmlns:a16="http://schemas.microsoft.com/office/drawing/2014/main" id="{EA1D1ADD-7496-451A-8944-69F804045EB1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4" name="TextBox 6894">
          <a:extLst>
            <a:ext uri="{FF2B5EF4-FFF2-40B4-BE49-F238E27FC236}">
              <a16:creationId xmlns:a16="http://schemas.microsoft.com/office/drawing/2014/main" id="{AEBDBCCF-3A2F-4D37-8079-F700328D384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5" name="TextBox 6895">
          <a:extLst>
            <a:ext uri="{FF2B5EF4-FFF2-40B4-BE49-F238E27FC236}">
              <a16:creationId xmlns:a16="http://schemas.microsoft.com/office/drawing/2014/main" id="{9374BCB3-ABB3-4BEE-A151-5EB9EEBF2717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6" name="TextBox 6896">
          <a:extLst>
            <a:ext uri="{FF2B5EF4-FFF2-40B4-BE49-F238E27FC236}">
              <a16:creationId xmlns:a16="http://schemas.microsoft.com/office/drawing/2014/main" id="{75ACE4B4-2567-41A4-BA7E-45784E7E157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7" name="TextBox 6897">
          <a:extLst>
            <a:ext uri="{FF2B5EF4-FFF2-40B4-BE49-F238E27FC236}">
              <a16:creationId xmlns:a16="http://schemas.microsoft.com/office/drawing/2014/main" id="{B307A3D9-5C73-4B24-A9CD-ACC345788EB0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8" name="TextBox 6898">
          <a:extLst>
            <a:ext uri="{FF2B5EF4-FFF2-40B4-BE49-F238E27FC236}">
              <a16:creationId xmlns:a16="http://schemas.microsoft.com/office/drawing/2014/main" id="{7C0D9CFA-F2A3-4B87-B998-FDBB5C1BB2D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499" name="TextBox 6899">
          <a:extLst>
            <a:ext uri="{FF2B5EF4-FFF2-40B4-BE49-F238E27FC236}">
              <a16:creationId xmlns:a16="http://schemas.microsoft.com/office/drawing/2014/main" id="{C506AB5C-681A-4B8F-B2B3-6C20FBC57103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0" name="TextBox 6900">
          <a:extLst>
            <a:ext uri="{FF2B5EF4-FFF2-40B4-BE49-F238E27FC236}">
              <a16:creationId xmlns:a16="http://schemas.microsoft.com/office/drawing/2014/main" id="{201D598B-5B64-48A9-A21B-1C5014211E8F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1" name="TextBox 6901">
          <a:extLst>
            <a:ext uri="{FF2B5EF4-FFF2-40B4-BE49-F238E27FC236}">
              <a16:creationId xmlns:a16="http://schemas.microsoft.com/office/drawing/2014/main" id="{1800B9AE-D529-4200-BC66-F80055F6B09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2" name="TextBox 6902">
          <a:extLst>
            <a:ext uri="{FF2B5EF4-FFF2-40B4-BE49-F238E27FC236}">
              <a16:creationId xmlns:a16="http://schemas.microsoft.com/office/drawing/2014/main" id="{BC0FECF9-469A-4E02-8119-4A82F305766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3" name="TextBox 6903">
          <a:extLst>
            <a:ext uri="{FF2B5EF4-FFF2-40B4-BE49-F238E27FC236}">
              <a16:creationId xmlns:a16="http://schemas.microsoft.com/office/drawing/2014/main" id="{0C194C39-99CE-4B63-B008-8983D911FDDD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4" name="TextBox 13">
          <a:extLst>
            <a:ext uri="{FF2B5EF4-FFF2-40B4-BE49-F238E27FC236}">
              <a16:creationId xmlns:a16="http://schemas.microsoft.com/office/drawing/2014/main" id="{E983BD4B-A80D-43EE-86F4-0D2B162F5E70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5" name="TextBox 14">
          <a:extLst>
            <a:ext uri="{FF2B5EF4-FFF2-40B4-BE49-F238E27FC236}">
              <a16:creationId xmlns:a16="http://schemas.microsoft.com/office/drawing/2014/main" id="{93D80D92-0696-43BA-9A13-32D48F87FDD7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6" name="TextBox 6906">
          <a:extLst>
            <a:ext uri="{FF2B5EF4-FFF2-40B4-BE49-F238E27FC236}">
              <a16:creationId xmlns:a16="http://schemas.microsoft.com/office/drawing/2014/main" id="{1AAB2EFB-EA79-443F-821E-30F780CD9096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7" name="TextBox 6907">
          <a:extLst>
            <a:ext uri="{FF2B5EF4-FFF2-40B4-BE49-F238E27FC236}">
              <a16:creationId xmlns:a16="http://schemas.microsoft.com/office/drawing/2014/main" id="{B6F91855-2B72-4AD8-9BAB-CF66680C79E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8" name="TextBox 6908">
          <a:extLst>
            <a:ext uri="{FF2B5EF4-FFF2-40B4-BE49-F238E27FC236}">
              <a16:creationId xmlns:a16="http://schemas.microsoft.com/office/drawing/2014/main" id="{714ADF6C-561A-45A6-BB40-C9CC1A78CAD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09" name="TextBox 6909">
          <a:extLst>
            <a:ext uri="{FF2B5EF4-FFF2-40B4-BE49-F238E27FC236}">
              <a16:creationId xmlns:a16="http://schemas.microsoft.com/office/drawing/2014/main" id="{1A27740B-5CE8-42EE-9D6C-45D92A115C2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0" name="TextBox 15">
          <a:extLst>
            <a:ext uri="{FF2B5EF4-FFF2-40B4-BE49-F238E27FC236}">
              <a16:creationId xmlns:a16="http://schemas.microsoft.com/office/drawing/2014/main" id="{9FB78957-D08A-41C1-8779-6F394432391F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1" name="TextBox 16">
          <a:extLst>
            <a:ext uri="{FF2B5EF4-FFF2-40B4-BE49-F238E27FC236}">
              <a16:creationId xmlns:a16="http://schemas.microsoft.com/office/drawing/2014/main" id="{DED78893-E981-411F-A4B4-A9A69B7E5223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2" name="TextBox 17">
          <a:extLst>
            <a:ext uri="{FF2B5EF4-FFF2-40B4-BE49-F238E27FC236}">
              <a16:creationId xmlns:a16="http://schemas.microsoft.com/office/drawing/2014/main" id="{853909D6-55D0-4B06-9B5F-4BA3606469B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3" name="TextBox 18">
          <a:extLst>
            <a:ext uri="{FF2B5EF4-FFF2-40B4-BE49-F238E27FC236}">
              <a16:creationId xmlns:a16="http://schemas.microsoft.com/office/drawing/2014/main" id="{24D0A63D-8AF4-49F3-ACDF-79B941F13936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4" name="TextBox 6914">
          <a:extLst>
            <a:ext uri="{FF2B5EF4-FFF2-40B4-BE49-F238E27FC236}">
              <a16:creationId xmlns:a16="http://schemas.microsoft.com/office/drawing/2014/main" id="{CB928C0B-D607-430A-B4FE-8D7EB9058E9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5" name="TextBox 6915">
          <a:extLst>
            <a:ext uri="{FF2B5EF4-FFF2-40B4-BE49-F238E27FC236}">
              <a16:creationId xmlns:a16="http://schemas.microsoft.com/office/drawing/2014/main" id="{EE5D0445-EB13-45AE-968C-6F5B3E417694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6" name="TextBox 1">
          <a:extLst>
            <a:ext uri="{FF2B5EF4-FFF2-40B4-BE49-F238E27FC236}">
              <a16:creationId xmlns:a16="http://schemas.microsoft.com/office/drawing/2014/main" id="{FEC45B62-1397-4BDB-A54B-EE12488CB88C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7" name="TextBox 3">
          <a:extLst>
            <a:ext uri="{FF2B5EF4-FFF2-40B4-BE49-F238E27FC236}">
              <a16:creationId xmlns:a16="http://schemas.microsoft.com/office/drawing/2014/main" id="{5A79535F-54FD-4113-89C3-753AA95340C7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8" name="TextBox 6918">
          <a:extLst>
            <a:ext uri="{FF2B5EF4-FFF2-40B4-BE49-F238E27FC236}">
              <a16:creationId xmlns:a16="http://schemas.microsoft.com/office/drawing/2014/main" id="{4EA7E502-A82A-4A61-9287-9CB4D692E42D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19" name="TextBox 6919">
          <a:extLst>
            <a:ext uri="{FF2B5EF4-FFF2-40B4-BE49-F238E27FC236}">
              <a16:creationId xmlns:a16="http://schemas.microsoft.com/office/drawing/2014/main" id="{5A7A5D21-980D-4D7D-990F-7D73EA3B337C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0" name="TextBox 6920">
          <a:extLst>
            <a:ext uri="{FF2B5EF4-FFF2-40B4-BE49-F238E27FC236}">
              <a16:creationId xmlns:a16="http://schemas.microsoft.com/office/drawing/2014/main" id="{EAC88EBF-223D-4D02-9D08-46961DB3541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1" name="TextBox 6921">
          <a:extLst>
            <a:ext uri="{FF2B5EF4-FFF2-40B4-BE49-F238E27FC236}">
              <a16:creationId xmlns:a16="http://schemas.microsoft.com/office/drawing/2014/main" id="{6552D97A-E434-4D12-956E-AD138377898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2" name="TextBox 6922">
          <a:extLst>
            <a:ext uri="{FF2B5EF4-FFF2-40B4-BE49-F238E27FC236}">
              <a16:creationId xmlns:a16="http://schemas.microsoft.com/office/drawing/2014/main" id="{16AC3884-E74D-4D69-BBE1-4B725E3A33B0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3" name="TextBox 6923">
          <a:extLst>
            <a:ext uri="{FF2B5EF4-FFF2-40B4-BE49-F238E27FC236}">
              <a16:creationId xmlns:a16="http://schemas.microsoft.com/office/drawing/2014/main" id="{4F6B9F30-52AD-4A69-93EE-B5F27B328C2C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4" name="TextBox 6924">
          <a:extLst>
            <a:ext uri="{FF2B5EF4-FFF2-40B4-BE49-F238E27FC236}">
              <a16:creationId xmlns:a16="http://schemas.microsoft.com/office/drawing/2014/main" id="{DB1C26EF-F86D-42D0-8FCE-55ADFC79F49B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5" name="TextBox 6925">
          <a:extLst>
            <a:ext uri="{FF2B5EF4-FFF2-40B4-BE49-F238E27FC236}">
              <a16:creationId xmlns:a16="http://schemas.microsoft.com/office/drawing/2014/main" id="{A02496D2-B261-4D97-A1BF-D47BB5884CFC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6" name="TextBox 6926">
          <a:extLst>
            <a:ext uri="{FF2B5EF4-FFF2-40B4-BE49-F238E27FC236}">
              <a16:creationId xmlns:a16="http://schemas.microsoft.com/office/drawing/2014/main" id="{428113AF-A8F1-4B61-8A24-F097731E714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7" name="TextBox 6927">
          <a:extLst>
            <a:ext uri="{FF2B5EF4-FFF2-40B4-BE49-F238E27FC236}">
              <a16:creationId xmlns:a16="http://schemas.microsoft.com/office/drawing/2014/main" id="{A0B5C3FA-A13B-44D5-870C-CBA33760F114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8" name="TextBox 13">
          <a:extLst>
            <a:ext uri="{FF2B5EF4-FFF2-40B4-BE49-F238E27FC236}">
              <a16:creationId xmlns:a16="http://schemas.microsoft.com/office/drawing/2014/main" id="{A3CEC6F8-E69F-4A0C-A171-7BED159C27A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29" name="TextBox 14">
          <a:extLst>
            <a:ext uri="{FF2B5EF4-FFF2-40B4-BE49-F238E27FC236}">
              <a16:creationId xmlns:a16="http://schemas.microsoft.com/office/drawing/2014/main" id="{6C59003B-016D-401F-9698-ADA7CAC19721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0" name="TextBox 6930">
          <a:extLst>
            <a:ext uri="{FF2B5EF4-FFF2-40B4-BE49-F238E27FC236}">
              <a16:creationId xmlns:a16="http://schemas.microsoft.com/office/drawing/2014/main" id="{D181BF73-504E-4C73-B90B-F0B55CEE1E9B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1" name="TextBox 6931">
          <a:extLst>
            <a:ext uri="{FF2B5EF4-FFF2-40B4-BE49-F238E27FC236}">
              <a16:creationId xmlns:a16="http://schemas.microsoft.com/office/drawing/2014/main" id="{87CB167A-8D95-42A6-9353-408F193607FF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2" name="TextBox 6932">
          <a:extLst>
            <a:ext uri="{FF2B5EF4-FFF2-40B4-BE49-F238E27FC236}">
              <a16:creationId xmlns:a16="http://schemas.microsoft.com/office/drawing/2014/main" id="{A9C7E32B-4033-4985-A95B-34BB981DD730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3" name="TextBox 6933">
          <a:extLst>
            <a:ext uri="{FF2B5EF4-FFF2-40B4-BE49-F238E27FC236}">
              <a16:creationId xmlns:a16="http://schemas.microsoft.com/office/drawing/2014/main" id="{3003C71B-6B62-4FC9-9723-05B66C233F9D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4" name="TextBox 15">
          <a:extLst>
            <a:ext uri="{FF2B5EF4-FFF2-40B4-BE49-F238E27FC236}">
              <a16:creationId xmlns:a16="http://schemas.microsoft.com/office/drawing/2014/main" id="{9D2574E0-9297-4FEB-96AF-2F8E42F6F57B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5" name="TextBox 16">
          <a:extLst>
            <a:ext uri="{FF2B5EF4-FFF2-40B4-BE49-F238E27FC236}">
              <a16:creationId xmlns:a16="http://schemas.microsoft.com/office/drawing/2014/main" id="{E8D4E66B-011B-4EB9-8CB5-4A4A21B5C9F7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6" name="TextBox 17">
          <a:extLst>
            <a:ext uri="{FF2B5EF4-FFF2-40B4-BE49-F238E27FC236}">
              <a16:creationId xmlns:a16="http://schemas.microsoft.com/office/drawing/2014/main" id="{1F0F65EC-F1D0-4F74-A4D7-EC56F36E230D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7" name="TextBox 18">
          <a:extLst>
            <a:ext uri="{FF2B5EF4-FFF2-40B4-BE49-F238E27FC236}">
              <a16:creationId xmlns:a16="http://schemas.microsoft.com/office/drawing/2014/main" id="{DB278E94-7B79-4D1A-9851-CAC99E4870E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8" name="TextBox 6938">
          <a:extLst>
            <a:ext uri="{FF2B5EF4-FFF2-40B4-BE49-F238E27FC236}">
              <a16:creationId xmlns:a16="http://schemas.microsoft.com/office/drawing/2014/main" id="{858D151A-DD47-4135-ACBB-F1BC404D934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39" name="TextBox 6939">
          <a:extLst>
            <a:ext uri="{FF2B5EF4-FFF2-40B4-BE49-F238E27FC236}">
              <a16:creationId xmlns:a16="http://schemas.microsoft.com/office/drawing/2014/main" id="{3D9A23BB-8682-4020-9330-24FF925BD1C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0" name="TextBox 1">
          <a:extLst>
            <a:ext uri="{FF2B5EF4-FFF2-40B4-BE49-F238E27FC236}">
              <a16:creationId xmlns:a16="http://schemas.microsoft.com/office/drawing/2014/main" id="{56CC1382-2B8C-47DC-BEE3-03D4C9ACAAB4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1" name="TextBox 3">
          <a:extLst>
            <a:ext uri="{FF2B5EF4-FFF2-40B4-BE49-F238E27FC236}">
              <a16:creationId xmlns:a16="http://schemas.microsoft.com/office/drawing/2014/main" id="{9A98FD67-B855-4BB8-A93D-5207226AC1F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2" name="TextBox 6942">
          <a:extLst>
            <a:ext uri="{FF2B5EF4-FFF2-40B4-BE49-F238E27FC236}">
              <a16:creationId xmlns:a16="http://schemas.microsoft.com/office/drawing/2014/main" id="{9094B008-8F57-4ADA-935A-897190E488C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3" name="TextBox 6943">
          <a:extLst>
            <a:ext uri="{FF2B5EF4-FFF2-40B4-BE49-F238E27FC236}">
              <a16:creationId xmlns:a16="http://schemas.microsoft.com/office/drawing/2014/main" id="{98EB3062-0E39-440F-AD54-39619BE07562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4" name="TextBox 6944">
          <a:extLst>
            <a:ext uri="{FF2B5EF4-FFF2-40B4-BE49-F238E27FC236}">
              <a16:creationId xmlns:a16="http://schemas.microsoft.com/office/drawing/2014/main" id="{16C99455-B84F-4B2A-BF4B-E298A8E87B1B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5" name="TextBox 6945">
          <a:extLst>
            <a:ext uri="{FF2B5EF4-FFF2-40B4-BE49-F238E27FC236}">
              <a16:creationId xmlns:a16="http://schemas.microsoft.com/office/drawing/2014/main" id="{BA3D704E-7619-4029-8EF9-BD466EB03405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6" name="TextBox 6946">
          <a:extLst>
            <a:ext uri="{FF2B5EF4-FFF2-40B4-BE49-F238E27FC236}">
              <a16:creationId xmlns:a16="http://schemas.microsoft.com/office/drawing/2014/main" id="{C369A4B7-01FE-44CC-9060-7FAD940C7BA6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7" name="TextBox 6947">
          <a:extLst>
            <a:ext uri="{FF2B5EF4-FFF2-40B4-BE49-F238E27FC236}">
              <a16:creationId xmlns:a16="http://schemas.microsoft.com/office/drawing/2014/main" id="{8F23D9CE-E2F6-4091-80F9-33FF975D50B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8" name="TextBox 6948">
          <a:extLst>
            <a:ext uri="{FF2B5EF4-FFF2-40B4-BE49-F238E27FC236}">
              <a16:creationId xmlns:a16="http://schemas.microsoft.com/office/drawing/2014/main" id="{DAD11E8F-454D-4A2D-B2E2-F4150D93437E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49" name="TextBox 6949">
          <a:extLst>
            <a:ext uri="{FF2B5EF4-FFF2-40B4-BE49-F238E27FC236}">
              <a16:creationId xmlns:a16="http://schemas.microsoft.com/office/drawing/2014/main" id="{6EE2B383-1D45-4370-B6CA-DE18B4C04F4D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0" name="TextBox 6950">
          <a:extLst>
            <a:ext uri="{FF2B5EF4-FFF2-40B4-BE49-F238E27FC236}">
              <a16:creationId xmlns:a16="http://schemas.microsoft.com/office/drawing/2014/main" id="{76CF206C-1A24-4918-B1C1-906CAB735868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1" name="TextBox 6951">
          <a:extLst>
            <a:ext uri="{FF2B5EF4-FFF2-40B4-BE49-F238E27FC236}">
              <a16:creationId xmlns:a16="http://schemas.microsoft.com/office/drawing/2014/main" id="{816C4DAA-FFE5-42A6-9910-1D95172DC76A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2" name="TextBox 13">
          <a:extLst>
            <a:ext uri="{FF2B5EF4-FFF2-40B4-BE49-F238E27FC236}">
              <a16:creationId xmlns:a16="http://schemas.microsoft.com/office/drawing/2014/main" id="{DD405FE4-2489-496E-807A-F2984FBFB464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3" name="TextBox 14">
          <a:extLst>
            <a:ext uri="{FF2B5EF4-FFF2-40B4-BE49-F238E27FC236}">
              <a16:creationId xmlns:a16="http://schemas.microsoft.com/office/drawing/2014/main" id="{B19F4034-ED60-45E6-AB4A-942F312D41A4}"/>
            </a:ext>
          </a:extLst>
        </xdr:cNvPr>
        <xdr:cNvSpPr txBox="1"/>
      </xdr:nvSpPr>
      <xdr:spPr>
        <a:xfrm>
          <a:off x="1909762" y="331374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4" name="TextBox 6954">
          <a:extLst>
            <a:ext uri="{FF2B5EF4-FFF2-40B4-BE49-F238E27FC236}">
              <a16:creationId xmlns:a16="http://schemas.microsoft.com/office/drawing/2014/main" id="{BA628AF2-B4B0-449B-B792-3EA738DC4C7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5" name="TextBox 6955">
          <a:extLst>
            <a:ext uri="{FF2B5EF4-FFF2-40B4-BE49-F238E27FC236}">
              <a16:creationId xmlns:a16="http://schemas.microsoft.com/office/drawing/2014/main" id="{2C5AABE1-0AEB-4248-B833-1864ADDF211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6" name="TextBox 6956">
          <a:extLst>
            <a:ext uri="{FF2B5EF4-FFF2-40B4-BE49-F238E27FC236}">
              <a16:creationId xmlns:a16="http://schemas.microsoft.com/office/drawing/2014/main" id="{6925A73A-6F3C-4927-BDAC-568C11647AD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7" name="TextBox 6957">
          <a:extLst>
            <a:ext uri="{FF2B5EF4-FFF2-40B4-BE49-F238E27FC236}">
              <a16:creationId xmlns:a16="http://schemas.microsoft.com/office/drawing/2014/main" id="{20547ED6-858B-4D6E-B556-DEC309EDE74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8" name="TextBox 15">
          <a:extLst>
            <a:ext uri="{FF2B5EF4-FFF2-40B4-BE49-F238E27FC236}">
              <a16:creationId xmlns:a16="http://schemas.microsoft.com/office/drawing/2014/main" id="{C81C6BA7-FB0A-44A8-9A83-F98B282EA26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59" name="TextBox 16">
          <a:extLst>
            <a:ext uri="{FF2B5EF4-FFF2-40B4-BE49-F238E27FC236}">
              <a16:creationId xmlns:a16="http://schemas.microsoft.com/office/drawing/2014/main" id="{876A068D-7939-40F7-95A7-38016520BD4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0" name="TextBox 17">
          <a:extLst>
            <a:ext uri="{FF2B5EF4-FFF2-40B4-BE49-F238E27FC236}">
              <a16:creationId xmlns:a16="http://schemas.microsoft.com/office/drawing/2014/main" id="{1953CEDB-A389-43D8-A803-47EC527A54B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1" name="TextBox 18">
          <a:extLst>
            <a:ext uri="{FF2B5EF4-FFF2-40B4-BE49-F238E27FC236}">
              <a16:creationId xmlns:a16="http://schemas.microsoft.com/office/drawing/2014/main" id="{EEAB2505-D67A-43F2-9773-70ED9A6D706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2" name="TextBox 6962">
          <a:extLst>
            <a:ext uri="{FF2B5EF4-FFF2-40B4-BE49-F238E27FC236}">
              <a16:creationId xmlns:a16="http://schemas.microsoft.com/office/drawing/2014/main" id="{5254847E-AB70-4AC7-9CC6-F77D8898289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3" name="TextBox 6963">
          <a:extLst>
            <a:ext uri="{FF2B5EF4-FFF2-40B4-BE49-F238E27FC236}">
              <a16:creationId xmlns:a16="http://schemas.microsoft.com/office/drawing/2014/main" id="{E456275E-BA75-48E8-A27A-1F6BBA00550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4" name="TextBox 1">
          <a:extLst>
            <a:ext uri="{FF2B5EF4-FFF2-40B4-BE49-F238E27FC236}">
              <a16:creationId xmlns:a16="http://schemas.microsoft.com/office/drawing/2014/main" id="{11267903-F9FD-450C-A26F-B103B74864D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5" name="TextBox 3">
          <a:extLst>
            <a:ext uri="{FF2B5EF4-FFF2-40B4-BE49-F238E27FC236}">
              <a16:creationId xmlns:a16="http://schemas.microsoft.com/office/drawing/2014/main" id="{EB69833B-89F0-4CA8-9790-C6134F6824C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6" name="TextBox 6966">
          <a:extLst>
            <a:ext uri="{FF2B5EF4-FFF2-40B4-BE49-F238E27FC236}">
              <a16:creationId xmlns:a16="http://schemas.microsoft.com/office/drawing/2014/main" id="{72724A0F-5DA7-4EFB-8692-FDE324FB40F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7" name="TextBox 6967">
          <a:extLst>
            <a:ext uri="{FF2B5EF4-FFF2-40B4-BE49-F238E27FC236}">
              <a16:creationId xmlns:a16="http://schemas.microsoft.com/office/drawing/2014/main" id="{B7C584B5-0D2F-4DE0-A19E-38654223F82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8" name="TextBox 6968">
          <a:extLst>
            <a:ext uri="{FF2B5EF4-FFF2-40B4-BE49-F238E27FC236}">
              <a16:creationId xmlns:a16="http://schemas.microsoft.com/office/drawing/2014/main" id="{79DE72CA-B85D-478E-A15F-00F91A04F06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69" name="TextBox 6969">
          <a:extLst>
            <a:ext uri="{FF2B5EF4-FFF2-40B4-BE49-F238E27FC236}">
              <a16:creationId xmlns:a16="http://schemas.microsoft.com/office/drawing/2014/main" id="{1D0AC13E-ADF1-42C9-BFDF-503495918A6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0" name="TextBox 6970">
          <a:extLst>
            <a:ext uri="{FF2B5EF4-FFF2-40B4-BE49-F238E27FC236}">
              <a16:creationId xmlns:a16="http://schemas.microsoft.com/office/drawing/2014/main" id="{AA45D466-DC9A-426D-A5DF-E808B1B4961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1" name="TextBox 6971">
          <a:extLst>
            <a:ext uri="{FF2B5EF4-FFF2-40B4-BE49-F238E27FC236}">
              <a16:creationId xmlns:a16="http://schemas.microsoft.com/office/drawing/2014/main" id="{F39D628D-7A03-4197-BA50-C8D60750F54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2" name="TextBox 6972">
          <a:extLst>
            <a:ext uri="{FF2B5EF4-FFF2-40B4-BE49-F238E27FC236}">
              <a16:creationId xmlns:a16="http://schemas.microsoft.com/office/drawing/2014/main" id="{45F73242-D457-499D-9D41-CF986D28C8A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3" name="TextBox 6973">
          <a:extLst>
            <a:ext uri="{FF2B5EF4-FFF2-40B4-BE49-F238E27FC236}">
              <a16:creationId xmlns:a16="http://schemas.microsoft.com/office/drawing/2014/main" id="{A229A359-79B9-477F-8D98-42032C77A32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4" name="TextBox 6974">
          <a:extLst>
            <a:ext uri="{FF2B5EF4-FFF2-40B4-BE49-F238E27FC236}">
              <a16:creationId xmlns:a16="http://schemas.microsoft.com/office/drawing/2014/main" id="{9506614C-2D2C-4076-B316-A9EEAFB5EA1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5" name="TextBox 6975">
          <a:extLst>
            <a:ext uri="{FF2B5EF4-FFF2-40B4-BE49-F238E27FC236}">
              <a16:creationId xmlns:a16="http://schemas.microsoft.com/office/drawing/2014/main" id="{A64187CE-DEA7-4778-855D-9D343BCD7A5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6" name="TextBox 13">
          <a:extLst>
            <a:ext uri="{FF2B5EF4-FFF2-40B4-BE49-F238E27FC236}">
              <a16:creationId xmlns:a16="http://schemas.microsoft.com/office/drawing/2014/main" id="{DB50E088-0250-488E-8166-E092242AAF7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7" name="TextBox 14">
          <a:extLst>
            <a:ext uri="{FF2B5EF4-FFF2-40B4-BE49-F238E27FC236}">
              <a16:creationId xmlns:a16="http://schemas.microsoft.com/office/drawing/2014/main" id="{CEB6315D-8945-4158-9810-4CBDE2FA588C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8" name="TextBox 6978">
          <a:extLst>
            <a:ext uri="{FF2B5EF4-FFF2-40B4-BE49-F238E27FC236}">
              <a16:creationId xmlns:a16="http://schemas.microsoft.com/office/drawing/2014/main" id="{99BC1029-F113-4719-9306-FFEAA15118B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79" name="TextBox 6979">
          <a:extLst>
            <a:ext uri="{FF2B5EF4-FFF2-40B4-BE49-F238E27FC236}">
              <a16:creationId xmlns:a16="http://schemas.microsoft.com/office/drawing/2014/main" id="{119CDDF2-757D-4EEC-95F8-D8C133CB4C1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0" name="TextBox 6980">
          <a:extLst>
            <a:ext uri="{FF2B5EF4-FFF2-40B4-BE49-F238E27FC236}">
              <a16:creationId xmlns:a16="http://schemas.microsoft.com/office/drawing/2014/main" id="{B343438F-0396-40EE-9D45-C0E01004A07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1" name="TextBox 6981">
          <a:extLst>
            <a:ext uri="{FF2B5EF4-FFF2-40B4-BE49-F238E27FC236}">
              <a16:creationId xmlns:a16="http://schemas.microsoft.com/office/drawing/2014/main" id="{80A2DD08-47E2-47F3-BADB-F408DB8A6C3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2" name="TextBox 15">
          <a:extLst>
            <a:ext uri="{FF2B5EF4-FFF2-40B4-BE49-F238E27FC236}">
              <a16:creationId xmlns:a16="http://schemas.microsoft.com/office/drawing/2014/main" id="{437AE20E-D625-408B-972F-E70188D47D8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3" name="TextBox 16">
          <a:extLst>
            <a:ext uri="{FF2B5EF4-FFF2-40B4-BE49-F238E27FC236}">
              <a16:creationId xmlns:a16="http://schemas.microsoft.com/office/drawing/2014/main" id="{6723E1F2-2064-41F0-940C-454E2EC8F1F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4" name="TextBox 17">
          <a:extLst>
            <a:ext uri="{FF2B5EF4-FFF2-40B4-BE49-F238E27FC236}">
              <a16:creationId xmlns:a16="http://schemas.microsoft.com/office/drawing/2014/main" id="{14C6CC60-DE23-44C9-8ED0-52E66EB0201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5" name="TextBox 18">
          <a:extLst>
            <a:ext uri="{FF2B5EF4-FFF2-40B4-BE49-F238E27FC236}">
              <a16:creationId xmlns:a16="http://schemas.microsoft.com/office/drawing/2014/main" id="{63CA80B9-9B78-4AE0-B4B2-942D386A5E4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6" name="TextBox 6986">
          <a:extLst>
            <a:ext uri="{FF2B5EF4-FFF2-40B4-BE49-F238E27FC236}">
              <a16:creationId xmlns:a16="http://schemas.microsoft.com/office/drawing/2014/main" id="{9AD4CF94-5C26-4AE6-A442-61B700633E2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7" name="TextBox 6987">
          <a:extLst>
            <a:ext uri="{FF2B5EF4-FFF2-40B4-BE49-F238E27FC236}">
              <a16:creationId xmlns:a16="http://schemas.microsoft.com/office/drawing/2014/main" id="{CC535108-3E0C-4FAE-ACE9-CD596BA16C6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8" name="TextBox 1">
          <a:extLst>
            <a:ext uri="{FF2B5EF4-FFF2-40B4-BE49-F238E27FC236}">
              <a16:creationId xmlns:a16="http://schemas.microsoft.com/office/drawing/2014/main" id="{7C5D9D1D-483E-48F8-A66C-F429E9064A6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89" name="TextBox 3">
          <a:extLst>
            <a:ext uri="{FF2B5EF4-FFF2-40B4-BE49-F238E27FC236}">
              <a16:creationId xmlns:a16="http://schemas.microsoft.com/office/drawing/2014/main" id="{5249B01A-1161-47AB-8BF9-879FC09B809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0" name="TextBox 6990">
          <a:extLst>
            <a:ext uri="{FF2B5EF4-FFF2-40B4-BE49-F238E27FC236}">
              <a16:creationId xmlns:a16="http://schemas.microsoft.com/office/drawing/2014/main" id="{7638133D-23E3-41BC-ACF4-2F5134F32201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1" name="TextBox 6991">
          <a:extLst>
            <a:ext uri="{FF2B5EF4-FFF2-40B4-BE49-F238E27FC236}">
              <a16:creationId xmlns:a16="http://schemas.microsoft.com/office/drawing/2014/main" id="{A33B5373-84EE-4D10-B322-A559DDD97DE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2" name="TextBox 6992">
          <a:extLst>
            <a:ext uri="{FF2B5EF4-FFF2-40B4-BE49-F238E27FC236}">
              <a16:creationId xmlns:a16="http://schemas.microsoft.com/office/drawing/2014/main" id="{9B20FA13-E887-4946-8E8D-05FFDC2981B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3" name="TextBox 6993">
          <a:extLst>
            <a:ext uri="{FF2B5EF4-FFF2-40B4-BE49-F238E27FC236}">
              <a16:creationId xmlns:a16="http://schemas.microsoft.com/office/drawing/2014/main" id="{118B81FE-5820-40A2-9A46-0E87AB440FF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4" name="TextBox 6994">
          <a:extLst>
            <a:ext uri="{FF2B5EF4-FFF2-40B4-BE49-F238E27FC236}">
              <a16:creationId xmlns:a16="http://schemas.microsoft.com/office/drawing/2014/main" id="{DEAC24CE-17B4-461A-9943-05D94EB6C27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5" name="TextBox 6995">
          <a:extLst>
            <a:ext uri="{FF2B5EF4-FFF2-40B4-BE49-F238E27FC236}">
              <a16:creationId xmlns:a16="http://schemas.microsoft.com/office/drawing/2014/main" id="{821BE016-F2D3-4BF9-9974-68BCC1E6E31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6" name="TextBox 6996">
          <a:extLst>
            <a:ext uri="{FF2B5EF4-FFF2-40B4-BE49-F238E27FC236}">
              <a16:creationId xmlns:a16="http://schemas.microsoft.com/office/drawing/2014/main" id="{43984690-9A4B-4D2D-A12E-02D242B1395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7" name="TextBox 6997">
          <a:extLst>
            <a:ext uri="{FF2B5EF4-FFF2-40B4-BE49-F238E27FC236}">
              <a16:creationId xmlns:a16="http://schemas.microsoft.com/office/drawing/2014/main" id="{C4B21C07-326C-408B-BF37-9089062FDFA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8" name="TextBox 6998">
          <a:extLst>
            <a:ext uri="{FF2B5EF4-FFF2-40B4-BE49-F238E27FC236}">
              <a16:creationId xmlns:a16="http://schemas.microsoft.com/office/drawing/2014/main" id="{9E662188-B293-43D7-814A-86C526A883F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599" name="TextBox 6999">
          <a:extLst>
            <a:ext uri="{FF2B5EF4-FFF2-40B4-BE49-F238E27FC236}">
              <a16:creationId xmlns:a16="http://schemas.microsoft.com/office/drawing/2014/main" id="{DA60B69B-B365-4455-A6AB-A2096C90ECA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0" name="TextBox 13">
          <a:extLst>
            <a:ext uri="{FF2B5EF4-FFF2-40B4-BE49-F238E27FC236}">
              <a16:creationId xmlns:a16="http://schemas.microsoft.com/office/drawing/2014/main" id="{ADBE51AC-1F1C-4439-B44E-75D9EE15D55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1" name="TextBox 14">
          <a:extLst>
            <a:ext uri="{FF2B5EF4-FFF2-40B4-BE49-F238E27FC236}">
              <a16:creationId xmlns:a16="http://schemas.microsoft.com/office/drawing/2014/main" id="{AE689B14-6BB3-4530-89DB-2EF5B736575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2" name="TextBox 7002">
          <a:extLst>
            <a:ext uri="{FF2B5EF4-FFF2-40B4-BE49-F238E27FC236}">
              <a16:creationId xmlns:a16="http://schemas.microsoft.com/office/drawing/2014/main" id="{3131BBF7-F18B-445C-BE3F-8558ED0BFCB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3" name="TextBox 7003">
          <a:extLst>
            <a:ext uri="{FF2B5EF4-FFF2-40B4-BE49-F238E27FC236}">
              <a16:creationId xmlns:a16="http://schemas.microsoft.com/office/drawing/2014/main" id="{9AEEF03F-FB30-4F8B-9763-6A9AC502ECC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4" name="TextBox 7004">
          <a:extLst>
            <a:ext uri="{FF2B5EF4-FFF2-40B4-BE49-F238E27FC236}">
              <a16:creationId xmlns:a16="http://schemas.microsoft.com/office/drawing/2014/main" id="{AE9345C6-FC36-429A-A3D1-FDF6FDA49F3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5" name="TextBox 7005">
          <a:extLst>
            <a:ext uri="{FF2B5EF4-FFF2-40B4-BE49-F238E27FC236}">
              <a16:creationId xmlns:a16="http://schemas.microsoft.com/office/drawing/2014/main" id="{63AB688C-9CC5-4A46-806B-5C26E79356C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6" name="TextBox 15">
          <a:extLst>
            <a:ext uri="{FF2B5EF4-FFF2-40B4-BE49-F238E27FC236}">
              <a16:creationId xmlns:a16="http://schemas.microsoft.com/office/drawing/2014/main" id="{B0414EB3-666F-459C-AF53-658B7D526F4D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7" name="TextBox 16">
          <a:extLst>
            <a:ext uri="{FF2B5EF4-FFF2-40B4-BE49-F238E27FC236}">
              <a16:creationId xmlns:a16="http://schemas.microsoft.com/office/drawing/2014/main" id="{CFE51586-D58C-4329-A91A-F0E9595364BE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8" name="TextBox 17">
          <a:extLst>
            <a:ext uri="{FF2B5EF4-FFF2-40B4-BE49-F238E27FC236}">
              <a16:creationId xmlns:a16="http://schemas.microsoft.com/office/drawing/2014/main" id="{5C97C62E-3AFE-448A-92D8-BC75FE899A57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09" name="TextBox 18">
          <a:extLst>
            <a:ext uri="{FF2B5EF4-FFF2-40B4-BE49-F238E27FC236}">
              <a16:creationId xmlns:a16="http://schemas.microsoft.com/office/drawing/2014/main" id="{6F7EA891-D46E-4D4F-A6E2-EECDAE8C878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0" name="TextBox 7010">
          <a:extLst>
            <a:ext uri="{FF2B5EF4-FFF2-40B4-BE49-F238E27FC236}">
              <a16:creationId xmlns:a16="http://schemas.microsoft.com/office/drawing/2014/main" id="{AA6DE43C-BC7C-46C6-AC1F-63D3B6BB4B3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1" name="TextBox 7011">
          <a:extLst>
            <a:ext uri="{FF2B5EF4-FFF2-40B4-BE49-F238E27FC236}">
              <a16:creationId xmlns:a16="http://schemas.microsoft.com/office/drawing/2014/main" id="{65EDB3E2-EB3D-4F9A-BF9E-BF1F21367DB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2" name="TextBox 1">
          <a:extLst>
            <a:ext uri="{FF2B5EF4-FFF2-40B4-BE49-F238E27FC236}">
              <a16:creationId xmlns:a16="http://schemas.microsoft.com/office/drawing/2014/main" id="{F772B6C6-081C-4D3F-A154-6C25FB6CEEB8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3" name="TextBox 3">
          <a:extLst>
            <a:ext uri="{FF2B5EF4-FFF2-40B4-BE49-F238E27FC236}">
              <a16:creationId xmlns:a16="http://schemas.microsoft.com/office/drawing/2014/main" id="{8F0CC624-C497-476D-94C9-8727A6D4146F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4" name="TextBox 7014">
          <a:extLst>
            <a:ext uri="{FF2B5EF4-FFF2-40B4-BE49-F238E27FC236}">
              <a16:creationId xmlns:a16="http://schemas.microsoft.com/office/drawing/2014/main" id="{7807D722-8CC7-409E-9C43-2F199F16B1A3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5" name="TextBox 7015">
          <a:extLst>
            <a:ext uri="{FF2B5EF4-FFF2-40B4-BE49-F238E27FC236}">
              <a16:creationId xmlns:a16="http://schemas.microsoft.com/office/drawing/2014/main" id="{FC7FFE4A-C1E8-49E9-BFC4-E12FA73BFB20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6" name="TextBox 7016">
          <a:extLst>
            <a:ext uri="{FF2B5EF4-FFF2-40B4-BE49-F238E27FC236}">
              <a16:creationId xmlns:a16="http://schemas.microsoft.com/office/drawing/2014/main" id="{8B2F785A-355A-4AE2-930F-078E0E91899B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7" name="TextBox 7017">
          <a:extLst>
            <a:ext uri="{FF2B5EF4-FFF2-40B4-BE49-F238E27FC236}">
              <a16:creationId xmlns:a16="http://schemas.microsoft.com/office/drawing/2014/main" id="{26DD75A8-FBCC-4661-8725-8BB5BC4072A4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8" name="TextBox 7018">
          <a:extLst>
            <a:ext uri="{FF2B5EF4-FFF2-40B4-BE49-F238E27FC236}">
              <a16:creationId xmlns:a16="http://schemas.microsoft.com/office/drawing/2014/main" id="{F4ECE9DA-15C6-4C57-B692-6D6FAA19ADE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19" name="TextBox 7019">
          <a:extLst>
            <a:ext uri="{FF2B5EF4-FFF2-40B4-BE49-F238E27FC236}">
              <a16:creationId xmlns:a16="http://schemas.microsoft.com/office/drawing/2014/main" id="{3AB998C1-9273-4000-AE7C-50B954527AF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0" name="TextBox 7020">
          <a:extLst>
            <a:ext uri="{FF2B5EF4-FFF2-40B4-BE49-F238E27FC236}">
              <a16:creationId xmlns:a16="http://schemas.microsoft.com/office/drawing/2014/main" id="{061AC893-C776-44B4-9AEA-712C1FE4B2E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1" name="TextBox 7021">
          <a:extLst>
            <a:ext uri="{FF2B5EF4-FFF2-40B4-BE49-F238E27FC236}">
              <a16:creationId xmlns:a16="http://schemas.microsoft.com/office/drawing/2014/main" id="{32F575C7-46A1-48BF-88DF-D416E1B1748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2" name="TextBox 7022">
          <a:extLst>
            <a:ext uri="{FF2B5EF4-FFF2-40B4-BE49-F238E27FC236}">
              <a16:creationId xmlns:a16="http://schemas.microsoft.com/office/drawing/2014/main" id="{CABB2B75-5B64-44AA-8391-054DE7945B56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3" name="TextBox 7023">
          <a:extLst>
            <a:ext uri="{FF2B5EF4-FFF2-40B4-BE49-F238E27FC236}">
              <a16:creationId xmlns:a16="http://schemas.microsoft.com/office/drawing/2014/main" id="{55A90C6A-826F-4C4C-9739-32FB1C626DE5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4" name="TextBox 13">
          <a:extLst>
            <a:ext uri="{FF2B5EF4-FFF2-40B4-BE49-F238E27FC236}">
              <a16:creationId xmlns:a16="http://schemas.microsoft.com/office/drawing/2014/main" id="{0AAD95DA-4F71-4512-AE60-40BED547220A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5" name="TextBox 14">
          <a:extLst>
            <a:ext uri="{FF2B5EF4-FFF2-40B4-BE49-F238E27FC236}">
              <a16:creationId xmlns:a16="http://schemas.microsoft.com/office/drawing/2014/main" id="{9FF11818-4D02-4973-926F-285D54EB49C9}"/>
            </a:ext>
          </a:extLst>
        </xdr:cNvPr>
        <xdr:cNvSpPr txBox="1"/>
      </xdr:nvSpPr>
      <xdr:spPr>
        <a:xfrm>
          <a:off x="1909762" y="335280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6" name="TextBox 7026">
          <a:extLst>
            <a:ext uri="{FF2B5EF4-FFF2-40B4-BE49-F238E27FC236}">
              <a16:creationId xmlns:a16="http://schemas.microsoft.com/office/drawing/2014/main" id="{3B37B9EE-7D6A-4AD7-B771-186D0255022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7" name="TextBox 7027">
          <a:extLst>
            <a:ext uri="{FF2B5EF4-FFF2-40B4-BE49-F238E27FC236}">
              <a16:creationId xmlns:a16="http://schemas.microsoft.com/office/drawing/2014/main" id="{5A37278A-1C30-4B06-BEE6-F4F0A1E6C3F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8" name="TextBox 7028">
          <a:extLst>
            <a:ext uri="{FF2B5EF4-FFF2-40B4-BE49-F238E27FC236}">
              <a16:creationId xmlns:a16="http://schemas.microsoft.com/office/drawing/2014/main" id="{B71A7AE5-CFF2-46CE-9FCC-50F657D1FE27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29" name="TextBox 7029">
          <a:extLst>
            <a:ext uri="{FF2B5EF4-FFF2-40B4-BE49-F238E27FC236}">
              <a16:creationId xmlns:a16="http://schemas.microsoft.com/office/drawing/2014/main" id="{ED2DABEE-30AE-42FF-AA08-2F15EC5D7A9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0" name="TextBox 15">
          <a:extLst>
            <a:ext uri="{FF2B5EF4-FFF2-40B4-BE49-F238E27FC236}">
              <a16:creationId xmlns:a16="http://schemas.microsoft.com/office/drawing/2014/main" id="{8790D1C4-4BA0-4876-BE4C-2A04513F167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1" name="TextBox 16">
          <a:extLst>
            <a:ext uri="{FF2B5EF4-FFF2-40B4-BE49-F238E27FC236}">
              <a16:creationId xmlns:a16="http://schemas.microsoft.com/office/drawing/2014/main" id="{5DE29488-C5F9-4A8A-89DC-29AC01BFBC7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2" name="TextBox 17">
          <a:extLst>
            <a:ext uri="{FF2B5EF4-FFF2-40B4-BE49-F238E27FC236}">
              <a16:creationId xmlns:a16="http://schemas.microsoft.com/office/drawing/2014/main" id="{8EDF24C8-F7D9-44D5-B5AF-0A3645C7122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3" name="TextBox 18">
          <a:extLst>
            <a:ext uri="{FF2B5EF4-FFF2-40B4-BE49-F238E27FC236}">
              <a16:creationId xmlns:a16="http://schemas.microsoft.com/office/drawing/2014/main" id="{19C8A039-8D07-4F2D-B075-0EA73F1888A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4" name="TextBox 7034">
          <a:extLst>
            <a:ext uri="{FF2B5EF4-FFF2-40B4-BE49-F238E27FC236}">
              <a16:creationId xmlns:a16="http://schemas.microsoft.com/office/drawing/2014/main" id="{465AC8E5-8413-4675-9346-22E599533BE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5" name="TextBox 7035">
          <a:extLst>
            <a:ext uri="{FF2B5EF4-FFF2-40B4-BE49-F238E27FC236}">
              <a16:creationId xmlns:a16="http://schemas.microsoft.com/office/drawing/2014/main" id="{F7EB6AFF-FAF9-40E6-B483-E345B1CD699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6" name="TextBox 1">
          <a:extLst>
            <a:ext uri="{FF2B5EF4-FFF2-40B4-BE49-F238E27FC236}">
              <a16:creationId xmlns:a16="http://schemas.microsoft.com/office/drawing/2014/main" id="{0FD0D56F-723F-4685-A077-508F4C438D8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7" name="TextBox 3">
          <a:extLst>
            <a:ext uri="{FF2B5EF4-FFF2-40B4-BE49-F238E27FC236}">
              <a16:creationId xmlns:a16="http://schemas.microsoft.com/office/drawing/2014/main" id="{16F90C12-B709-4EE7-A13A-EBAFDD1C5DA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8" name="TextBox 7038">
          <a:extLst>
            <a:ext uri="{FF2B5EF4-FFF2-40B4-BE49-F238E27FC236}">
              <a16:creationId xmlns:a16="http://schemas.microsoft.com/office/drawing/2014/main" id="{2519E4BE-1DC4-465F-BF74-238B86E0FFA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39" name="TextBox 7039">
          <a:extLst>
            <a:ext uri="{FF2B5EF4-FFF2-40B4-BE49-F238E27FC236}">
              <a16:creationId xmlns:a16="http://schemas.microsoft.com/office/drawing/2014/main" id="{AD36F95E-2E98-4821-914C-FE4853F9AF6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0" name="TextBox 7040">
          <a:extLst>
            <a:ext uri="{FF2B5EF4-FFF2-40B4-BE49-F238E27FC236}">
              <a16:creationId xmlns:a16="http://schemas.microsoft.com/office/drawing/2014/main" id="{934B3B48-CF42-44B9-B14E-1C64D7E448B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1" name="TextBox 7041">
          <a:extLst>
            <a:ext uri="{FF2B5EF4-FFF2-40B4-BE49-F238E27FC236}">
              <a16:creationId xmlns:a16="http://schemas.microsoft.com/office/drawing/2014/main" id="{63B5E102-0654-4FE5-9E1E-661BC903AED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2" name="TextBox 7042">
          <a:extLst>
            <a:ext uri="{FF2B5EF4-FFF2-40B4-BE49-F238E27FC236}">
              <a16:creationId xmlns:a16="http://schemas.microsoft.com/office/drawing/2014/main" id="{CE16428F-1C4F-4B5C-B893-E3563F51194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3" name="TextBox 7043">
          <a:extLst>
            <a:ext uri="{FF2B5EF4-FFF2-40B4-BE49-F238E27FC236}">
              <a16:creationId xmlns:a16="http://schemas.microsoft.com/office/drawing/2014/main" id="{BE8D9D79-29E5-40DD-BB62-16FFCD7531E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4" name="TextBox 7044">
          <a:extLst>
            <a:ext uri="{FF2B5EF4-FFF2-40B4-BE49-F238E27FC236}">
              <a16:creationId xmlns:a16="http://schemas.microsoft.com/office/drawing/2014/main" id="{B231379A-92EB-45CA-95D9-684A9EA5AF7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5" name="TextBox 7045">
          <a:extLst>
            <a:ext uri="{FF2B5EF4-FFF2-40B4-BE49-F238E27FC236}">
              <a16:creationId xmlns:a16="http://schemas.microsoft.com/office/drawing/2014/main" id="{F3F08B38-59DF-474F-8FBC-BF605CD403E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6" name="TextBox 7046">
          <a:extLst>
            <a:ext uri="{FF2B5EF4-FFF2-40B4-BE49-F238E27FC236}">
              <a16:creationId xmlns:a16="http://schemas.microsoft.com/office/drawing/2014/main" id="{630C502F-9EED-4211-88E5-21A4519A8C4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7" name="TextBox 7047">
          <a:extLst>
            <a:ext uri="{FF2B5EF4-FFF2-40B4-BE49-F238E27FC236}">
              <a16:creationId xmlns:a16="http://schemas.microsoft.com/office/drawing/2014/main" id="{EB64B258-A00D-4287-96DB-DCB55556291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8" name="TextBox 13">
          <a:extLst>
            <a:ext uri="{FF2B5EF4-FFF2-40B4-BE49-F238E27FC236}">
              <a16:creationId xmlns:a16="http://schemas.microsoft.com/office/drawing/2014/main" id="{E31D03B3-7970-4289-B3D3-A9C85137732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49" name="TextBox 14">
          <a:extLst>
            <a:ext uri="{FF2B5EF4-FFF2-40B4-BE49-F238E27FC236}">
              <a16:creationId xmlns:a16="http://schemas.microsoft.com/office/drawing/2014/main" id="{29602EBF-1B5D-4B71-A9FC-E08082E30C1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0" name="TextBox 7050">
          <a:extLst>
            <a:ext uri="{FF2B5EF4-FFF2-40B4-BE49-F238E27FC236}">
              <a16:creationId xmlns:a16="http://schemas.microsoft.com/office/drawing/2014/main" id="{96E1EB83-A7AF-4FB4-9014-9E5DDA53AEA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1" name="TextBox 7051">
          <a:extLst>
            <a:ext uri="{FF2B5EF4-FFF2-40B4-BE49-F238E27FC236}">
              <a16:creationId xmlns:a16="http://schemas.microsoft.com/office/drawing/2014/main" id="{E568BD50-1652-4F64-BFA0-A07C66ED447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2" name="TextBox 7052">
          <a:extLst>
            <a:ext uri="{FF2B5EF4-FFF2-40B4-BE49-F238E27FC236}">
              <a16:creationId xmlns:a16="http://schemas.microsoft.com/office/drawing/2014/main" id="{6E4A0C22-4955-4C5C-A5F1-A7777AB52E5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3" name="TextBox 7053">
          <a:extLst>
            <a:ext uri="{FF2B5EF4-FFF2-40B4-BE49-F238E27FC236}">
              <a16:creationId xmlns:a16="http://schemas.microsoft.com/office/drawing/2014/main" id="{E816FCB5-98FD-47B6-ACAD-1AD77C9C114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4" name="TextBox 15">
          <a:extLst>
            <a:ext uri="{FF2B5EF4-FFF2-40B4-BE49-F238E27FC236}">
              <a16:creationId xmlns:a16="http://schemas.microsoft.com/office/drawing/2014/main" id="{280A1815-D197-4038-9801-9005CE0D259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5" name="TextBox 16">
          <a:extLst>
            <a:ext uri="{FF2B5EF4-FFF2-40B4-BE49-F238E27FC236}">
              <a16:creationId xmlns:a16="http://schemas.microsoft.com/office/drawing/2014/main" id="{993DFBB4-930D-426B-8D87-B45D5BE1007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6" name="TextBox 17">
          <a:extLst>
            <a:ext uri="{FF2B5EF4-FFF2-40B4-BE49-F238E27FC236}">
              <a16:creationId xmlns:a16="http://schemas.microsoft.com/office/drawing/2014/main" id="{7940A8E4-2954-4FBC-8D69-ECD1A694A6C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7" name="TextBox 18">
          <a:extLst>
            <a:ext uri="{FF2B5EF4-FFF2-40B4-BE49-F238E27FC236}">
              <a16:creationId xmlns:a16="http://schemas.microsoft.com/office/drawing/2014/main" id="{216B9BA7-4E05-44F2-8C97-D37B167000B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8" name="TextBox 7058">
          <a:extLst>
            <a:ext uri="{FF2B5EF4-FFF2-40B4-BE49-F238E27FC236}">
              <a16:creationId xmlns:a16="http://schemas.microsoft.com/office/drawing/2014/main" id="{A07F8361-B762-4238-8D3C-88B9A0C7D7F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59" name="TextBox 7059">
          <a:extLst>
            <a:ext uri="{FF2B5EF4-FFF2-40B4-BE49-F238E27FC236}">
              <a16:creationId xmlns:a16="http://schemas.microsoft.com/office/drawing/2014/main" id="{AA85F37D-4186-454E-A67C-308BA014E83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0" name="TextBox 1">
          <a:extLst>
            <a:ext uri="{FF2B5EF4-FFF2-40B4-BE49-F238E27FC236}">
              <a16:creationId xmlns:a16="http://schemas.microsoft.com/office/drawing/2014/main" id="{C0BE11F3-1A6C-4F99-967C-90083DABAD17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1" name="TextBox 3">
          <a:extLst>
            <a:ext uri="{FF2B5EF4-FFF2-40B4-BE49-F238E27FC236}">
              <a16:creationId xmlns:a16="http://schemas.microsoft.com/office/drawing/2014/main" id="{A35BE42C-516A-4771-9AB6-4D9EDC65172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2" name="TextBox 7062">
          <a:extLst>
            <a:ext uri="{FF2B5EF4-FFF2-40B4-BE49-F238E27FC236}">
              <a16:creationId xmlns:a16="http://schemas.microsoft.com/office/drawing/2014/main" id="{EA6AEF1F-3678-4748-9B41-8DCE8F1F151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3" name="TextBox 7063">
          <a:extLst>
            <a:ext uri="{FF2B5EF4-FFF2-40B4-BE49-F238E27FC236}">
              <a16:creationId xmlns:a16="http://schemas.microsoft.com/office/drawing/2014/main" id="{05753CAB-B881-4F51-929D-1AF1E685703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4" name="TextBox 7064">
          <a:extLst>
            <a:ext uri="{FF2B5EF4-FFF2-40B4-BE49-F238E27FC236}">
              <a16:creationId xmlns:a16="http://schemas.microsoft.com/office/drawing/2014/main" id="{C355E847-D8B6-412F-98F0-3AE7FF43A71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5" name="TextBox 7065">
          <a:extLst>
            <a:ext uri="{FF2B5EF4-FFF2-40B4-BE49-F238E27FC236}">
              <a16:creationId xmlns:a16="http://schemas.microsoft.com/office/drawing/2014/main" id="{63F422E9-0472-4129-AD02-8D00062EF61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6" name="TextBox 7066">
          <a:extLst>
            <a:ext uri="{FF2B5EF4-FFF2-40B4-BE49-F238E27FC236}">
              <a16:creationId xmlns:a16="http://schemas.microsoft.com/office/drawing/2014/main" id="{63C01CA2-E22B-42FC-9692-334F271D678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7" name="TextBox 7067">
          <a:extLst>
            <a:ext uri="{FF2B5EF4-FFF2-40B4-BE49-F238E27FC236}">
              <a16:creationId xmlns:a16="http://schemas.microsoft.com/office/drawing/2014/main" id="{84AE9ADC-B003-40E4-8F63-016BD544F98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8" name="TextBox 7068">
          <a:extLst>
            <a:ext uri="{FF2B5EF4-FFF2-40B4-BE49-F238E27FC236}">
              <a16:creationId xmlns:a16="http://schemas.microsoft.com/office/drawing/2014/main" id="{18AB3F23-CA92-48A0-A256-89140F0492F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69" name="TextBox 7069">
          <a:extLst>
            <a:ext uri="{FF2B5EF4-FFF2-40B4-BE49-F238E27FC236}">
              <a16:creationId xmlns:a16="http://schemas.microsoft.com/office/drawing/2014/main" id="{A4317446-2B45-44ED-8095-80F4C7C1E3F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0" name="TextBox 7070">
          <a:extLst>
            <a:ext uri="{FF2B5EF4-FFF2-40B4-BE49-F238E27FC236}">
              <a16:creationId xmlns:a16="http://schemas.microsoft.com/office/drawing/2014/main" id="{940F04D7-D721-432B-91A7-E223619876B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1" name="TextBox 7071">
          <a:extLst>
            <a:ext uri="{FF2B5EF4-FFF2-40B4-BE49-F238E27FC236}">
              <a16:creationId xmlns:a16="http://schemas.microsoft.com/office/drawing/2014/main" id="{E215727B-FEAD-463A-89FD-56F99B5792C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2" name="TextBox 13">
          <a:extLst>
            <a:ext uri="{FF2B5EF4-FFF2-40B4-BE49-F238E27FC236}">
              <a16:creationId xmlns:a16="http://schemas.microsoft.com/office/drawing/2014/main" id="{8B9DCED5-9C42-4F12-B733-EDAE5A8FC3F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3" name="TextBox 14">
          <a:extLst>
            <a:ext uri="{FF2B5EF4-FFF2-40B4-BE49-F238E27FC236}">
              <a16:creationId xmlns:a16="http://schemas.microsoft.com/office/drawing/2014/main" id="{092DC558-2208-47FC-B2A3-A872A3E7114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4" name="TextBox 7074">
          <a:extLst>
            <a:ext uri="{FF2B5EF4-FFF2-40B4-BE49-F238E27FC236}">
              <a16:creationId xmlns:a16="http://schemas.microsoft.com/office/drawing/2014/main" id="{DACEFA1E-7C8A-4170-A7C7-5FC8EDFD653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5" name="TextBox 7075">
          <a:extLst>
            <a:ext uri="{FF2B5EF4-FFF2-40B4-BE49-F238E27FC236}">
              <a16:creationId xmlns:a16="http://schemas.microsoft.com/office/drawing/2014/main" id="{285DFCFB-15F3-4DE5-ACB1-67EF47EE5D8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6" name="TextBox 7076">
          <a:extLst>
            <a:ext uri="{FF2B5EF4-FFF2-40B4-BE49-F238E27FC236}">
              <a16:creationId xmlns:a16="http://schemas.microsoft.com/office/drawing/2014/main" id="{6A3CF4B6-9E86-42C3-8CC7-E4DB812B219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7" name="TextBox 7077">
          <a:extLst>
            <a:ext uri="{FF2B5EF4-FFF2-40B4-BE49-F238E27FC236}">
              <a16:creationId xmlns:a16="http://schemas.microsoft.com/office/drawing/2014/main" id="{7266CD39-7B5E-4751-B8F9-9DEA6E7A2D7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8" name="TextBox 15">
          <a:extLst>
            <a:ext uri="{FF2B5EF4-FFF2-40B4-BE49-F238E27FC236}">
              <a16:creationId xmlns:a16="http://schemas.microsoft.com/office/drawing/2014/main" id="{0B077E07-50EA-44D3-87AA-BDB15BC192E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79" name="TextBox 16">
          <a:extLst>
            <a:ext uri="{FF2B5EF4-FFF2-40B4-BE49-F238E27FC236}">
              <a16:creationId xmlns:a16="http://schemas.microsoft.com/office/drawing/2014/main" id="{8187E308-2C06-49CC-98BC-1B4A729B44B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0" name="TextBox 17">
          <a:extLst>
            <a:ext uri="{FF2B5EF4-FFF2-40B4-BE49-F238E27FC236}">
              <a16:creationId xmlns:a16="http://schemas.microsoft.com/office/drawing/2014/main" id="{C5BC7B23-CC21-4CA6-A270-A99B8888EC0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1" name="TextBox 18">
          <a:extLst>
            <a:ext uri="{FF2B5EF4-FFF2-40B4-BE49-F238E27FC236}">
              <a16:creationId xmlns:a16="http://schemas.microsoft.com/office/drawing/2014/main" id="{2F1D62A7-AF60-4E14-9A7A-F5076D040F5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2" name="TextBox 7082">
          <a:extLst>
            <a:ext uri="{FF2B5EF4-FFF2-40B4-BE49-F238E27FC236}">
              <a16:creationId xmlns:a16="http://schemas.microsoft.com/office/drawing/2014/main" id="{406E0D53-9AC6-4C47-AC0C-2B704C484D7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3" name="TextBox 7083">
          <a:extLst>
            <a:ext uri="{FF2B5EF4-FFF2-40B4-BE49-F238E27FC236}">
              <a16:creationId xmlns:a16="http://schemas.microsoft.com/office/drawing/2014/main" id="{9F73C97B-7330-4DC0-895B-037FBB5F430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4" name="TextBox 1">
          <a:extLst>
            <a:ext uri="{FF2B5EF4-FFF2-40B4-BE49-F238E27FC236}">
              <a16:creationId xmlns:a16="http://schemas.microsoft.com/office/drawing/2014/main" id="{9661E065-E5D9-42E9-B7E4-EEAA964F11F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5" name="TextBox 3">
          <a:extLst>
            <a:ext uri="{FF2B5EF4-FFF2-40B4-BE49-F238E27FC236}">
              <a16:creationId xmlns:a16="http://schemas.microsoft.com/office/drawing/2014/main" id="{C08014EF-9F23-474C-A6FA-BB4F427BAA2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6" name="TextBox 7086">
          <a:extLst>
            <a:ext uri="{FF2B5EF4-FFF2-40B4-BE49-F238E27FC236}">
              <a16:creationId xmlns:a16="http://schemas.microsoft.com/office/drawing/2014/main" id="{76D6FC5D-1AEB-49E9-80FC-E5B0324B73E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7" name="TextBox 7087">
          <a:extLst>
            <a:ext uri="{FF2B5EF4-FFF2-40B4-BE49-F238E27FC236}">
              <a16:creationId xmlns:a16="http://schemas.microsoft.com/office/drawing/2014/main" id="{994FAA32-CE20-4B4A-8766-3A2B59AA340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8" name="TextBox 7088">
          <a:extLst>
            <a:ext uri="{FF2B5EF4-FFF2-40B4-BE49-F238E27FC236}">
              <a16:creationId xmlns:a16="http://schemas.microsoft.com/office/drawing/2014/main" id="{5347B7B9-4FA7-40DF-AB0C-37B1FB199BB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89" name="TextBox 7089">
          <a:extLst>
            <a:ext uri="{FF2B5EF4-FFF2-40B4-BE49-F238E27FC236}">
              <a16:creationId xmlns:a16="http://schemas.microsoft.com/office/drawing/2014/main" id="{51698822-05B2-47C1-B88E-A1B9AE34FD5E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0" name="TextBox 7090">
          <a:extLst>
            <a:ext uri="{FF2B5EF4-FFF2-40B4-BE49-F238E27FC236}">
              <a16:creationId xmlns:a16="http://schemas.microsoft.com/office/drawing/2014/main" id="{C56A0255-754A-450A-8711-163F0CEC184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1" name="TextBox 7091">
          <a:extLst>
            <a:ext uri="{FF2B5EF4-FFF2-40B4-BE49-F238E27FC236}">
              <a16:creationId xmlns:a16="http://schemas.microsoft.com/office/drawing/2014/main" id="{5F0143CB-F80D-4521-ABB0-E5A91B4F5F9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2" name="TextBox 7092">
          <a:extLst>
            <a:ext uri="{FF2B5EF4-FFF2-40B4-BE49-F238E27FC236}">
              <a16:creationId xmlns:a16="http://schemas.microsoft.com/office/drawing/2014/main" id="{B9C48139-79A7-4039-AAC8-F77F733FB95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3" name="TextBox 7093">
          <a:extLst>
            <a:ext uri="{FF2B5EF4-FFF2-40B4-BE49-F238E27FC236}">
              <a16:creationId xmlns:a16="http://schemas.microsoft.com/office/drawing/2014/main" id="{C03C4884-323C-4E17-8B06-4BD8D47744A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4" name="TextBox 7094">
          <a:extLst>
            <a:ext uri="{FF2B5EF4-FFF2-40B4-BE49-F238E27FC236}">
              <a16:creationId xmlns:a16="http://schemas.microsoft.com/office/drawing/2014/main" id="{8C107287-6339-4319-A7B4-DA87CA364BC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5" name="TextBox 7095">
          <a:extLst>
            <a:ext uri="{FF2B5EF4-FFF2-40B4-BE49-F238E27FC236}">
              <a16:creationId xmlns:a16="http://schemas.microsoft.com/office/drawing/2014/main" id="{D44E5057-F3F5-48D3-BFD3-D02C0F6A8E1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6" name="TextBox 13">
          <a:extLst>
            <a:ext uri="{FF2B5EF4-FFF2-40B4-BE49-F238E27FC236}">
              <a16:creationId xmlns:a16="http://schemas.microsoft.com/office/drawing/2014/main" id="{86055194-45CF-47F5-B9F3-0CB74DE2D01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7" name="TextBox 14">
          <a:extLst>
            <a:ext uri="{FF2B5EF4-FFF2-40B4-BE49-F238E27FC236}">
              <a16:creationId xmlns:a16="http://schemas.microsoft.com/office/drawing/2014/main" id="{CBBEABAA-8152-486A-833F-62E96F9CC4E8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8" name="TextBox 7098">
          <a:extLst>
            <a:ext uri="{FF2B5EF4-FFF2-40B4-BE49-F238E27FC236}">
              <a16:creationId xmlns:a16="http://schemas.microsoft.com/office/drawing/2014/main" id="{9EE1392E-5BFE-4069-8F78-58A719EF665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699" name="TextBox 7099">
          <a:extLst>
            <a:ext uri="{FF2B5EF4-FFF2-40B4-BE49-F238E27FC236}">
              <a16:creationId xmlns:a16="http://schemas.microsoft.com/office/drawing/2014/main" id="{B687AF34-AED1-4F3E-9F03-FD15676DD226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0" name="TextBox 7100">
          <a:extLst>
            <a:ext uri="{FF2B5EF4-FFF2-40B4-BE49-F238E27FC236}">
              <a16:creationId xmlns:a16="http://schemas.microsoft.com/office/drawing/2014/main" id="{442268A8-C73B-4507-B2A5-48604204EE54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1" name="TextBox 7101">
          <a:extLst>
            <a:ext uri="{FF2B5EF4-FFF2-40B4-BE49-F238E27FC236}">
              <a16:creationId xmlns:a16="http://schemas.microsoft.com/office/drawing/2014/main" id="{D0426AE3-D444-43BE-B17D-1BF8C9E8E9C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2" name="TextBox 15">
          <a:extLst>
            <a:ext uri="{FF2B5EF4-FFF2-40B4-BE49-F238E27FC236}">
              <a16:creationId xmlns:a16="http://schemas.microsoft.com/office/drawing/2014/main" id="{20E9C3F6-340B-4A9D-8AC8-293408C11CB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3" name="TextBox 16">
          <a:extLst>
            <a:ext uri="{FF2B5EF4-FFF2-40B4-BE49-F238E27FC236}">
              <a16:creationId xmlns:a16="http://schemas.microsoft.com/office/drawing/2014/main" id="{68EED4C2-2C3A-4C9A-81BC-416E2FF4797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4" name="TextBox 17">
          <a:extLst>
            <a:ext uri="{FF2B5EF4-FFF2-40B4-BE49-F238E27FC236}">
              <a16:creationId xmlns:a16="http://schemas.microsoft.com/office/drawing/2014/main" id="{5B080CF3-14B8-476B-9F1C-9A3F6C54AF59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5" name="TextBox 18">
          <a:extLst>
            <a:ext uri="{FF2B5EF4-FFF2-40B4-BE49-F238E27FC236}">
              <a16:creationId xmlns:a16="http://schemas.microsoft.com/office/drawing/2014/main" id="{32009D1E-9CD9-4B75-9659-B30C9CA963D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6" name="TextBox 7106">
          <a:extLst>
            <a:ext uri="{FF2B5EF4-FFF2-40B4-BE49-F238E27FC236}">
              <a16:creationId xmlns:a16="http://schemas.microsoft.com/office/drawing/2014/main" id="{DB65658C-E03A-41C6-AC4C-CD0CBF842CC5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7" name="TextBox 7107">
          <a:extLst>
            <a:ext uri="{FF2B5EF4-FFF2-40B4-BE49-F238E27FC236}">
              <a16:creationId xmlns:a16="http://schemas.microsoft.com/office/drawing/2014/main" id="{A105E328-19EB-4CC4-A589-65460622885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8" name="TextBox 1">
          <a:extLst>
            <a:ext uri="{FF2B5EF4-FFF2-40B4-BE49-F238E27FC236}">
              <a16:creationId xmlns:a16="http://schemas.microsoft.com/office/drawing/2014/main" id="{1E3BC00A-A783-40D6-B5D0-383B7C55BBA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09" name="TextBox 3">
          <a:extLst>
            <a:ext uri="{FF2B5EF4-FFF2-40B4-BE49-F238E27FC236}">
              <a16:creationId xmlns:a16="http://schemas.microsoft.com/office/drawing/2014/main" id="{E47831F1-4CB0-49D4-B613-87E2E189C2E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0" name="TextBox 7110">
          <a:extLst>
            <a:ext uri="{FF2B5EF4-FFF2-40B4-BE49-F238E27FC236}">
              <a16:creationId xmlns:a16="http://schemas.microsoft.com/office/drawing/2014/main" id="{861497F2-647B-44BD-8B36-B04CC07651A3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1" name="TextBox 7111">
          <a:extLst>
            <a:ext uri="{FF2B5EF4-FFF2-40B4-BE49-F238E27FC236}">
              <a16:creationId xmlns:a16="http://schemas.microsoft.com/office/drawing/2014/main" id="{A17C3FDF-20BD-4E2A-BA2F-B9A0EA7471F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2" name="TextBox 7112">
          <a:extLst>
            <a:ext uri="{FF2B5EF4-FFF2-40B4-BE49-F238E27FC236}">
              <a16:creationId xmlns:a16="http://schemas.microsoft.com/office/drawing/2014/main" id="{58140674-4D97-4E09-AA0A-4EEA7708828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3" name="TextBox 7113">
          <a:extLst>
            <a:ext uri="{FF2B5EF4-FFF2-40B4-BE49-F238E27FC236}">
              <a16:creationId xmlns:a16="http://schemas.microsoft.com/office/drawing/2014/main" id="{D930D708-F36C-4732-A84D-23730C7B68F0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4" name="TextBox 7114">
          <a:extLst>
            <a:ext uri="{FF2B5EF4-FFF2-40B4-BE49-F238E27FC236}">
              <a16:creationId xmlns:a16="http://schemas.microsoft.com/office/drawing/2014/main" id="{E8DAB842-5E75-4F95-AE11-FAE25975577A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5" name="TextBox 7115">
          <a:extLst>
            <a:ext uri="{FF2B5EF4-FFF2-40B4-BE49-F238E27FC236}">
              <a16:creationId xmlns:a16="http://schemas.microsoft.com/office/drawing/2014/main" id="{233F80EC-1677-4085-8D7F-30E775323FA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6" name="TextBox 7116">
          <a:extLst>
            <a:ext uri="{FF2B5EF4-FFF2-40B4-BE49-F238E27FC236}">
              <a16:creationId xmlns:a16="http://schemas.microsoft.com/office/drawing/2014/main" id="{85BF6673-B417-4B7C-B729-CDFDEF4A8F72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7" name="TextBox 7117">
          <a:extLst>
            <a:ext uri="{FF2B5EF4-FFF2-40B4-BE49-F238E27FC236}">
              <a16:creationId xmlns:a16="http://schemas.microsoft.com/office/drawing/2014/main" id="{EC441996-0308-4E3F-B8A6-8623CE58C6DF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8" name="TextBox 7118">
          <a:extLst>
            <a:ext uri="{FF2B5EF4-FFF2-40B4-BE49-F238E27FC236}">
              <a16:creationId xmlns:a16="http://schemas.microsoft.com/office/drawing/2014/main" id="{65D7D18C-B6BB-4DC5-966D-776DDC1F18EB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19" name="TextBox 7119">
          <a:extLst>
            <a:ext uri="{FF2B5EF4-FFF2-40B4-BE49-F238E27FC236}">
              <a16:creationId xmlns:a16="http://schemas.microsoft.com/office/drawing/2014/main" id="{402959F5-CB8E-4E11-8845-3EAEB00718FD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0" name="TextBox 13">
          <a:extLst>
            <a:ext uri="{FF2B5EF4-FFF2-40B4-BE49-F238E27FC236}">
              <a16:creationId xmlns:a16="http://schemas.microsoft.com/office/drawing/2014/main" id="{4F5F34BE-2E47-4A5A-8445-A1FE4BCD2F01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1" name="TextBox 14">
          <a:extLst>
            <a:ext uri="{FF2B5EF4-FFF2-40B4-BE49-F238E27FC236}">
              <a16:creationId xmlns:a16="http://schemas.microsoft.com/office/drawing/2014/main" id="{327F7568-5DB0-49A2-ACE7-6A7CB48FF09C}"/>
            </a:ext>
          </a:extLst>
        </xdr:cNvPr>
        <xdr:cNvSpPr txBox="1"/>
      </xdr:nvSpPr>
      <xdr:spPr>
        <a:xfrm>
          <a:off x="1909762" y="33918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2" name="TextBox 7122">
          <a:extLst>
            <a:ext uri="{FF2B5EF4-FFF2-40B4-BE49-F238E27FC236}">
              <a16:creationId xmlns:a16="http://schemas.microsoft.com/office/drawing/2014/main" id="{AD2C7A9B-5C77-4829-BF83-B1421095B7E7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3" name="TextBox 7123">
          <a:extLst>
            <a:ext uri="{FF2B5EF4-FFF2-40B4-BE49-F238E27FC236}">
              <a16:creationId xmlns:a16="http://schemas.microsoft.com/office/drawing/2014/main" id="{E1E4F612-948E-4029-81D6-8593FE41E013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4" name="TextBox 7124">
          <a:extLst>
            <a:ext uri="{FF2B5EF4-FFF2-40B4-BE49-F238E27FC236}">
              <a16:creationId xmlns:a16="http://schemas.microsoft.com/office/drawing/2014/main" id="{B09EC1D8-8B1E-4505-94BE-7612570ECEC0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5" name="TextBox 7125">
          <a:extLst>
            <a:ext uri="{FF2B5EF4-FFF2-40B4-BE49-F238E27FC236}">
              <a16:creationId xmlns:a16="http://schemas.microsoft.com/office/drawing/2014/main" id="{B796EFE5-5FA1-49D5-A188-9E3B108FAB91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6" name="TextBox 15">
          <a:extLst>
            <a:ext uri="{FF2B5EF4-FFF2-40B4-BE49-F238E27FC236}">
              <a16:creationId xmlns:a16="http://schemas.microsoft.com/office/drawing/2014/main" id="{F70F3417-1D02-455F-80E5-83C15C37E8C7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7" name="TextBox 16">
          <a:extLst>
            <a:ext uri="{FF2B5EF4-FFF2-40B4-BE49-F238E27FC236}">
              <a16:creationId xmlns:a16="http://schemas.microsoft.com/office/drawing/2014/main" id="{276C9872-996C-44BB-8F85-93FA16A9C74A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8" name="TextBox 17">
          <a:extLst>
            <a:ext uri="{FF2B5EF4-FFF2-40B4-BE49-F238E27FC236}">
              <a16:creationId xmlns:a16="http://schemas.microsoft.com/office/drawing/2014/main" id="{FA7F7CC8-4513-415F-B0D7-040DC82A7E0C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29" name="TextBox 18">
          <a:extLst>
            <a:ext uri="{FF2B5EF4-FFF2-40B4-BE49-F238E27FC236}">
              <a16:creationId xmlns:a16="http://schemas.microsoft.com/office/drawing/2014/main" id="{F2604384-3133-4671-BF0C-02F5DAAE3B27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0" name="TextBox 7130">
          <a:extLst>
            <a:ext uri="{FF2B5EF4-FFF2-40B4-BE49-F238E27FC236}">
              <a16:creationId xmlns:a16="http://schemas.microsoft.com/office/drawing/2014/main" id="{A83884ED-7204-45D8-BBF0-1478B949415E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1" name="TextBox 7131">
          <a:extLst>
            <a:ext uri="{FF2B5EF4-FFF2-40B4-BE49-F238E27FC236}">
              <a16:creationId xmlns:a16="http://schemas.microsoft.com/office/drawing/2014/main" id="{C019BE0B-3BFF-4421-ABAC-F03BABE9B705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2" name="TextBox 1">
          <a:extLst>
            <a:ext uri="{FF2B5EF4-FFF2-40B4-BE49-F238E27FC236}">
              <a16:creationId xmlns:a16="http://schemas.microsoft.com/office/drawing/2014/main" id="{E20CB07B-7DC4-442A-B290-AF26C94AC83C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3" name="TextBox 3">
          <a:extLst>
            <a:ext uri="{FF2B5EF4-FFF2-40B4-BE49-F238E27FC236}">
              <a16:creationId xmlns:a16="http://schemas.microsoft.com/office/drawing/2014/main" id="{A6E2A221-699B-437B-8A23-2F5711629030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4" name="TextBox 7134">
          <a:extLst>
            <a:ext uri="{FF2B5EF4-FFF2-40B4-BE49-F238E27FC236}">
              <a16:creationId xmlns:a16="http://schemas.microsoft.com/office/drawing/2014/main" id="{BD95051B-1C03-4D58-B1EF-B0554883A1EC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5" name="TextBox 7135">
          <a:extLst>
            <a:ext uri="{FF2B5EF4-FFF2-40B4-BE49-F238E27FC236}">
              <a16:creationId xmlns:a16="http://schemas.microsoft.com/office/drawing/2014/main" id="{8829CC61-CBD7-41D8-B019-7940CA310DE0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6" name="TextBox 7136">
          <a:extLst>
            <a:ext uri="{FF2B5EF4-FFF2-40B4-BE49-F238E27FC236}">
              <a16:creationId xmlns:a16="http://schemas.microsoft.com/office/drawing/2014/main" id="{B6EC0CE7-79CA-4BA0-995A-ABAAAF43B29F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7" name="TextBox 7137">
          <a:extLst>
            <a:ext uri="{FF2B5EF4-FFF2-40B4-BE49-F238E27FC236}">
              <a16:creationId xmlns:a16="http://schemas.microsoft.com/office/drawing/2014/main" id="{8FF96EEC-E671-40FA-9A34-803F1FCE2EAA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8" name="TextBox 7138">
          <a:extLst>
            <a:ext uri="{FF2B5EF4-FFF2-40B4-BE49-F238E27FC236}">
              <a16:creationId xmlns:a16="http://schemas.microsoft.com/office/drawing/2014/main" id="{97F67351-07C8-48B2-B42D-6BE671EA2762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39" name="TextBox 7139">
          <a:extLst>
            <a:ext uri="{FF2B5EF4-FFF2-40B4-BE49-F238E27FC236}">
              <a16:creationId xmlns:a16="http://schemas.microsoft.com/office/drawing/2014/main" id="{8F7DBE77-983E-4DD5-9223-90D2C72B9EC8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0" name="TextBox 7140">
          <a:extLst>
            <a:ext uri="{FF2B5EF4-FFF2-40B4-BE49-F238E27FC236}">
              <a16:creationId xmlns:a16="http://schemas.microsoft.com/office/drawing/2014/main" id="{E4022F1C-C708-48A4-8EF8-D532F8942555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1" name="TextBox 7141">
          <a:extLst>
            <a:ext uri="{FF2B5EF4-FFF2-40B4-BE49-F238E27FC236}">
              <a16:creationId xmlns:a16="http://schemas.microsoft.com/office/drawing/2014/main" id="{48BC34F4-ECFD-4EF2-9CE1-9D414BAC7650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2" name="TextBox 7142">
          <a:extLst>
            <a:ext uri="{FF2B5EF4-FFF2-40B4-BE49-F238E27FC236}">
              <a16:creationId xmlns:a16="http://schemas.microsoft.com/office/drawing/2014/main" id="{5C8CD79B-BA48-4142-9BD0-B43FA084FEDC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3" name="TextBox 7143">
          <a:extLst>
            <a:ext uri="{FF2B5EF4-FFF2-40B4-BE49-F238E27FC236}">
              <a16:creationId xmlns:a16="http://schemas.microsoft.com/office/drawing/2014/main" id="{4F2F6407-4FF5-437B-88F0-A0F49765CFD0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4" name="TextBox 13">
          <a:extLst>
            <a:ext uri="{FF2B5EF4-FFF2-40B4-BE49-F238E27FC236}">
              <a16:creationId xmlns:a16="http://schemas.microsoft.com/office/drawing/2014/main" id="{66149255-ED62-4D16-AA5E-DD0F1519A4EF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5" name="TextBox 14">
          <a:extLst>
            <a:ext uri="{FF2B5EF4-FFF2-40B4-BE49-F238E27FC236}">
              <a16:creationId xmlns:a16="http://schemas.microsoft.com/office/drawing/2014/main" id="{52D840ED-763A-4015-AAB7-7A7CC6229944}"/>
            </a:ext>
          </a:extLst>
        </xdr:cNvPr>
        <xdr:cNvSpPr txBox="1"/>
      </xdr:nvSpPr>
      <xdr:spPr>
        <a:xfrm>
          <a:off x="1909762" y="343090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6" name="TextBox 7146">
          <a:extLst>
            <a:ext uri="{FF2B5EF4-FFF2-40B4-BE49-F238E27FC236}">
              <a16:creationId xmlns:a16="http://schemas.microsoft.com/office/drawing/2014/main" id="{66898F9F-EDEE-47B4-A1D6-B366E874D44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7" name="TextBox 7147">
          <a:extLst>
            <a:ext uri="{FF2B5EF4-FFF2-40B4-BE49-F238E27FC236}">
              <a16:creationId xmlns:a16="http://schemas.microsoft.com/office/drawing/2014/main" id="{05301AA8-E2F4-4B35-A40E-6D0573DC5711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8" name="TextBox 7148">
          <a:extLst>
            <a:ext uri="{FF2B5EF4-FFF2-40B4-BE49-F238E27FC236}">
              <a16:creationId xmlns:a16="http://schemas.microsoft.com/office/drawing/2014/main" id="{76C9F3CB-30ED-46CD-8FD4-1CC0359A221C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49" name="TextBox 7149">
          <a:extLst>
            <a:ext uri="{FF2B5EF4-FFF2-40B4-BE49-F238E27FC236}">
              <a16:creationId xmlns:a16="http://schemas.microsoft.com/office/drawing/2014/main" id="{59BAC628-BE73-4EF3-A954-0F165C98BF3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0" name="TextBox 15">
          <a:extLst>
            <a:ext uri="{FF2B5EF4-FFF2-40B4-BE49-F238E27FC236}">
              <a16:creationId xmlns:a16="http://schemas.microsoft.com/office/drawing/2014/main" id="{A3E485DF-3766-433A-96FD-2D7CD6EF20DE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1" name="TextBox 16">
          <a:extLst>
            <a:ext uri="{FF2B5EF4-FFF2-40B4-BE49-F238E27FC236}">
              <a16:creationId xmlns:a16="http://schemas.microsoft.com/office/drawing/2014/main" id="{E9979551-3F4E-4131-98E9-8575E90BF94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2" name="TextBox 17">
          <a:extLst>
            <a:ext uri="{FF2B5EF4-FFF2-40B4-BE49-F238E27FC236}">
              <a16:creationId xmlns:a16="http://schemas.microsoft.com/office/drawing/2014/main" id="{5202FECE-BC72-4ABE-B8AC-CF8DD0797B3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3" name="TextBox 18">
          <a:extLst>
            <a:ext uri="{FF2B5EF4-FFF2-40B4-BE49-F238E27FC236}">
              <a16:creationId xmlns:a16="http://schemas.microsoft.com/office/drawing/2014/main" id="{7BBE24C6-09E9-42D5-9A76-619C83B7217E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4" name="TextBox 7154">
          <a:extLst>
            <a:ext uri="{FF2B5EF4-FFF2-40B4-BE49-F238E27FC236}">
              <a16:creationId xmlns:a16="http://schemas.microsoft.com/office/drawing/2014/main" id="{62EE4F2B-54A8-4107-8E5B-C44D313266D0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5" name="TextBox 7155">
          <a:extLst>
            <a:ext uri="{FF2B5EF4-FFF2-40B4-BE49-F238E27FC236}">
              <a16:creationId xmlns:a16="http://schemas.microsoft.com/office/drawing/2014/main" id="{D39458DB-ECC2-4AEC-AF5D-5029DFDED437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6" name="TextBox 1">
          <a:extLst>
            <a:ext uri="{FF2B5EF4-FFF2-40B4-BE49-F238E27FC236}">
              <a16:creationId xmlns:a16="http://schemas.microsoft.com/office/drawing/2014/main" id="{D7E9EC53-169B-45A9-9D02-4292E60375F2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7" name="TextBox 3">
          <a:extLst>
            <a:ext uri="{FF2B5EF4-FFF2-40B4-BE49-F238E27FC236}">
              <a16:creationId xmlns:a16="http://schemas.microsoft.com/office/drawing/2014/main" id="{5580FFD5-2D9B-45CD-80E0-29A8CE53A84D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8" name="TextBox 7158">
          <a:extLst>
            <a:ext uri="{FF2B5EF4-FFF2-40B4-BE49-F238E27FC236}">
              <a16:creationId xmlns:a16="http://schemas.microsoft.com/office/drawing/2014/main" id="{460D0A62-8FC1-4B54-B47C-1A90C88FBC7B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59" name="TextBox 7159">
          <a:extLst>
            <a:ext uri="{FF2B5EF4-FFF2-40B4-BE49-F238E27FC236}">
              <a16:creationId xmlns:a16="http://schemas.microsoft.com/office/drawing/2014/main" id="{1F648B6A-7831-431C-9731-336153304A59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0" name="TextBox 7160">
          <a:extLst>
            <a:ext uri="{FF2B5EF4-FFF2-40B4-BE49-F238E27FC236}">
              <a16:creationId xmlns:a16="http://schemas.microsoft.com/office/drawing/2014/main" id="{D8280648-38BB-4740-96E6-E8CC641E8CAD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1" name="TextBox 7161">
          <a:extLst>
            <a:ext uri="{FF2B5EF4-FFF2-40B4-BE49-F238E27FC236}">
              <a16:creationId xmlns:a16="http://schemas.microsoft.com/office/drawing/2014/main" id="{0787F013-D5C0-4F5E-B3F8-7CF04BD33A08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2" name="TextBox 7162">
          <a:extLst>
            <a:ext uri="{FF2B5EF4-FFF2-40B4-BE49-F238E27FC236}">
              <a16:creationId xmlns:a16="http://schemas.microsoft.com/office/drawing/2014/main" id="{692601E4-FC6E-47EF-82A9-D969AB327FA9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3" name="TextBox 7163">
          <a:extLst>
            <a:ext uri="{FF2B5EF4-FFF2-40B4-BE49-F238E27FC236}">
              <a16:creationId xmlns:a16="http://schemas.microsoft.com/office/drawing/2014/main" id="{68955B32-3CA4-4FC0-8FBD-F912C52BA021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4" name="TextBox 7164">
          <a:extLst>
            <a:ext uri="{FF2B5EF4-FFF2-40B4-BE49-F238E27FC236}">
              <a16:creationId xmlns:a16="http://schemas.microsoft.com/office/drawing/2014/main" id="{B6C6C5A7-BD4B-40B9-97F2-21041C601B16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5" name="TextBox 7165">
          <a:extLst>
            <a:ext uri="{FF2B5EF4-FFF2-40B4-BE49-F238E27FC236}">
              <a16:creationId xmlns:a16="http://schemas.microsoft.com/office/drawing/2014/main" id="{C79B4638-373E-489C-8749-D466AE052C48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6" name="TextBox 7166">
          <a:extLst>
            <a:ext uri="{FF2B5EF4-FFF2-40B4-BE49-F238E27FC236}">
              <a16:creationId xmlns:a16="http://schemas.microsoft.com/office/drawing/2014/main" id="{9F40DAE5-C01D-4186-9810-5E6AAE9C126E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7" name="TextBox 7167">
          <a:extLst>
            <a:ext uri="{FF2B5EF4-FFF2-40B4-BE49-F238E27FC236}">
              <a16:creationId xmlns:a16="http://schemas.microsoft.com/office/drawing/2014/main" id="{99CDD553-4A59-4E00-BE43-59C19882E6DD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8" name="TextBox 13">
          <a:extLst>
            <a:ext uri="{FF2B5EF4-FFF2-40B4-BE49-F238E27FC236}">
              <a16:creationId xmlns:a16="http://schemas.microsoft.com/office/drawing/2014/main" id="{0F33B53E-88AA-4009-919D-5D8B9E7226EF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69" name="TextBox 14">
          <a:extLst>
            <a:ext uri="{FF2B5EF4-FFF2-40B4-BE49-F238E27FC236}">
              <a16:creationId xmlns:a16="http://schemas.microsoft.com/office/drawing/2014/main" id="{E862BFD9-56FB-4899-903A-26D12BCC40F9}"/>
            </a:ext>
          </a:extLst>
        </xdr:cNvPr>
        <xdr:cNvSpPr txBox="1"/>
      </xdr:nvSpPr>
      <xdr:spPr>
        <a:xfrm>
          <a:off x="1909762" y="346995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0" name="TextBox 7170">
          <a:extLst>
            <a:ext uri="{FF2B5EF4-FFF2-40B4-BE49-F238E27FC236}">
              <a16:creationId xmlns:a16="http://schemas.microsoft.com/office/drawing/2014/main" id="{05A0121F-8F4F-4A4F-8545-3610548BFBD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1" name="TextBox 7171">
          <a:extLst>
            <a:ext uri="{FF2B5EF4-FFF2-40B4-BE49-F238E27FC236}">
              <a16:creationId xmlns:a16="http://schemas.microsoft.com/office/drawing/2014/main" id="{7E21B6A8-76D3-432B-8B88-C32B33469E7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2" name="TextBox 7172">
          <a:extLst>
            <a:ext uri="{FF2B5EF4-FFF2-40B4-BE49-F238E27FC236}">
              <a16:creationId xmlns:a16="http://schemas.microsoft.com/office/drawing/2014/main" id="{92DF57EA-B950-4F7D-ABC7-DA7B217D0C3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3" name="TextBox 7173">
          <a:extLst>
            <a:ext uri="{FF2B5EF4-FFF2-40B4-BE49-F238E27FC236}">
              <a16:creationId xmlns:a16="http://schemas.microsoft.com/office/drawing/2014/main" id="{CBB9413D-D6F1-4168-9013-20BD58CC74F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4" name="TextBox 15">
          <a:extLst>
            <a:ext uri="{FF2B5EF4-FFF2-40B4-BE49-F238E27FC236}">
              <a16:creationId xmlns:a16="http://schemas.microsoft.com/office/drawing/2014/main" id="{A2D9BC87-D56C-44A4-B71F-0A9624AF84E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5" name="TextBox 16">
          <a:extLst>
            <a:ext uri="{FF2B5EF4-FFF2-40B4-BE49-F238E27FC236}">
              <a16:creationId xmlns:a16="http://schemas.microsoft.com/office/drawing/2014/main" id="{005E5AA4-0DE6-4BC7-96C3-E47CACF235E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6" name="TextBox 17">
          <a:extLst>
            <a:ext uri="{FF2B5EF4-FFF2-40B4-BE49-F238E27FC236}">
              <a16:creationId xmlns:a16="http://schemas.microsoft.com/office/drawing/2014/main" id="{A1DB2FDF-B1A6-4FA7-BFDA-1904A83EDA8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7" name="TextBox 18">
          <a:extLst>
            <a:ext uri="{FF2B5EF4-FFF2-40B4-BE49-F238E27FC236}">
              <a16:creationId xmlns:a16="http://schemas.microsoft.com/office/drawing/2014/main" id="{19893AC7-651C-4BD1-8B73-7E421442454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8" name="TextBox 7178">
          <a:extLst>
            <a:ext uri="{FF2B5EF4-FFF2-40B4-BE49-F238E27FC236}">
              <a16:creationId xmlns:a16="http://schemas.microsoft.com/office/drawing/2014/main" id="{4864D164-1210-41EE-BA01-1B336DE382F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79" name="TextBox 7179">
          <a:extLst>
            <a:ext uri="{FF2B5EF4-FFF2-40B4-BE49-F238E27FC236}">
              <a16:creationId xmlns:a16="http://schemas.microsoft.com/office/drawing/2014/main" id="{F244D99A-1A67-4F98-BEF2-9292C0B89BE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0" name="TextBox 1">
          <a:extLst>
            <a:ext uri="{FF2B5EF4-FFF2-40B4-BE49-F238E27FC236}">
              <a16:creationId xmlns:a16="http://schemas.microsoft.com/office/drawing/2014/main" id="{408C32DB-8D0A-42E7-9AE0-F63175BB322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1" name="TextBox 3">
          <a:extLst>
            <a:ext uri="{FF2B5EF4-FFF2-40B4-BE49-F238E27FC236}">
              <a16:creationId xmlns:a16="http://schemas.microsoft.com/office/drawing/2014/main" id="{33015DEB-6FA1-4D99-A18C-2AAF3E626DF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2" name="TextBox 7182">
          <a:extLst>
            <a:ext uri="{FF2B5EF4-FFF2-40B4-BE49-F238E27FC236}">
              <a16:creationId xmlns:a16="http://schemas.microsoft.com/office/drawing/2014/main" id="{B23525FD-6EB3-478B-82C9-3D6EF31BE34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3" name="TextBox 7183">
          <a:extLst>
            <a:ext uri="{FF2B5EF4-FFF2-40B4-BE49-F238E27FC236}">
              <a16:creationId xmlns:a16="http://schemas.microsoft.com/office/drawing/2014/main" id="{5064C928-82A0-4F82-A408-ECDC385ABBD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4" name="TextBox 7184">
          <a:extLst>
            <a:ext uri="{FF2B5EF4-FFF2-40B4-BE49-F238E27FC236}">
              <a16:creationId xmlns:a16="http://schemas.microsoft.com/office/drawing/2014/main" id="{2AA6059A-8D52-46A8-9338-361A2E50CE6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5" name="TextBox 7185">
          <a:extLst>
            <a:ext uri="{FF2B5EF4-FFF2-40B4-BE49-F238E27FC236}">
              <a16:creationId xmlns:a16="http://schemas.microsoft.com/office/drawing/2014/main" id="{1571B2AD-BFFB-42ED-A30A-A2346B0767C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6" name="TextBox 7186">
          <a:extLst>
            <a:ext uri="{FF2B5EF4-FFF2-40B4-BE49-F238E27FC236}">
              <a16:creationId xmlns:a16="http://schemas.microsoft.com/office/drawing/2014/main" id="{83B5FB43-3196-4C1B-A5A9-8103A7E5789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7" name="TextBox 7187">
          <a:extLst>
            <a:ext uri="{FF2B5EF4-FFF2-40B4-BE49-F238E27FC236}">
              <a16:creationId xmlns:a16="http://schemas.microsoft.com/office/drawing/2014/main" id="{AC69DB64-F880-4CAC-B54A-E6BAAB27516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8" name="TextBox 7188">
          <a:extLst>
            <a:ext uri="{FF2B5EF4-FFF2-40B4-BE49-F238E27FC236}">
              <a16:creationId xmlns:a16="http://schemas.microsoft.com/office/drawing/2014/main" id="{C9451B88-19CF-47F1-ACCF-59EE0EF88A3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89" name="TextBox 7189">
          <a:extLst>
            <a:ext uri="{FF2B5EF4-FFF2-40B4-BE49-F238E27FC236}">
              <a16:creationId xmlns:a16="http://schemas.microsoft.com/office/drawing/2014/main" id="{D92FD99E-089F-4421-AC6F-C00E06B642A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0" name="TextBox 7190">
          <a:extLst>
            <a:ext uri="{FF2B5EF4-FFF2-40B4-BE49-F238E27FC236}">
              <a16:creationId xmlns:a16="http://schemas.microsoft.com/office/drawing/2014/main" id="{D5DB0F6A-520C-4A0D-ADCD-71D661B7822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1" name="TextBox 7191">
          <a:extLst>
            <a:ext uri="{FF2B5EF4-FFF2-40B4-BE49-F238E27FC236}">
              <a16:creationId xmlns:a16="http://schemas.microsoft.com/office/drawing/2014/main" id="{64F84DA0-863C-4507-A8EA-C57CFEBF0E6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2" name="TextBox 13">
          <a:extLst>
            <a:ext uri="{FF2B5EF4-FFF2-40B4-BE49-F238E27FC236}">
              <a16:creationId xmlns:a16="http://schemas.microsoft.com/office/drawing/2014/main" id="{48F9E5BC-60FE-4EC8-A1D6-CFABF7DAAC6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3" name="TextBox 14">
          <a:extLst>
            <a:ext uri="{FF2B5EF4-FFF2-40B4-BE49-F238E27FC236}">
              <a16:creationId xmlns:a16="http://schemas.microsoft.com/office/drawing/2014/main" id="{E7AE42B8-35AA-4838-B413-C474C3065E3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4" name="TextBox 7194">
          <a:extLst>
            <a:ext uri="{FF2B5EF4-FFF2-40B4-BE49-F238E27FC236}">
              <a16:creationId xmlns:a16="http://schemas.microsoft.com/office/drawing/2014/main" id="{CCF9A145-1B88-4594-9A39-15981506493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5" name="TextBox 7195">
          <a:extLst>
            <a:ext uri="{FF2B5EF4-FFF2-40B4-BE49-F238E27FC236}">
              <a16:creationId xmlns:a16="http://schemas.microsoft.com/office/drawing/2014/main" id="{0C0D0D45-6354-479F-A7A5-A1AB534826C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6" name="TextBox 7196">
          <a:extLst>
            <a:ext uri="{FF2B5EF4-FFF2-40B4-BE49-F238E27FC236}">
              <a16:creationId xmlns:a16="http://schemas.microsoft.com/office/drawing/2014/main" id="{325BD46C-A7F7-48AD-8596-CE9C896528D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7" name="TextBox 7197">
          <a:extLst>
            <a:ext uri="{FF2B5EF4-FFF2-40B4-BE49-F238E27FC236}">
              <a16:creationId xmlns:a16="http://schemas.microsoft.com/office/drawing/2014/main" id="{61413A62-B84A-4B55-98F7-2396F3BC6CC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8" name="TextBox 2">
          <a:extLst>
            <a:ext uri="{FF2B5EF4-FFF2-40B4-BE49-F238E27FC236}">
              <a16:creationId xmlns:a16="http://schemas.microsoft.com/office/drawing/2014/main" id="{EBFA7622-9282-4207-B7A6-6CA32D916F6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799" name="TextBox 4">
          <a:extLst>
            <a:ext uri="{FF2B5EF4-FFF2-40B4-BE49-F238E27FC236}">
              <a16:creationId xmlns:a16="http://schemas.microsoft.com/office/drawing/2014/main" id="{24AF8528-2D9B-47FF-BF8F-56A510B1887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0" name="TextBox 7200">
          <a:extLst>
            <a:ext uri="{FF2B5EF4-FFF2-40B4-BE49-F238E27FC236}">
              <a16:creationId xmlns:a16="http://schemas.microsoft.com/office/drawing/2014/main" id="{DAD013D5-901F-4755-B5CB-26F8F86E0C4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1" name="TextBox 7201">
          <a:extLst>
            <a:ext uri="{FF2B5EF4-FFF2-40B4-BE49-F238E27FC236}">
              <a16:creationId xmlns:a16="http://schemas.microsoft.com/office/drawing/2014/main" id="{F7084E1E-290B-41FC-BD40-F66AE04BA60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2" name="TextBox 7202">
          <a:extLst>
            <a:ext uri="{FF2B5EF4-FFF2-40B4-BE49-F238E27FC236}">
              <a16:creationId xmlns:a16="http://schemas.microsoft.com/office/drawing/2014/main" id="{C4967618-2B0F-4D02-A298-86A91A6D86E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3" name="TextBox 7203">
          <a:extLst>
            <a:ext uri="{FF2B5EF4-FFF2-40B4-BE49-F238E27FC236}">
              <a16:creationId xmlns:a16="http://schemas.microsoft.com/office/drawing/2014/main" id="{23881B01-7703-4998-B93B-77A2DB2E954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4" name="TextBox 15">
          <a:extLst>
            <a:ext uri="{FF2B5EF4-FFF2-40B4-BE49-F238E27FC236}">
              <a16:creationId xmlns:a16="http://schemas.microsoft.com/office/drawing/2014/main" id="{355FF79A-A612-416C-8180-8CE75AACBF0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5" name="TextBox 16">
          <a:extLst>
            <a:ext uri="{FF2B5EF4-FFF2-40B4-BE49-F238E27FC236}">
              <a16:creationId xmlns:a16="http://schemas.microsoft.com/office/drawing/2014/main" id="{D907A0C9-5FF8-4BFC-B065-790BEBB55EC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6" name="TextBox 17">
          <a:extLst>
            <a:ext uri="{FF2B5EF4-FFF2-40B4-BE49-F238E27FC236}">
              <a16:creationId xmlns:a16="http://schemas.microsoft.com/office/drawing/2014/main" id="{8DD5DE08-605A-431F-B9E2-F8B3A28865B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7" name="TextBox 18">
          <a:extLst>
            <a:ext uri="{FF2B5EF4-FFF2-40B4-BE49-F238E27FC236}">
              <a16:creationId xmlns:a16="http://schemas.microsoft.com/office/drawing/2014/main" id="{758244C3-F89D-48E0-90C3-8B70DD15426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8" name="TextBox 7208">
          <a:extLst>
            <a:ext uri="{FF2B5EF4-FFF2-40B4-BE49-F238E27FC236}">
              <a16:creationId xmlns:a16="http://schemas.microsoft.com/office/drawing/2014/main" id="{33614E04-C195-4ACA-9385-0A3582947C5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09" name="TextBox 7209">
          <a:extLst>
            <a:ext uri="{FF2B5EF4-FFF2-40B4-BE49-F238E27FC236}">
              <a16:creationId xmlns:a16="http://schemas.microsoft.com/office/drawing/2014/main" id="{CAB811C2-E30A-4BB7-9AD9-058EB563445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0" name="TextBox 1">
          <a:extLst>
            <a:ext uri="{FF2B5EF4-FFF2-40B4-BE49-F238E27FC236}">
              <a16:creationId xmlns:a16="http://schemas.microsoft.com/office/drawing/2014/main" id="{47E90367-9F85-4341-A099-D5CD1F2100C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1" name="TextBox 3">
          <a:extLst>
            <a:ext uri="{FF2B5EF4-FFF2-40B4-BE49-F238E27FC236}">
              <a16:creationId xmlns:a16="http://schemas.microsoft.com/office/drawing/2014/main" id="{A4AF1DDD-2D05-461C-880A-C1BFDB1DA4C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2" name="TextBox 7212">
          <a:extLst>
            <a:ext uri="{FF2B5EF4-FFF2-40B4-BE49-F238E27FC236}">
              <a16:creationId xmlns:a16="http://schemas.microsoft.com/office/drawing/2014/main" id="{F6DEBE07-5FFC-4C1E-AE82-0262D3C7FA8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3" name="TextBox 7213">
          <a:extLst>
            <a:ext uri="{FF2B5EF4-FFF2-40B4-BE49-F238E27FC236}">
              <a16:creationId xmlns:a16="http://schemas.microsoft.com/office/drawing/2014/main" id="{AF8E37E9-A0AD-418E-ACCA-8D3C78970E7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4" name="TextBox 7214">
          <a:extLst>
            <a:ext uri="{FF2B5EF4-FFF2-40B4-BE49-F238E27FC236}">
              <a16:creationId xmlns:a16="http://schemas.microsoft.com/office/drawing/2014/main" id="{507B2202-B89A-4499-A870-3B4516A1C8F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5" name="TextBox 7215">
          <a:extLst>
            <a:ext uri="{FF2B5EF4-FFF2-40B4-BE49-F238E27FC236}">
              <a16:creationId xmlns:a16="http://schemas.microsoft.com/office/drawing/2014/main" id="{BD236F09-7DC3-47DC-923E-F378B563531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6" name="TextBox 7216">
          <a:extLst>
            <a:ext uri="{FF2B5EF4-FFF2-40B4-BE49-F238E27FC236}">
              <a16:creationId xmlns:a16="http://schemas.microsoft.com/office/drawing/2014/main" id="{2A9825E2-87A7-417B-89DE-9305020858B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7" name="TextBox 7217">
          <a:extLst>
            <a:ext uri="{FF2B5EF4-FFF2-40B4-BE49-F238E27FC236}">
              <a16:creationId xmlns:a16="http://schemas.microsoft.com/office/drawing/2014/main" id="{3B6FBE54-D626-4E58-A2BE-E422FC9B1A8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8" name="TextBox 7218">
          <a:extLst>
            <a:ext uri="{FF2B5EF4-FFF2-40B4-BE49-F238E27FC236}">
              <a16:creationId xmlns:a16="http://schemas.microsoft.com/office/drawing/2014/main" id="{9DAECF02-002A-4327-BC59-8C2099D1308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19" name="TextBox 7219">
          <a:extLst>
            <a:ext uri="{FF2B5EF4-FFF2-40B4-BE49-F238E27FC236}">
              <a16:creationId xmlns:a16="http://schemas.microsoft.com/office/drawing/2014/main" id="{77015E60-AAAD-4787-9141-16E91D559F6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0" name="TextBox 7220">
          <a:extLst>
            <a:ext uri="{FF2B5EF4-FFF2-40B4-BE49-F238E27FC236}">
              <a16:creationId xmlns:a16="http://schemas.microsoft.com/office/drawing/2014/main" id="{A5E0FB43-54CD-498F-A6E5-923F6DFBC20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1" name="TextBox 7221">
          <a:extLst>
            <a:ext uri="{FF2B5EF4-FFF2-40B4-BE49-F238E27FC236}">
              <a16:creationId xmlns:a16="http://schemas.microsoft.com/office/drawing/2014/main" id="{BFD1240D-7A3D-4111-8608-DE2497ABCFD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2" name="TextBox 13">
          <a:extLst>
            <a:ext uri="{FF2B5EF4-FFF2-40B4-BE49-F238E27FC236}">
              <a16:creationId xmlns:a16="http://schemas.microsoft.com/office/drawing/2014/main" id="{73072543-BD6D-48CE-8EC0-9BB28F1623F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3" name="TextBox 14">
          <a:extLst>
            <a:ext uri="{FF2B5EF4-FFF2-40B4-BE49-F238E27FC236}">
              <a16:creationId xmlns:a16="http://schemas.microsoft.com/office/drawing/2014/main" id="{029D4B3B-BF93-46A9-A872-3BA2A15CAB9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4" name="TextBox 7224">
          <a:extLst>
            <a:ext uri="{FF2B5EF4-FFF2-40B4-BE49-F238E27FC236}">
              <a16:creationId xmlns:a16="http://schemas.microsoft.com/office/drawing/2014/main" id="{C7926AB8-D5F9-4DBE-8B38-B8D652DEC19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5" name="TextBox 7225">
          <a:extLst>
            <a:ext uri="{FF2B5EF4-FFF2-40B4-BE49-F238E27FC236}">
              <a16:creationId xmlns:a16="http://schemas.microsoft.com/office/drawing/2014/main" id="{933A6AB2-A12E-40F0-8D57-B07B83D2163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6" name="TextBox 7226">
          <a:extLst>
            <a:ext uri="{FF2B5EF4-FFF2-40B4-BE49-F238E27FC236}">
              <a16:creationId xmlns:a16="http://schemas.microsoft.com/office/drawing/2014/main" id="{17326F46-2BC5-4521-9D9A-4621B461FAA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7" name="TextBox 7227">
          <a:extLst>
            <a:ext uri="{FF2B5EF4-FFF2-40B4-BE49-F238E27FC236}">
              <a16:creationId xmlns:a16="http://schemas.microsoft.com/office/drawing/2014/main" id="{1090C29A-388A-49DB-8F8D-6B2E5B48EC3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8" name="TextBox 15">
          <a:extLst>
            <a:ext uri="{FF2B5EF4-FFF2-40B4-BE49-F238E27FC236}">
              <a16:creationId xmlns:a16="http://schemas.microsoft.com/office/drawing/2014/main" id="{6BF37FDF-F101-47B8-AD84-1DAF13114A0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29" name="TextBox 16">
          <a:extLst>
            <a:ext uri="{FF2B5EF4-FFF2-40B4-BE49-F238E27FC236}">
              <a16:creationId xmlns:a16="http://schemas.microsoft.com/office/drawing/2014/main" id="{7F1BA06C-D4CD-4125-9E05-C6FB614E1FF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0" name="TextBox 17">
          <a:extLst>
            <a:ext uri="{FF2B5EF4-FFF2-40B4-BE49-F238E27FC236}">
              <a16:creationId xmlns:a16="http://schemas.microsoft.com/office/drawing/2014/main" id="{F87744B1-CFEA-4DFC-91FF-605A242BFAF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1" name="TextBox 18">
          <a:extLst>
            <a:ext uri="{FF2B5EF4-FFF2-40B4-BE49-F238E27FC236}">
              <a16:creationId xmlns:a16="http://schemas.microsoft.com/office/drawing/2014/main" id="{A5C28449-58AB-444F-91F1-3169C94D284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2" name="TextBox 7232">
          <a:extLst>
            <a:ext uri="{FF2B5EF4-FFF2-40B4-BE49-F238E27FC236}">
              <a16:creationId xmlns:a16="http://schemas.microsoft.com/office/drawing/2014/main" id="{20EAE426-EAB7-4F47-BD52-259A0EF0A75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3" name="TextBox 7233">
          <a:extLst>
            <a:ext uri="{FF2B5EF4-FFF2-40B4-BE49-F238E27FC236}">
              <a16:creationId xmlns:a16="http://schemas.microsoft.com/office/drawing/2014/main" id="{C4ADD150-4DF0-4681-A0DC-AF3A269C6EF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4" name="TextBox 1">
          <a:extLst>
            <a:ext uri="{FF2B5EF4-FFF2-40B4-BE49-F238E27FC236}">
              <a16:creationId xmlns:a16="http://schemas.microsoft.com/office/drawing/2014/main" id="{775A6EFE-1568-4E54-A621-D693D109845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5" name="TextBox 3">
          <a:extLst>
            <a:ext uri="{FF2B5EF4-FFF2-40B4-BE49-F238E27FC236}">
              <a16:creationId xmlns:a16="http://schemas.microsoft.com/office/drawing/2014/main" id="{F2DE104F-C2ED-4A95-915F-D821948E7B8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6" name="TextBox 7236">
          <a:extLst>
            <a:ext uri="{FF2B5EF4-FFF2-40B4-BE49-F238E27FC236}">
              <a16:creationId xmlns:a16="http://schemas.microsoft.com/office/drawing/2014/main" id="{061E2EEA-6DFB-48F3-AE78-ED2B59F3724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7" name="TextBox 7237">
          <a:extLst>
            <a:ext uri="{FF2B5EF4-FFF2-40B4-BE49-F238E27FC236}">
              <a16:creationId xmlns:a16="http://schemas.microsoft.com/office/drawing/2014/main" id="{731F0288-7A79-4485-9C0F-6D4D8D97CD5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8" name="TextBox 7238">
          <a:extLst>
            <a:ext uri="{FF2B5EF4-FFF2-40B4-BE49-F238E27FC236}">
              <a16:creationId xmlns:a16="http://schemas.microsoft.com/office/drawing/2014/main" id="{37F13E6F-80C6-44FE-8A79-490A1116C0F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39" name="TextBox 7239">
          <a:extLst>
            <a:ext uri="{FF2B5EF4-FFF2-40B4-BE49-F238E27FC236}">
              <a16:creationId xmlns:a16="http://schemas.microsoft.com/office/drawing/2014/main" id="{F4426D65-1327-49DF-81F8-85BFE98609A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0" name="TextBox 7240">
          <a:extLst>
            <a:ext uri="{FF2B5EF4-FFF2-40B4-BE49-F238E27FC236}">
              <a16:creationId xmlns:a16="http://schemas.microsoft.com/office/drawing/2014/main" id="{AA61E1CF-BFF7-46C9-9977-32DE398A29B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1" name="TextBox 7241">
          <a:extLst>
            <a:ext uri="{FF2B5EF4-FFF2-40B4-BE49-F238E27FC236}">
              <a16:creationId xmlns:a16="http://schemas.microsoft.com/office/drawing/2014/main" id="{ED76E158-4722-4915-91BC-0E0FF631516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2" name="TextBox 7242">
          <a:extLst>
            <a:ext uri="{FF2B5EF4-FFF2-40B4-BE49-F238E27FC236}">
              <a16:creationId xmlns:a16="http://schemas.microsoft.com/office/drawing/2014/main" id="{5B70D91C-E93B-4AA0-9D67-54C5BD1B658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3" name="TextBox 7243">
          <a:extLst>
            <a:ext uri="{FF2B5EF4-FFF2-40B4-BE49-F238E27FC236}">
              <a16:creationId xmlns:a16="http://schemas.microsoft.com/office/drawing/2014/main" id="{2CE7CA24-0B4D-4238-B749-9F54C9F49D9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4" name="TextBox 7244">
          <a:extLst>
            <a:ext uri="{FF2B5EF4-FFF2-40B4-BE49-F238E27FC236}">
              <a16:creationId xmlns:a16="http://schemas.microsoft.com/office/drawing/2014/main" id="{B0592C47-C795-4706-9634-F742A5A428B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5" name="TextBox 7245">
          <a:extLst>
            <a:ext uri="{FF2B5EF4-FFF2-40B4-BE49-F238E27FC236}">
              <a16:creationId xmlns:a16="http://schemas.microsoft.com/office/drawing/2014/main" id="{D2488325-B9E1-44B2-9868-305F32E9FA1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6" name="TextBox 13">
          <a:extLst>
            <a:ext uri="{FF2B5EF4-FFF2-40B4-BE49-F238E27FC236}">
              <a16:creationId xmlns:a16="http://schemas.microsoft.com/office/drawing/2014/main" id="{28C8DC13-A9B9-45B6-958A-BD18669E28F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7" name="TextBox 14">
          <a:extLst>
            <a:ext uri="{FF2B5EF4-FFF2-40B4-BE49-F238E27FC236}">
              <a16:creationId xmlns:a16="http://schemas.microsoft.com/office/drawing/2014/main" id="{EE049126-F31B-49AA-8A34-10713F30641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8" name="TextBox 7248">
          <a:extLst>
            <a:ext uri="{FF2B5EF4-FFF2-40B4-BE49-F238E27FC236}">
              <a16:creationId xmlns:a16="http://schemas.microsoft.com/office/drawing/2014/main" id="{17F90947-BDEC-4F55-B9E7-850BE8C2A4F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49" name="TextBox 7249">
          <a:extLst>
            <a:ext uri="{FF2B5EF4-FFF2-40B4-BE49-F238E27FC236}">
              <a16:creationId xmlns:a16="http://schemas.microsoft.com/office/drawing/2014/main" id="{8880C819-DE76-42BF-8156-8F39A0E652D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0" name="TextBox 7250">
          <a:extLst>
            <a:ext uri="{FF2B5EF4-FFF2-40B4-BE49-F238E27FC236}">
              <a16:creationId xmlns:a16="http://schemas.microsoft.com/office/drawing/2014/main" id="{0CC7587E-2458-4F81-A704-A210F59FAD9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1" name="TextBox 7251">
          <a:extLst>
            <a:ext uri="{FF2B5EF4-FFF2-40B4-BE49-F238E27FC236}">
              <a16:creationId xmlns:a16="http://schemas.microsoft.com/office/drawing/2014/main" id="{F51FDB20-FCD7-4B87-BEED-3F5982FB2C3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2" name="TextBox 15">
          <a:extLst>
            <a:ext uri="{FF2B5EF4-FFF2-40B4-BE49-F238E27FC236}">
              <a16:creationId xmlns:a16="http://schemas.microsoft.com/office/drawing/2014/main" id="{31BB6201-964C-4A82-9A37-50B8D887F72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3" name="TextBox 16">
          <a:extLst>
            <a:ext uri="{FF2B5EF4-FFF2-40B4-BE49-F238E27FC236}">
              <a16:creationId xmlns:a16="http://schemas.microsoft.com/office/drawing/2014/main" id="{8815470D-0A9C-4BC1-B1ED-32158829DE1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4" name="TextBox 17">
          <a:extLst>
            <a:ext uri="{FF2B5EF4-FFF2-40B4-BE49-F238E27FC236}">
              <a16:creationId xmlns:a16="http://schemas.microsoft.com/office/drawing/2014/main" id="{16CCB568-01C6-4700-8561-E47448C403E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5" name="TextBox 18">
          <a:extLst>
            <a:ext uri="{FF2B5EF4-FFF2-40B4-BE49-F238E27FC236}">
              <a16:creationId xmlns:a16="http://schemas.microsoft.com/office/drawing/2014/main" id="{2873591A-BE7D-44C9-A4D7-99A2114D87C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6" name="TextBox 7256">
          <a:extLst>
            <a:ext uri="{FF2B5EF4-FFF2-40B4-BE49-F238E27FC236}">
              <a16:creationId xmlns:a16="http://schemas.microsoft.com/office/drawing/2014/main" id="{BCBBB9ED-F61B-4918-A624-EA61EE17AE1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7" name="TextBox 7257">
          <a:extLst>
            <a:ext uri="{FF2B5EF4-FFF2-40B4-BE49-F238E27FC236}">
              <a16:creationId xmlns:a16="http://schemas.microsoft.com/office/drawing/2014/main" id="{D8D10BF9-5F73-497A-A58C-5BC9E5C414F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8" name="TextBox 1">
          <a:extLst>
            <a:ext uri="{FF2B5EF4-FFF2-40B4-BE49-F238E27FC236}">
              <a16:creationId xmlns:a16="http://schemas.microsoft.com/office/drawing/2014/main" id="{90DA44BD-3FF1-4445-A220-5447501AA33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59" name="TextBox 3">
          <a:extLst>
            <a:ext uri="{FF2B5EF4-FFF2-40B4-BE49-F238E27FC236}">
              <a16:creationId xmlns:a16="http://schemas.microsoft.com/office/drawing/2014/main" id="{49EFE6A0-826E-4E28-A60D-0EE100789DA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0" name="TextBox 7260">
          <a:extLst>
            <a:ext uri="{FF2B5EF4-FFF2-40B4-BE49-F238E27FC236}">
              <a16:creationId xmlns:a16="http://schemas.microsoft.com/office/drawing/2014/main" id="{E37BE4F1-DFE6-45D8-BAE1-407693D2298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1" name="TextBox 7261">
          <a:extLst>
            <a:ext uri="{FF2B5EF4-FFF2-40B4-BE49-F238E27FC236}">
              <a16:creationId xmlns:a16="http://schemas.microsoft.com/office/drawing/2014/main" id="{0BA1C6D8-C6D9-4FE6-8260-8E9504DB9C0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2" name="TextBox 7262">
          <a:extLst>
            <a:ext uri="{FF2B5EF4-FFF2-40B4-BE49-F238E27FC236}">
              <a16:creationId xmlns:a16="http://schemas.microsoft.com/office/drawing/2014/main" id="{BA670991-871F-441D-89CD-A07D8691924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3" name="TextBox 7263">
          <a:extLst>
            <a:ext uri="{FF2B5EF4-FFF2-40B4-BE49-F238E27FC236}">
              <a16:creationId xmlns:a16="http://schemas.microsoft.com/office/drawing/2014/main" id="{82551DD9-BAD0-4761-8C61-691813EB7511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4" name="TextBox 7264">
          <a:extLst>
            <a:ext uri="{FF2B5EF4-FFF2-40B4-BE49-F238E27FC236}">
              <a16:creationId xmlns:a16="http://schemas.microsoft.com/office/drawing/2014/main" id="{08692C3A-2AFB-4187-9359-8ECD20C7146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5" name="TextBox 7265">
          <a:extLst>
            <a:ext uri="{FF2B5EF4-FFF2-40B4-BE49-F238E27FC236}">
              <a16:creationId xmlns:a16="http://schemas.microsoft.com/office/drawing/2014/main" id="{4D7430EE-0215-43E0-871B-DAD5BEBDC67D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6" name="TextBox 7266">
          <a:extLst>
            <a:ext uri="{FF2B5EF4-FFF2-40B4-BE49-F238E27FC236}">
              <a16:creationId xmlns:a16="http://schemas.microsoft.com/office/drawing/2014/main" id="{3FA26881-7950-414D-A6F4-512C2DD7EB4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7" name="TextBox 7267">
          <a:extLst>
            <a:ext uri="{FF2B5EF4-FFF2-40B4-BE49-F238E27FC236}">
              <a16:creationId xmlns:a16="http://schemas.microsoft.com/office/drawing/2014/main" id="{725AB1BE-B80D-4998-92C9-243143716E8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8" name="TextBox 7268">
          <a:extLst>
            <a:ext uri="{FF2B5EF4-FFF2-40B4-BE49-F238E27FC236}">
              <a16:creationId xmlns:a16="http://schemas.microsoft.com/office/drawing/2014/main" id="{3054019A-DF2A-4162-8176-C2AC202D78F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69" name="TextBox 7269">
          <a:extLst>
            <a:ext uri="{FF2B5EF4-FFF2-40B4-BE49-F238E27FC236}">
              <a16:creationId xmlns:a16="http://schemas.microsoft.com/office/drawing/2014/main" id="{1DD0C207-E5F9-4A63-80E7-5AA1590E157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0" name="TextBox 13">
          <a:extLst>
            <a:ext uri="{FF2B5EF4-FFF2-40B4-BE49-F238E27FC236}">
              <a16:creationId xmlns:a16="http://schemas.microsoft.com/office/drawing/2014/main" id="{47F796DA-E36A-432D-891B-BB7BDACB203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1" name="TextBox 14">
          <a:extLst>
            <a:ext uri="{FF2B5EF4-FFF2-40B4-BE49-F238E27FC236}">
              <a16:creationId xmlns:a16="http://schemas.microsoft.com/office/drawing/2014/main" id="{76F1ED6E-2F27-4ECF-BACB-2B4E3895DCF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2" name="TextBox 7272">
          <a:extLst>
            <a:ext uri="{FF2B5EF4-FFF2-40B4-BE49-F238E27FC236}">
              <a16:creationId xmlns:a16="http://schemas.microsoft.com/office/drawing/2014/main" id="{9BED070D-9092-4908-AD41-9DF70A410D7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3" name="TextBox 7273">
          <a:extLst>
            <a:ext uri="{FF2B5EF4-FFF2-40B4-BE49-F238E27FC236}">
              <a16:creationId xmlns:a16="http://schemas.microsoft.com/office/drawing/2014/main" id="{DE9B31C8-EAB5-46A7-AF7A-A0FE1E254F0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4" name="TextBox 7274">
          <a:extLst>
            <a:ext uri="{FF2B5EF4-FFF2-40B4-BE49-F238E27FC236}">
              <a16:creationId xmlns:a16="http://schemas.microsoft.com/office/drawing/2014/main" id="{7D05AEC1-9B7A-4FAC-98CE-13D06726631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5" name="TextBox 7275">
          <a:extLst>
            <a:ext uri="{FF2B5EF4-FFF2-40B4-BE49-F238E27FC236}">
              <a16:creationId xmlns:a16="http://schemas.microsoft.com/office/drawing/2014/main" id="{6D77259C-833E-402A-AE82-D5875B535BE6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6" name="TextBox 15">
          <a:extLst>
            <a:ext uri="{FF2B5EF4-FFF2-40B4-BE49-F238E27FC236}">
              <a16:creationId xmlns:a16="http://schemas.microsoft.com/office/drawing/2014/main" id="{4BA380E5-53DA-489C-A4E5-BA563EA66BD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7" name="TextBox 16">
          <a:extLst>
            <a:ext uri="{FF2B5EF4-FFF2-40B4-BE49-F238E27FC236}">
              <a16:creationId xmlns:a16="http://schemas.microsoft.com/office/drawing/2014/main" id="{A7499F4F-1588-442A-99D0-292262E2429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8" name="TextBox 17">
          <a:extLst>
            <a:ext uri="{FF2B5EF4-FFF2-40B4-BE49-F238E27FC236}">
              <a16:creationId xmlns:a16="http://schemas.microsoft.com/office/drawing/2014/main" id="{BE8C45CE-26EB-4676-94CE-6ABFC3DAF97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79" name="TextBox 18">
          <a:extLst>
            <a:ext uri="{FF2B5EF4-FFF2-40B4-BE49-F238E27FC236}">
              <a16:creationId xmlns:a16="http://schemas.microsoft.com/office/drawing/2014/main" id="{80811851-E4F7-4BC8-BFF4-DD3AF88A05C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0" name="TextBox 7280">
          <a:extLst>
            <a:ext uri="{FF2B5EF4-FFF2-40B4-BE49-F238E27FC236}">
              <a16:creationId xmlns:a16="http://schemas.microsoft.com/office/drawing/2014/main" id="{89140481-1261-43EE-AAB6-440EFB126B9B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1" name="TextBox 7281">
          <a:extLst>
            <a:ext uri="{FF2B5EF4-FFF2-40B4-BE49-F238E27FC236}">
              <a16:creationId xmlns:a16="http://schemas.microsoft.com/office/drawing/2014/main" id="{612DB697-416B-441E-9F49-B81E1DB077B2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2" name="TextBox 1">
          <a:extLst>
            <a:ext uri="{FF2B5EF4-FFF2-40B4-BE49-F238E27FC236}">
              <a16:creationId xmlns:a16="http://schemas.microsoft.com/office/drawing/2014/main" id="{D2E53803-048E-4D6C-B941-8F5630AFABD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3" name="TextBox 3">
          <a:extLst>
            <a:ext uri="{FF2B5EF4-FFF2-40B4-BE49-F238E27FC236}">
              <a16:creationId xmlns:a16="http://schemas.microsoft.com/office/drawing/2014/main" id="{D416C34A-6507-4C05-8942-D4AFF7967D8A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4" name="TextBox 7284">
          <a:extLst>
            <a:ext uri="{FF2B5EF4-FFF2-40B4-BE49-F238E27FC236}">
              <a16:creationId xmlns:a16="http://schemas.microsoft.com/office/drawing/2014/main" id="{F750933B-096E-43FF-B007-5697911B5523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5" name="TextBox 7285">
          <a:extLst>
            <a:ext uri="{FF2B5EF4-FFF2-40B4-BE49-F238E27FC236}">
              <a16:creationId xmlns:a16="http://schemas.microsoft.com/office/drawing/2014/main" id="{08B45C57-5CBF-476C-92A8-F75BE514520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6" name="TextBox 7286">
          <a:extLst>
            <a:ext uri="{FF2B5EF4-FFF2-40B4-BE49-F238E27FC236}">
              <a16:creationId xmlns:a16="http://schemas.microsoft.com/office/drawing/2014/main" id="{C6788A8F-10E1-4138-95A5-8BDDBD57C615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7" name="TextBox 7287">
          <a:extLst>
            <a:ext uri="{FF2B5EF4-FFF2-40B4-BE49-F238E27FC236}">
              <a16:creationId xmlns:a16="http://schemas.microsoft.com/office/drawing/2014/main" id="{D71709C5-6C8D-4E24-A982-2413F663ECEF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8" name="TextBox 7288">
          <a:extLst>
            <a:ext uri="{FF2B5EF4-FFF2-40B4-BE49-F238E27FC236}">
              <a16:creationId xmlns:a16="http://schemas.microsoft.com/office/drawing/2014/main" id="{E26B144F-267A-46AD-A394-5E92004D078E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89" name="TextBox 7289">
          <a:extLst>
            <a:ext uri="{FF2B5EF4-FFF2-40B4-BE49-F238E27FC236}">
              <a16:creationId xmlns:a16="http://schemas.microsoft.com/office/drawing/2014/main" id="{B9D0FAFC-F674-405F-9E22-F14A4FA5780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0" name="TextBox 7290">
          <a:extLst>
            <a:ext uri="{FF2B5EF4-FFF2-40B4-BE49-F238E27FC236}">
              <a16:creationId xmlns:a16="http://schemas.microsoft.com/office/drawing/2014/main" id="{17F007BD-D749-4407-A4C4-FB83FFD83AF8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1" name="TextBox 7291">
          <a:extLst>
            <a:ext uri="{FF2B5EF4-FFF2-40B4-BE49-F238E27FC236}">
              <a16:creationId xmlns:a16="http://schemas.microsoft.com/office/drawing/2014/main" id="{AF91B40E-1CA0-4FEB-9664-8BDFC700653C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2" name="TextBox 7292">
          <a:extLst>
            <a:ext uri="{FF2B5EF4-FFF2-40B4-BE49-F238E27FC236}">
              <a16:creationId xmlns:a16="http://schemas.microsoft.com/office/drawing/2014/main" id="{DFB19FDF-7856-4843-B655-BD6D32814DA7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3" name="TextBox 7293">
          <a:extLst>
            <a:ext uri="{FF2B5EF4-FFF2-40B4-BE49-F238E27FC236}">
              <a16:creationId xmlns:a16="http://schemas.microsoft.com/office/drawing/2014/main" id="{0486115E-AEC4-4D21-BF65-98B9395B67F9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4" name="TextBox 13">
          <a:extLst>
            <a:ext uri="{FF2B5EF4-FFF2-40B4-BE49-F238E27FC236}">
              <a16:creationId xmlns:a16="http://schemas.microsoft.com/office/drawing/2014/main" id="{A65F9B41-2F28-4B0D-8E75-062B8261F430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5" name="TextBox 14">
          <a:extLst>
            <a:ext uri="{FF2B5EF4-FFF2-40B4-BE49-F238E27FC236}">
              <a16:creationId xmlns:a16="http://schemas.microsoft.com/office/drawing/2014/main" id="{ECE71331-E1C4-4345-AA73-613F94C699C4}"/>
            </a:ext>
          </a:extLst>
        </xdr:cNvPr>
        <xdr:cNvSpPr txBox="1"/>
      </xdr:nvSpPr>
      <xdr:spPr>
        <a:xfrm>
          <a:off x="1909762" y="354806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6" name="TextBox 7296">
          <a:extLst>
            <a:ext uri="{FF2B5EF4-FFF2-40B4-BE49-F238E27FC236}">
              <a16:creationId xmlns:a16="http://schemas.microsoft.com/office/drawing/2014/main" id="{2B66020D-3C99-4008-8BC4-6CD84C3DC9A7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7" name="TextBox 7297">
          <a:extLst>
            <a:ext uri="{FF2B5EF4-FFF2-40B4-BE49-F238E27FC236}">
              <a16:creationId xmlns:a16="http://schemas.microsoft.com/office/drawing/2014/main" id="{B882C2AE-88C7-4872-B0D4-DD2DAFCD37DF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8" name="TextBox 11">
          <a:extLst>
            <a:ext uri="{FF2B5EF4-FFF2-40B4-BE49-F238E27FC236}">
              <a16:creationId xmlns:a16="http://schemas.microsoft.com/office/drawing/2014/main" id="{84BD50CC-0335-4914-926A-ACD9172CDCC5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899" name="TextBox 12">
          <a:extLst>
            <a:ext uri="{FF2B5EF4-FFF2-40B4-BE49-F238E27FC236}">
              <a16:creationId xmlns:a16="http://schemas.microsoft.com/office/drawing/2014/main" id="{9554A1B4-E32D-4519-A4EB-C88BD6E42A0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0" name="TextBox 7300">
          <a:extLst>
            <a:ext uri="{FF2B5EF4-FFF2-40B4-BE49-F238E27FC236}">
              <a16:creationId xmlns:a16="http://schemas.microsoft.com/office/drawing/2014/main" id="{2C699670-64F9-4D33-8D00-6C3A3A6F719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1" name="TextBox 7301">
          <a:extLst>
            <a:ext uri="{FF2B5EF4-FFF2-40B4-BE49-F238E27FC236}">
              <a16:creationId xmlns:a16="http://schemas.microsoft.com/office/drawing/2014/main" id="{9152F1C3-50A6-484E-8E98-4971A68CB53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2" name="TextBox 1">
          <a:extLst>
            <a:ext uri="{FF2B5EF4-FFF2-40B4-BE49-F238E27FC236}">
              <a16:creationId xmlns:a16="http://schemas.microsoft.com/office/drawing/2014/main" id="{F8C9C624-841F-4157-B62B-78CB8FF7119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3" name="TextBox 3">
          <a:extLst>
            <a:ext uri="{FF2B5EF4-FFF2-40B4-BE49-F238E27FC236}">
              <a16:creationId xmlns:a16="http://schemas.microsoft.com/office/drawing/2014/main" id="{309DA2F7-88C9-4BB7-81FF-B038CBF9102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4" name="TextBox 7304">
          <a:extLst>
            <a:ext uri="{FF2B5EF4-FFF2-40B4-BE49-F238E27FC236}">
              <a16:creationId xmlns:a16="http://schemas.microsoft.com/office/drawing/2014/main" id="{6553D7D0-D988-44AC-9769-70257558973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5" name="TextBox 7305">
          <a:extLst>
            <a:ext uri="{FF2B5EF4-FFF2-40B4-BE49-F238E27FC236}">
              <a16:creationId xmlns:a16="http://schemas.microsoft.com/office/drawing/2014/main" id="{16451D30-2433-4ACD-AAE0-0DEE37D0A6F4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6" name="TextBox 7306">
          <a:extLst>
            <a:ext uri="{FF2B5EF4-FFF2-40B4-BE49-F238E27FC236}">
              <a16:creationId xmlns:a16="http://schemas.microsoft.com/office/drawing/2014/main" id="{F3DFC793-D399-4A5E-AA2F-62826F596D6B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7" name="TextBox 7307">
          <a:extLst>
            <a:ext uri="{FF2B5EF4-FFF2-40B4-BE49-F238E27FC236}">
              <a16:creationId xmlns:a16="http://schemas.microsoft.com/office/drawing/2014/main" id="{0D82AF5E-EB71-42A3-AD58-F07D8901AD29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8" name="TextBox 15">
          <a:extLst>
            <a:ext uri="{FF2B5EF4-FFF2-40B4-BE49-F238E27FC236}">
              <a16:creationId xmlns:a16="http://schemas.microsoft.com/office/drawing/2014/main" id="{E09AC824-BACF-45A7-94FC-FDBB68D6524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09" name="TextBox 16">
          <a:extLst>
            <a:ext uri="{FF2B5EF4-FFF2-40B4-BE49-F238E27FC236}">
              <a16:creationId xmlns:a16="http://schemas.microsoft.com/office/drawing/2014/main" id="{3C0B706A-CDB0-46C7-8022-8EFB8306EC9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0" name="TextBox 17">
          <a:extLst>
            <a:ext uri="{FF2B5EF4-FFF2-40B4-BE49-F238E27FC236}">
              <a16:creationId xmlns:a16="http://schemas.microsoft.com/office/drawing/2014/main" id="{2154BD74-7012-4D36-8781-BB55BFE7725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1" name="TextBox 18">
          <a:extLst>
            <a:ext uri="{FF2B5EF4-FFF2-40B4-BE49-F238E27FC236}">
              <a16:creationId xmlns:a16="http://schemas.microsoft.com/office/drawing/2014/main" id="{7D98D8A7-EF85-4BE1-98CF-FF7E74277DE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2" name="TextBox 7312">
          <a:extLst>
            <a:ext uri="{FF2B5EF4-FFF2-40B4-BE49-F238E27FC236}">
              <a16:creationId xmlns:a16="http://schemas.microsoft.com/office/drawing/2014/main" id="{4921C16A-3A45-41EC-9B9E-86529645E93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3" name="TextBox 7313">
          <a:extLst>
            <a:ext uri="{FF2B5EF4-FFF2-40B4-BE49-F238E27FC236}">
              <a16:creationId xmlns:a16="http://schemas.microsoft.com/office/drawing/2014/main" id="{01994A5A-6700-46B1-BEEF-55E7007887C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4" name="TextBox 1">
          <a:extLst>
            <a:ext uri="{FF2B5EF4-FFF2-40B4-BE49-F238E27FC236}">
              <a16:creationId xmlns:a16="http://schemas.microsoft.com/office/drawing/2014/main" id="{E218EA88-A567-4C9B-9CFD-5CF85A6B16E4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5" name="TextBox 3">
          <a:extLst>
            <a:ext uri="{FF2B5EF4-FFF2-40B4-BE49-F238E27FC236}">
              <a16:creationId xmlns:a16="http://schemas.microsoft.com/office/drawing/2014/main" id="{054496C9-0FAF-4D89-855D-F9B6DFC09FA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6" name="TextBox 7316">
          <a:extLst>
            <a:ext uri="{FF2B5EF4-FFF2-40B4-BE49-F238E27FC236}">
              <a16:creationId xmlns:a16="http://schemas.microsoft.com/office/drawing/2014/main" id="{BF11B5C2-0DA3-4D59-B70C-7C46FCBE3B4B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7" name="TextBox 7317">
          <a:extLst>
            <a:ext uri="{FF2B5EF4-FFF2-40B4-BE49-F238E27FC236}">
              <a16:creationId xmlns:a16="http://schemas.microsoft.com/office/drawing/2014/main" id="{92AFE4A2-BC40-460D-86B4-F27428EDC8C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8" name="TextBox 7318">
          <a:extLst>
            <a:ext uri="{FF2B5EF4-FFF2-40B4-BE49-F238E27FC236}">
              <a16:creationId xmlns:a16="http://schemas.microsoft.com/office/drawing/2014/main" id="{3BCD39CF-60E4-48F1-B65F-197EB11952B6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19" name="TextBox 7319">
          <a:extLst>
            <a:ext uri="{FF2B5EF4-FFF2-40B4-BE49-F238E27FC236}">
              <a16:creationId xmlns:a16="http://schemas.microsoft.com/office/drawing/2014/main" id="{1C088AAA-69E5-4294-AB62-3E1F3919845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0" name="TextBox 7320">
          <a:extLst>
            <a:ext uri="{FF2B5EF4-FFF2-40B4-BE49-F238E27FC236}">
              <a16:creationId xmlns:a16="http://schemas.microsoft.com/office/drawing/2014/main" id="{69935420-F7EB-4C87-A95D-CF5FD13E1C86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1" name="TextBox 7321">
          <a:extLst>
            <a:ext uri="{FF2B5EF4-FFF2-40B4-BE49-F238E27FC236}">
              <a16:creationId xmlns:a16="http://schemas.microsoft.com/office/drawing/2014/main" id="{306E8A9A-ED99-4110-AFBB-B13F111EE2E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2" name="TextBox 7322">
          <a:extLst>
            <a:ext uri="{FF2B5EF4-FFF2-40B4-BE49-F238E27FC236}">
              <a16:creationId xmlns:a16="http://schemas.microsoft.com/office/drawing/2014/main" id="{74B31AE9-0D10-4077-99DB-DF6CEA0AF213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3" name="TextBox 7323">
          <a:extLst>
            <a:ext uri="{FF2B5EF4-FFF2-40B4-BE49-F238E27FC236}">
              <a16:creationId xmlns:a16="http://schemas.microsoft.com/office/drawing/2014/main" id="{19AFC964-C97A-40EE-B652-36FC76DD606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4" name="TextBox 7324">
          <a:extLst>
            <a:ext uri="{FF2B5EF4-FFF2-40B4-BE49-F238E27FC236}">
              <a16:creationId xmlns:a16="http://schemas.microsoft.com/office/drawing/2014/main" id="{666383EF-92BF-4CE7-BA73-4A27ED0581A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5" name="TextBox 7325">
          <a:extLst>
            <a:ext uri="{FF2B5EF4-FFF2-40B4-BE49-F238E27FC236}">
              <a16:creationId xmlns:a16="http://schemas.microsoft.com/office/drawing/2014/main" id="{0142E764-9F63-46DB-A7CE-23F800743D73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6" name="TextBox 13">
          <a:extLst>
            <a:ext uri="{FF2B5EF4-FFF2-40B4-BE49-F238E27FC236}">
              <a16:creationId xmlns:a16="http://schemas.microsoft.com/office/drawing/2014/main" id="{A0A50C83-9463-4B0F-A432-968FE140A8B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7" name="TextBox 14">
          <a:extLst>
            <a:ext uri="{FF2B5EF4-FFF2-40B4-BE49-F238E27FC236}">
              <a16:creationId xmlns:a16="http://schemas.microsoft.com/office/drawing/2014/main" id="{593EE2CA-DE3E-45B4-B34F-020B97CADFC8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8" name="TextBox 7328">
          <a:extLst>
            <a:ext uri="{FF2B5EF4-FFF2-40B4-BE49-F238E27FC236}">
              <a16:creationId xmlns:a16="http://schemas.microsoft.com/office/drawing/2014/main" id="{9203D609-F575-4B7F-A75D-4BE14BBEFC78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29" name="TextBox 7329">
          <a:extLst>
            <a:ext uri="{FF2B5EF4-FFF2-40B4-BE49-F238E27FC236}">
              <a16:creationId xmlns:a16="http://schemas.microsoft.com/office/drawing/2014/main" id="{8BB3542F-9104-47A5-9B6C-52A0C2C2B88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0" name="TextBox 7330">
          <a:extLst>
            <a:ext uri="{FF2B5EF4-FFF2-40B4-BE49-F238E27FC236}">
              <a16:creationId xmlns:a16="http://schemas.microsoft.com/office/drawing/2014/main" id="{A26893DC-C2CE-45EF-90EE-10EF3A12BE1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1" name="TextBox 7331">
          <a:extLst>
            <a:ext uri="{FF2B5EF4-FFF2-40B4-BE49-F238E27FC236}">
              <a16:creationId xmlns:a16="http://schemas.microsoft.com/office/drawing/2014/main" id="{0713CC77-1AA5-4117-9688-00493064424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2" name="TextBox 15">
          <a:extLst>
            <a:ext uri="{FF2B5EF4-FFF2-40B4-BE49-F238E27FC236}">
              <a16:creationId xmlns:a16="http://schemas.microsoft.com/office/drawing/2014/main" id="{EA3EC785-3B70-4B2F-AB93-5668365E9B2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3" name="TextBox 16">
          <a:extLst>
            <a:ext uri="{FF2B5EF4-FFF2-40B4-BE49-F238E27FC236}">
              <a16:creationId xmlns:a16="http://schemas.microsoft.com/office/drawing/2014/main" id="{37347DCB-32A1-416E-9AFE-E7E18F2AC9E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4" name="TextBox 17">
          <a:extLst>
            <a:ext uri="{FF2B5EF4-FFF2-40B4-BE49-F238E27FC236}">
              <a16:creationId xmlns:a16="http://schemas.microsoft.com/office/drawing/2014/main" id="{6C9117A5-830D-4CE8-973F-31C192EB84D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5" name="TextBox 18">
          <a:extLst>
            <a:ext uri="{FF2B5EF4-FFF2-40B4-BE49-F238E27FC236}">
              <a16:creationId xmlns:a16="http://schemas.microsoft.com/office/drawing/2014/main" id="{B84EF070-035A-4F6C-AB00-0C03F51F185F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6" name="TextBox 7336">
          <a:extLst>
            <a:ext uri="{FF2B5EF4-FFF2-40B4-BE49-F238E27FC236}">
              <a16:creationId xmlns:a16="http://schemas.microsoft.com/office/drawing/2014/main" id="{73ADF034-3874-4DC1-A044-8A195A9DC2B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7" name="TextBox 7337">
          <a:extLst>
            <a:ext uri="{FF2B5EF4-FFF2-40B4-BE49-F238E27FC236}">
              <a16:creationId xmlns:a16="http://schemas.microsoft.com/office/drawing/2014/main" id="{5C09E683-B430-4CC9-BEF3-20F68AA29FE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8" name="TextBox 1">
          <a:extLst>
            <a:ext uri="{FF2B5EF4-FFF2-40B4-BE49-F238E27FC236}">
              <a16:creationId xmlns:a16="http://schemas.microsoft.com/office/drawing/2014/main" id="{060C3102-465B-49E8-97AA-995BB3C14E7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39" name="TextBox 3">
          <a:extLst>
            <a:ext uri="{FF2B5EF4-FFF2-40B4-BE49-F238E27FC236}">
              <a16:creationId xmlns:a16="http://schemas.microsoft.com/office/drawing/2014/main" id="{5F02314C-1F22-4C71-9F9F-46DD0C74745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0" name="TextBox 7340">
          <a:extLst>
            <a:ext uri="{FF2B5EF4-FFF2-40B4-BE49-F238E27FC236}">
              <a16:creationId xmlns:a16="http://schemas.microsoft.com/office/drawing/2014/main" id="{3DD896B0-972E-485F-9F1D-0D4F9FD5130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1" name="TextBox 7341">
          <a:extLst>
            <a:ext uri="{FF2B5EF4-FFF2-40B4-BE49-F238E27FC236}">
              <a16:creationId xmlns:a16="http://schemas.microsoft.com/office/drawing/2014/main" id="{FD179E9A-9109-4259-8049-8A2540B4810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2" name="TextBox 7342">
          <a:extLst>
            <a:ext uri="{FF2B5EF4-FFF2-40B4-BE49-F238E27FC236}">
              <a16:creationId xmlns:a16="http://schemas.microsoft.com/office/drawing/2014/main" id="{E0AFA9F0-2A90-40B7-9397-282A103B633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3" name="TextBox 7343">
          <a:extLst>
            <a:ext uri="{FF2B5EF4-FFF2-40B4-BE49-F238E27FC236}">
              <a16:creationId xmlns:a16="http://schemas.microsoft.com/office/drawing/2014/main" id="{6DC74F04-121A-4B52-AE39-23406366CFD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4" name="TextBox 7344">
          <a:extLst>
            <a:ext uri="{FF2B5EF4-FFF2-40B4-BE49-F238E27FC236}">
              <a16:creationId xmlns:a16="http://schemas.microsoft.com/office/drawing/2014/main" id="{4D9A9073-41C5-4A12-8A6C-8B3505135B1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5" name="TextBox 7345">
          <a:extLst>
            <a:ext uri="{FF2B5EF4-FFF2-40B4-BE49-F238E27FC236}">
              <a16:creationId xmlns:a16="http://schemas.microsoft.com/office/drawing/2014/main" id="{7159607D-FBD0-436A-A682-C73CBB3B9D7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6" name="TextBox 7346">
          <a:extLst>
            <a:ext uri="{FF2B5EF4-FFF2-40B4-BE49-F238E27FC236}">
              <a16:creationId xmlns:a16="http://schemas.microsoft.com/office/drawing/2014/main" id="{D00ECEDA-A1BF-492C-BF55-ADCEDDA06A3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7" name="TextBox 7347">
          <a:extLst>
            <a:ext uri="{FF2B5EF4-FFF2-40B4-BE49-F238E27FC236}">
              <a16:creationId xmlns:a16="http://schemas.microsoft.com/office/drawing/2014/main" id="{06950367-0AB4-477C-A9EF-CC158B6D0E8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8" name="TextBox 7348">
          <a:extLst>
            <a:ext uri="{FF2B5EF4-FFF2-40B4-BE49-F238E27FC236}">
              <a16:creationId xmlns:a16="http://schemas.microsoft.com/office/drawing/2014/main" id="{62889B1C-AC9D-4316-8D25-9EFE791085B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49" name="TextBox 7349">
          <a:extLst>
            <a:ext uri="{FF2B5EF4-FFF2-40B4-BE49-F238E27FC236}">
              <a16:creationId xmlns:a16="http://schemas.microsoft.com/office/drawing/2014/main" id="{38E1D842-344F-49E1-8B38-A9300F712845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0" name="TextBox 13">
          <a:extLst>
            <a:ext uri="{FF2B5EF4-FFF2-40B4-BE49-F238E27FC236}">
              <a16:creationId xmlns:a16="http://schemas.microsoft.com/office/drawing/2014/main" id="{60F78CD5-1A5E-4F91-A76C-87C3060DD32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1" name="TextBox 14">
          <a:extLst>
            <a:ext uri="{FF2B5EF4-FFF2-40B4-BE49-F238E27FC236}">
              <a16:creationId xmlns:a16="http://schemas.microsoft.com/office/drawing/2014/main" id="{3EECFFEA-D94A-4875-93D7-85EC413E5C0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2" name="TextBox 7352">
          <a:extLst>
            <a:ext uri="{FF2B5EF4-FFF2-40B4-BE49-F238E27FC236}">
              <a16:creationId xmlns:a16="http://schemas.microsoft.com/office/drawing/2014/main" id="{80DAAD97-5A2F-487D-B21D-A9F90F848DCD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3" name="TextBox 7353">
          <a:extLst>
            <a:ext uri="{FF2B5EF4-FFF2-40B4-BE49-F238E27FC236}">
              <a16:creationId xmlns:a16="http://schemas.microsoft.com/office/drawing/2014/main" id="{9E5B2319-B738-4288-904A-CB8E25B646DC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4" name="TextBox 7354">
          <a:extLst>
            <a:ext uri="{FF2B5EF4-FFF2-40B4-BE49-F238E27FC236}">
              <a16:creationId xmlns:a16="http://schemas.microsoft.com/office/drawing/2014/main" id="{42A5E541-1DFC-4D3C-86F3-83BEBDE4DF77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5" name="TextBox 7355">
          <a:extLst>
            <a:ext uri="{FF2B5EF4-FFF2-40B4-BE49-F238E27FC236}">
              <a16:creationId xmlns:a16="http://schemas.microsoft.com/office/drawing/2014/main" id="{FCF8F8DF-EFC9-4953-9F34-D0CB05AAAA11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6" name="TextBox 15">
          <a:extLst>
            <a:ext uri="{FF2B5EF4-FFF2-40B4-BE49-F238E27FC236}">
              <a16:creationId xmlns:a16="http://schemas.microsoft.com/office/drawing/2014/main" id="{85991C13-4C25-4EDA-B6B3-67D5593E8650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7" name="TextBox 16">
          <a:extLst>
            <a:ext uri="{FF2B5EF4-FFF2-40B4-BE49-F238E27FC236}">
              <a16:creationId xmlns:a16="http://schemas.microsoft.com/office/drawing/2014/main" id="{7AAC6A0F-BC07-4195-B05D-913B24CE2076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8" name="TextBox 17">
          <a:extLst>
            <a:ext uri="{FF2B5EF4-FFF2-40B4-BE49-F238E27FC236}">
              <a16:creationId xmlns:a16="http://schemas.microsoft.com/office/drawing/2014/main" id="{482EE8D1-4417-431A-909F-AB54C61E49CA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59" name="TextBox 18">
          <a:extLst>
            <a:ext uri="{FF2B5EF4-FFF2-40B4-BE49-F238E27FC236}">
              <a16:creationId xmlns:a16="http://schemas.microsoft.com/office/drawing/2014/main" id="{207CA376-DFAA-4641-B829-8F66612A607D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0" name="TextBox 7360">
          <a:extLst>
            <a:ext uri="{FF2B5EF4-FFF2-40B4-BE49-F238E27FC236}">
              <a16:creationId xmlns:a16="http://schemas.microsoft.com/office/drawing/2014/main" id="{E478DA39-55C6-42F2-8467-87E7DDE661B2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1" name="TextBox 7361">
          <a:extLst>
            <a:ext uri="{FF2B5EF4-FFF2-40B4-BE49-F238E27FC236}">
              <a16:creationId xmlns:a16="http://schemas.microsoft.com/office/drawing/2014/main" id="{09477BF0-432E-40DF-8FFB-47C375471951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2" name="TextBox 1">
          <a:extLst>
            <a:ext uri="{FF2B5EF4-FFF2-40B4-BE49-F238E27FC236}">
              <a16:creationId xmlns:a16="http://schemas.microsoft.com/office/drawing/2014/main" id="{E6C8EA8E-A225-44F1-BBFC-5D3BFA8FEA61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3" name="TextBox 3">
          <a:extLst>
            <a:ext uri="{FF2B5EF4-FFF2-40B4-BE49-F238E27FC236}">
              <a16:creationId xmlns:a16="http://schemas.microsoft.com/office/drawing/2014/main" id="{6E6431AF-7BE0-4C69-ADAC-B78B0FFEDC50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4" name="TextBox 7364">
          <a:extLst>
            <a:ext uri="{FF2B5EF4-FFF2-40B4-BE49-F238E27FC236}">
              <a16:creationId xmlns:a16="http://schemas.microsoft.com/office/drawing/2014/main" id="{73605BF6-FAC7-4E66-A714-AEFFDA6A08F4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5" name="TextBox 7365">
          <a:extLst>
            <a:ext uri="{FF2B5EF4-FFF2-40B4-BE49-F238E27FC236}">
              <a16:creationId xmlns:a16="http://schemas.microsoft.com/office/drawing/2014/main" id="{B00991E6-9EE1-4D16-BD16-EF61AE2F1161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6" name="TextBox 7366">
          <a:extLst>
            <a:ext uri="{FF2B5EF4-FFF2-40B4-BE49-F238E27FC236}">
              <a16:creationId xmlns:a16="http://schemas.microsoft.com/office/drawing/2014/main" id="{7CEB386A-61F1-4061-96D8-B8F68925286B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7" name="TextBox 7367">
          <a:extLst>
            <a:ext uri="{FF2B5EF4-FFF2-40B4-BE49-F238E27FC236}">
              <a16:creationId xmlns:a16="http://schemas.microsoft.com/office/drawing/2014/main" id="{3EEA997B-EC64-4441-80C9-2D373DBA1542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8" name="TextBox 7368">
          <a:extLst>
            <a:ext uri="{FF2B5EF4-FFF2-40B4-BE49-F238E27FC236}">
              <a16:creationId xmlns:a16="http://schemas.microsoft.com/office/drawing/2014/main" id="{92D0C131-E9C4-4211-8F29-FB4AD35CB416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69" name="TextBox 7369">
          <a:extLst>
            <a:ext uri="{FF2B5EF4-FFF2-40B4-BE49-F238E27FC236}">
              <a16:creationId xmlns:a16="http://schemas.microsoft.com/office/drawing/2014/main" id="{777A05A1-5047-4ED8-BD1D-09FC53187EEF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0" name="TextBox 7370">
          <a:extLst>
            <a:ext uri="{FF2B5EF4-FFF2-40B4-BE49-F238E27FC236}">
              <a16:creationId xmlns:a16="http://schemas.microsoft.com/office/drawing/2014/main" id="{A8D9A9CD-9CBD-4ACE-9731-E37F57F028B1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1" name="TextBox 7371">
          <a:extLst>
            <a:ext uri="{FF2B5EF4-FFF2-40B4-BE49-F238E27FC236}">
              <a16:creationId xmlns:a16="http://schemas.microsoft.com/office/drawing/2014/main" id="{744F6CC1-4B8D-46EE-8C45-1CEA8A289DCF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2" name="TextBox 7372">
          <a:extLst>
            <a:ext uri="{FF2B5EF4-FFF2-40B4-BE49-F238E27FC236}">
              <a16:creationId xmlns:a16="http://schemas.microsoft.com/office/drawing/2014/main" id="{487FB955-C936-48D7-A2E4-A3E0680B4245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3" name="TextBox 7373">
          <a:extLst>
            <a:ext uri="{FF2B5EF4-FFF2-40B4-BE49-F238E27FC236}">
              <a16:creationId xmlns:a16="http://schemas.microsoft.com/office/drawing/2014/main" id="{1F70DE0A-76A7-4E71-81B1-497F2461030F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4" name="TextBox 13">
          <a:extLst>
            <a:ext uri="{FF2B5EF4-FFF2-40B4-BE49-F238E27FC236}">
              <a16:creationId xmlns:a16="http://schemas.microsoft.com/office/drawing/2014/main" id="{CE439429-DDEC-43F8-8ED4-51083DD87B09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5" name="TextBox 14">
          <a:extLst>
            <a:ext uri="{FF2B5EF4-FFF2-40B4-BE49-F238E27FC236}">
              <a16:creationId xmlns:a16="http://schemas.microsoft.com/office/drawing/2014/main" id="{871DD2A9-65C3-4DC0-B30F-A43998E2988B}"/>
            </a:ext>
          </a:extLst>
        </xdr:cNvPr>
        <xdr:cNvSpPr txBox="1"/>
      </xdr:nvSpPr>
      <xdr:spPr>
        <a:xfrm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6" name="TextBox 7376">
          <a:extLst>
            <a:ext uri="{FF2B5EF4-FFF2-40B4-BE49-F238E27FC236}">
              <a16:creationId xmlns:a16="http://schemas.microsoft.com/office/drawing/2014/main" id="{B522E45E-1749-40B4-9CB0-E9C3599502C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7" name="TextBox 7377">
          <a:extLst>
            <a:ext uri="{FF2B5EF4-FFF2-40B4-BE49-F238E27FC236}">
              <a16:creationId xmlns:a16="http://schemas.microsoft.com/office/drawing/2014/main" id="{2F78FAD7-27C8-4673-BD8F-1176F56A3FF8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8" name="TextBox 7378">
          <a:extLst>
            <a:ext uri="{FF2B5EF4-FFF2-40B4-BE49-F238E27FC236}">
              <a16:creationId xmlns:a16="http://schemas.microsoft.com/office/drawing/2014/main" id="{FEBACB31-A4E7-405A-B8DB-45745BEB26D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79" name="TextBox 7379">
          <a:extLst>
            <a:ext uri="{FF2B5EF4-FFF2-40B4-BE49-F238E27FC236}">
              <a16:creationId xmlns:a16="http://schemas.microsoft.com/office/drawing/2014/main" id="{1B915A75-ADCC-43EB-9843-754DFB75086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0" name="TextBox 15">
          <a:extLst>
            <a:ext uri="{FF2B5EF4-FFF2-40B4-BE49-F238E27FC236}">
              <a16:creationId xmlns:a16="http://schemas.microsoft.com/office/drawing/2014/main" id="{24CB388E-9FF4-4C89-A9D5-F49005B2EA2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1" name="TextBox 16">
          <a:extLst>
            <a:ext uri="{FF2B5EF4-FFF2-40B4-BE49-F238E27FC236}">
              <a16:creationId xmlns:a16="http://schemas.microsoft.com/office/drawing/2014/main" id="{055F5F54-8605-4F09-B2D2-5906FACA089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2" name="TextBox 17">
          <a:extLst>
            <a:ext uri="{FF2B5EF4-FFF2-40B4-BE49-F238E27FC236}">
              <a16:creationId xmlns:a16="http://schemas.microsoft.com/office/drawing/2014/main" id="{F404887F-7763-4B0D-A399-95B82998BDDD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3" name="TextBox 18">
          <a:extLst>
            <a:ext uri="{FF2B5EF4-FFF2-40B4-BE49-F238E27FC236}">
              <a16:creationId xmlns:a16="http://schemas.microsoft.com/office/drawing/2014/main" id="{FF7C99F7-B278-4A05-A5C5-D15F80C5CCE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4" name="TextBox 7384">
          <a:extLst>
            <a:ext uri="{FF2B5EF4-FFF2-40B4-BE49-F238E27FC236}">
              <a16:creationId xmlns:a16="http://schemas.microsoft.com/office/drawing/2014/main" id="{495D554A-BE32-4337-8702-0FCA3CCC413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5" name="TextBox 7385">
          <a:extLst>
            <a:ext uri="{FF2B5EF4-FFF2-40B4-BE49-F238E27FC236}">
              <a16:creationId xmlns:a16="http://schemas.microsoft.com/office/drawing/2014/main" id="{B8D33122-705C-497C-B36D-D566973FADF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6" name="TextBox 1">
          <a:extLst>
            <a:ext uri="{FF2B5EF4-FFF2-40B4-BE49-F238E27FC236}">
              <a16:creationId xmlns:a16="http://schemas.microsoft.com/office/drawing/2014/main" id="{110F3365-D98E-48A7-84FA-DA70EF1EAE4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7" name="TextBox 3">
          <a:extLst>
            <a:ext uri="{FF2B5EF4-FFF2-40B4-BE49-F238E27FC236}">
              <a16:creationId xmlns:a16="http://schemas.microsoft.com/office/drawing/2014/main" id="{CFC37A75-A103-42C0-ACF2-5055495AAC3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8" name="TextBox 7388">
          <a:extLst>
            <a:ext uri="{FF2B5EF4-FFF2-40B4-BE49-F238E27FC236}">
              <a16:creationId xmlns:a16="http://schemas.microsoft.com/office/drawing/2014/main" id="{08FF85CE-EA4D-4617-BE91-16BCE8E9C8B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89" name="TextBox 7389">
          <a:extLst>
            <a:ext uri="{FF2B5EF4-FFF2-40B4-BE49-F238E27FC236}">
              <a16:creationId xmlns:a16="http://schemas.microsoft.com/office/drawing/2014/main" id="{2D913932-8FCC-4B6A-BFE1-2ED7A63575EE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0" name="TextBox 7390">
          <a:extLst>
            <a:ext uri="{FF2B5EF4-FFF2-40B4-BE49-F238E27FC236}">
              <a16:creationId xmlns:a16="http://schemas.microsoft.com/office/drawing/2014/main" id="{091D74E1-24CE-4B9F-B968-6D3BD4ADE92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1" name="TextBox 7391">
          <a:extLst>
            <a:ext uri="{FF2B5EF4-FFF2-40B4-BE49-F238E27FC236}">
              <a16:creationId xmlns:a16="http://schemas.microsoft.com/office/drawing/2014/main" id="{46D8E737-264C-4C72-8A01-314F26C559F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2" name="TextBox 7392">
          <a:extLst>
            <a:ext uri="{FF2B5EF4-FFF2-40B4-BE49-F238E27FC236}">
              <a16:creationId xmlns:a16="http://schemas.microsoft.com/office/drawing/2014/main" id="{66834F67-4CB6-4499-9734-07BB86BCF39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3" name="TextBox 7393">
          <a:extLst>
            <a:ext uri="{FF2B5EF4-FFF2-40B4-BE49-F238E27FC236}">
              <a16:creationId xmlns:a16="http://schemas.microsoft.com/office/drawing/2014/main" id="{C9DE8AE1-3B3F-4CD1-BFAF-1D4DDAC6F7D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4" name="TextBox 7394">
          <a:extLst>
            <a:ext uri="{FF2B5EF4-FFF2-40B4-BE49-F238E27FC236}">
              <a16:creationId xmlns:a16="http://schemas.microsoft.com/office/drawing/2014/main" id="{1BE2F8D6-660D-4EF4-B409-B5FB7A90BD4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5" name="TextBox 7395">
          <a:extLst>
            <a:ext uri="{FF2B5EF4-FFF2-40B4-BE49-F238E27FC236}">
              <a16:creationId xmlns:a16="http://schemas.microsoft.com/office/drawing/2014/main" id="{9D05C7BA-BD28-4C06-9A6C-7EBBDB0735C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6" name="TextBox 7396">
          <a:extLst>
            <a:ext uri="{FF2B5EF4-FFF2-40B4-BE49-F238E27FC236}">
              <a16:creationId xmlns:a16="http://schemas.microsoft.com/office/drawing/2014/main" id="{B81847F2-585F-45C0-8B76-B7957D752C1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7" name="TextBox 7397">
          <a:extLst>
            <a:ext uri="{FF2B5EF4-FFF2-40B4-BE49-F238E27FC236}">
              <a16:creationId xmlns:a16="http://schemas.microsoft.com/office/drawing/2014/main" id="{7EEBC021-6724-4463-90B7-DA0035A52A3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8" name="TextBox 13">
          <a:extLst>
            <a:ext uri="{FF2B5EF4-FFF2-40B4-BE49-F238E27FC236}">
              <a16:creationId xmlns:a16="http://schemas.microsoft.com/office/drawing/2014/main" id="{793ABABD-E043-400D-8CD6-59E76CFF1C7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1999" name="TextBox 14">
          <a:extLst>
            <a:ext uri="{FF2B5EF4-FFF2-40B4-BE49-F238E27FC236}">
              <a16:creationId xmlns:a16="http://schemas.microsoft.com/office/drawing/2014/main" id="{7E0EA01F-B48D-449E-8E35-3D989D51EC6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0" name="TextBox 7400">
          <a:extLst>
            <a:ext uri="{FF2B5EF4-FFF2-40B4-BE49-F238E27FC236}">
              <a16:creationId xmlns:a16="http://schemas.microsoft.com/office/drawing/2014/main" id="{77770B4B-2E14-4A2C-B75C-667AA87417D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1" name="TextBox 7401">
          <a:extLst>
            <a:ext uri="{FF2B5EF4-FFF2-40B4-BE49-F238E27FC236}">
              <a16:creationId xmlns:a16="http://schemas.microsoft.com/office/drawing/2014/main" id="{CE075637-60CB-47C2-93C3-B759E8A0E54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2" name="TextBox 7402">
          <a:extLst>
            <a:ext uri="{FF2B5EF4-FFF2-40B4-BE49-F238E27FC236}">
              <a16:creationId xmlns:a16="http://schemas.microsoft.com/office/drawing/2014/main" id="{7B4E96F7-FF26-484B-A8E2-412BA3B7BC4D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3" name="TextBox 7403">
          <a:extLst>
            <a:ext uri="{FF2B5EF4-FFF2-40B4-BE49-F238E27FC236}">
              <a16:creationId xmlns:a16="http://schemas.microsoft.com/office/drawing/2014/main" id="{4B64F2CD-995C-4635-89C9-15158819C91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4" name="TextBox 15">
          <a:extLst>
            <a:ext uri="{FF2B5EF4-FFF2-40B4-BE49-F238E27FC236}">
              <a16:creationId xmlns:a16="http://schemas.microsoft.com/office/drawing/2014/main" id="{6D430CCD-E625-4518-B6F4-C06A688CC3A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5" name="TextBox 16">
          <a:extLst>
            <a:ext uri="{FF2B5EF4-FFF2-40B4-BE49-F238E27FC236}">
              <a16:creationId xmlns:a16="http://schemas.microsoft.com/office/drawing/2014/main" id="{5DEA6835-7AC9-46D0-A287-66A51AF54C1D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6" name="TextBox 17">
          <a:extLst>
            <a:ext uri="{FF2B5EF4-FFF2-40B4-BE49-F238E27FC236}">
              <a16:creationId xmlns:a16="http://schemas.microsoft.com/office/drawing/2014/main" id="{3781A792-E9AE-4509-87B4-8FE8437DD92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7" name="TextBox 18">
          <a:extLst>
            <a:ext uri="{FF2B5EF4-FFF2-40B4-BE49-F238E27FC236}">
              <a16:creationId xmlns:a16="http://schemas.microsoft.com/office/drawing/2014/main" id="{229034EE-771D-4E87-9F60-C1D93F60197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8" name="TextBox 7408">
          <a:extLst>
            <a:ext uri="{FF2B5EF4-FFF2-40B4-BE49-F238E27FC236}">
              <a16:creationId xmlns:a16="http://schemas.microsoft.com/office/drawing/2014/main" id="{67D48E24-3513-4F92-BF0D-B13453A9761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09" name="TextBox 7409">
          <a:extLst>
            <a:ext uri="{FF2B5EF4-FFF2-40B4-BE49-F238E27FC236}">
              <a16:creationId xmlns:a16="http://schemas.microsoft.com/office/drawing/2014/main" id="{28CF0B99-5A12-495F-A781-120743AB97B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0" name="TextBox 1">
          <a:extLst>
            <a:ext uri="{FF2B5EF4-FFF2-40B4-BE49-F238E27FC236}">
              <a16:creationId xmlns:a16="http://schemas.microsoft.com/office/drawing/2014/main" id="{D224DB45-4E90-43EA-A8AB-D40777D51B9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1" name="TextBox 3">
          <a:extLst>
            <a:ext uri="{FF2B5EF4-FFF2-40B4-BE49-F238E27FC236}">
              <a16:creationId xmlns:a16="http://schemas.microsoft.com/office/drawing/2014/main" id="{CDD93241-E96F-4759-A40F-CB2C1F0DAD50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2" name="TextBox 7412">
          <a:extLst>
            <a:ext uri="{FF2B5EF4-FFF2-40B4-BE49-F238E27FC236}">
              <a16:creationId xmlns:a16="http://schemas.microsoft.com/office/drawing/2014/main" id="{A521751C-7C90-4E53-BAE9-CAE3E78D648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3" name="TextBox 7413">
          <a:extLst>
            <a:ext uri="{FF2B5EF4-FFF2-40B4-BE49-F238E27FC236}">
              <a16:creationId xmlns:a16="http://schemas.microsoft.com/office/drawing/2014/main" id="{38E37720-06D1-4B8D-B24B-9BF07F7A70C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4" name="TextBox 7414">
          <a:extLst>
            <a:ext uri="{FF2B5EF4-FFF2-40B4-BE49-F238E27FC236}">
              <a16:creationId xmlns:a16="http://schemas.microsoft.com/office/drawing/2014/main" id="{AEBD3FE5-40EC-47E9-AD9C-A121E0DE03AD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5" name="TextBox 7415">
          <a:extLst>
            <a:ext uri="{FF2B5EF4-FFF2-40B4-BE49-F238E27FC236}">
              <a16:creationId xmlns:a16="http://schemas.microsoft.com/office/drawing/2014/main" id="{3BB0BCD6-BB3D-4244-A403-644B73A3689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6" name="TextBox 7416">
          <a:extLst>
            <a:ext uri="{FF2B5EF4-FFF2-40B4-BE49-F238E27FC236}">
              <a16:creationId xmlns:a16="http://schemas.microsoft.com/office/drawing/2014/main" id="{C06F7623-996A-4956-9C65-1CBA6565BC0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7" name="TextBox 7417">
          <a:extLst>
            <a:ext uri="{FF2B5EF4-FFF2-40B4-BE49-F238E27FC236}">
              <a16:creationId xmlns:a16="http://schemas.microsoft.com/office/drawing/2014/main" id="{7D7328B1-FDA8-4E04-913E-CA798E5BFFC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8" name="TextBox 7418">
          <a:extLst>
            <a:ext uri="{FF2B5EF4-FFF2-40B4-BE49-F238E27FC236}">
              <a16:creationId xmlns:a16="http://schemas.microsoft.com/office/drawing/2014/main" id="{54AE11FC-29A3-457B-A03B-BCB76873CB2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19" name="TextBox 7419">
          <a:extLst>
            <a:ext uri="{FF2B5EF4-FFF2-40B4-BE49-F238E27FC236}">
              <a16:creationId xmlns:a16="http://schemas.microsoft.com/office/drawing/2014/main" id="{0DE3C94E-B714-4E08-8772-D50F4E71DEB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0" name="TextBox 7420">
          <a:extLst>
            <a:ext uri="{FF2B5EF4-FFF2-40B4-BE49-F238E27FC236}">
              <a16:creationId xmlns:a16="http://schemas.microsoft.com/office/drawing/2014/main" id="{E8A56D53-B16E-469F-84D8-B1C3241C335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1" name="TextBox 7421">
          <a:extLst>
            <a:ext uri="{FF2B5EF4-FFF2-40B4-BE49-F238E27FC236}">
              <a16:creationId xmlns:a16="http://schemas.microsoft.com/office/drawing/2014/main" id="{34D18DC5-60EA-48E5-827E-503F146287E8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2" name="TextBox 13">
          <a:extLst>
            <a:ext uri="{FF2B5EF4-FFF2-40B4-BE49-F238E27FC236}">
              <a16:creationId xmlns:a16="http://schemas.microsoft.com/office/drawing/2014/main" id="{8219599B-3895-4AB3-9A27-2BBA23898C80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3" name="TextBox 14">
          <a:extLst>
            <a:ext uri="{FF2B5EF4-FFF2-40B4-BE49-F238E27FC236}">
              <a16:creationId xmlns:a16="http://schemas.microsoft.com/office/drawing/2014/main" id="{0EFD72DA-DE52-4584-A263-AD737D80914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4" name="TextBox 7424">
          <a:extLst>
            <a:ext uri="{FF2B5EF4-FFF2-40B4-BE49-F238E27FC236}">
              <a16:creationId xmlns:a16="http://schemas.microsoft.com/office/drawing/2014/main" id="{D15E3FC3-78AE-4C24-A422-15F9CBD3745E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5" name="TextBox 7425">
          <a:extLst>
            <a:ext uri="{FF2B5EF4-FFF2-40B4-BE49-F238E27FC236}">
              <a16:creationId xmlns:a16="http://schemas.microsoft.com/office/drawing/2014/main" id="{E20714CF-408E-4282-96EC-27FCBCCB9E4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6" name="TextBox 7426">
          <a:extLst>
            <a:ext uri="{FF2B5EF4-FFF2-40B4-BE49-F238E27FC236}">
              <a16:creationId xmlns:a16="http://schemas.microsoft.com/office/drawing/2014/main" id="{118C7386-5621-40E0-8E10-C86CA5D1965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7" name="TextBox 7427">
          <a:extLst>
            <a:ext uri="{FF2B5EF4-FFF2-40B4-BE49-F238E27FC236}">
              <a16:creationId xmlns:a16="http://schemas.microsoft.com/office/drawing/2014/main" id="{2885FD64-43D7-42E9-8302-68169C56D03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8" name="TextBox 15">
          <a:extLst>
            <a:ext uri="{FF2B5EF4-FFF2-40B4-BE49-F238E27FC236}">
              <a16:creationId xmlns:a16="http://schemas.microsoft.com/office/drawing/2014/main" id="{A6E6D44D-4377-41BD-89DC-E13249694CC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29" name="TextBox 16">
          <a:extLst>
            <a:ext uri="{FF2B5EF4-FFF2-40B4-BE49-F238E27FC236}">
              <a16:creationId xmlns:a16="http://schemas.microsoft.com/office/drawing/2014/main" id="{4141D29E-D27A-4BB2-89E2-37B53D637C4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0" name="TextBox 17">
          <a:extLst>
            <a:ext uri="{FF2B5EF4-FFF2-40B4-BE49-F238E27FC236}">
              <a16:creationId xmlns:a16="http://schemas.microsoft.com/office/drawing/2014/main" id="{C7AC4E1F-4E40-420C-9652-150B2D9A5AD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1" name="TextBox 18">
          <a:extLst>
            <a:ext uri="{FF2B5EF4-FFF2-40B4-BE49-F238E27FC236}">
              <a16:creationId xmlns:a16="http://schemas.microsoft.com/office/drawing/2014/main" id="{D6E2C70D-00F3-45D1-948F-1360C884444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2" name="TextBox 7432">
          <a:extLst>
            <a:ext uri="{FF2B5EF4-FFF2-40B4-BE49-F238E27FC236}">
              <a16:creationId xmlns:a16="http://schemas.microsoft.com/office/drawing/2014/main" id="{DC166F8C-BF53-4CFC-A2C0-3C246E0EECE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3" name="TextBox 7433">
          <a:extLst>
            <a:ext uri="{FF2B5EF4-FFF2-40B4-BE49-F238E27FC236}">
              <a16:creationId xmlns:a16="http://schemas.microsoft.com/office/drawing/2014/main" id="{138BAF5C-63AF-4D25-B72F-5FBF248AC82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4" name="TextBox 1">
          <a:extLst>
            <a:ext uri="{FF2B5EF4-FFF2-40B4-BE49-F238E27FC236}">
              <a16:creationId xmlns:a16="http://schemas.microsoft.com/office/drawing/2014/main" id="{0980FCA6-A4FD-4F04-A986-A31308370A30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5" name="TextBox 3">
          <a:extLst>
            <a:ext uri="{FF2B5EF4-FFF2-40B4-BE49-F238E27FC236}">
              <a16:creationId xmlns:a16="http://schemas.microsoft.com/office/drawing/2014/main" id="{2841FA2C-9FE1-4BEB-877F-FD81BDCE24F0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6" name="TextBox 7436">
          <a:extLst>
            <a:ext uri="{FF2B5EF4-FFF2-40B4-BE49-F238E27FC236}">
              <a16:creationId xmlns:a16="http://schemas.microsoft.com/office/drawing/2014/main" id="{5AA3A975-2A1D-40ED-8BCF-59139DB560B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7" name="TextBox 7437">
          <a:extLst>
            <a:ext uri="{FF2B5EF4-FFF2-40B4-BE49-F238E27FC236}">
              <a16:creationId xmlns:a16="http://schemas.microsoft.com/office/drawing/2014/main" id="{B88B305C-1971-4441-8762-6A1E75981A4E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8" name="TextBox 7438">
          <a:extLst>
            <a:ext uri="{FF2B5EF4-FFF2-40B4-BE49-F238E27FC236}">
              <a16:creationId xmlns:a16="http://schemas.microsoft.com/office/drawing/2014/main" id="{A2A13E91-893A-4EEC-B402-457DCE4199A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39" name="TextBox 7439">
          <a:extLst>
            <a:ext uri="{FF2B5EF4-FFF2-40B4-BE49-F238E27FC236}">
              <a16:creationId xmlns:a16="http://schemas.microsoft.com/office/drawing/2014/main" id="{2237B0A6-012B-41D1-A5F0-4A2A0F3B90FD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0" name="TextBox 7440">
          <a:extLst>
            <a:ext uri="{FF2B5EF4-FFF2-40B4-BE49-F238E27FC236}">
              <a16:creationId xmlns:a16="http://schemas.microsoft.com/office/drawing/2014/main" id="{E60F509D-8FC3-41D3-B076-CB81501D7C9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1" name="TextBox 7441">
          <a:extLst>
            <a:ext uri="{FF2B5EF4-FFF2-40B4-BE49-F238E27FC236}">
              <a16:creationId xmlns:a16="http://schemas.microsoft.com/office/drawing/2014/main" id="{6D7315DA-D26E-430D-8DE2-CC66987F9C5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2" name="TextBox 7442">
          <a:extLst>
            <a:ext uri="{FF2B5EF4-FFF2-40B4-BE49-F238E27FC236}">
              <a16:creationId xmlns:a16="http://schemas.microsoft.com/office/drawing/2014/main" id="{517987D5-4000-4F09-906C-FD0E1D136D45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3" name="TextBox 7443">
          <a:extLst>
            <a:ext uri="{FF2B5EF4-FFF2-40B4-BE49-F238E27FC236}">
              <a16:creationId xmlns:a16="http://schemas.microsoft.com/office/drawing/2014/main" id="{D572E7D7-069D-4909-857C-3CACB5B863C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4" name="TextBox 7444">
          <a:extLst>
            <a:ext uri="{FF2B5EF4-FFF2-40B4-BE49-F238E27FC236}">
              <a16:creationId xmlns:a16="http://schemas.microsoft.com/office/drawing/2014/main" id="{C2203B3A-A99B-4428-8207-1E552BD6DF2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5" name="TextBox 7445">
          <a:extLst>
            <a:ext uri="{FF2B5EF4-FFF2-40B4-BE49-F238E27FC236}">
              <a16:creationId xmlns:a16="http://schemas.microsoft.com/office/drawing/2014/main" id="{98889250-E8BF-4185-A914-2FB748C452D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6" name="TextBox 13">
          <a:extLst>
            <a:ext uri="{FF2B5EF4-FFF2-40B4-BE49-F238E27FC236}">
              <a16:creationId xmlns:a16="http://schemas.microsoft.com/office/drawing/2014/main" id="{42DEF3D6-7841-4E35-8B17-1DC9D3FFD16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7" name="TextBox 14">
          <a:extLst>
            <a:ext uri="{FF2B5EF4-FFF2-40B4-BE49-F238E27FC236}">
              <a16:creationId xmlns:a16="http://schemas.microsoft.com/office/drawing/2014/main" id="{446FA71F-C16B-4E70-836D-5B836C0ECE6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8" name="TextBox 7448">
          <a:extLst>
            <a:ext uri="{FF2B5EF4-FFF2-40B4-BE49-F238E27FC236}">
              <a16:creationId xmlns:a16="http://schemas.microsoft.com/office/drawing/2014/main" id="{2463579C-7A79-4F02-B693-ED0CA18F346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49" name="TextBox 7449">
          <a:extLst>
            <a:ext uri="{FF2B5EF4-FFF2-40B4-BE49-F238E27FC236}">
              <a16:creationId xmlns:a16="http://schemas.microsoft.com/office/drawing/2014/main" id="{BE4DD7C0-4FA1-4562-803E-BEAFD397E30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0" name="TextBox 7450">
          <a:extLst>
            <a:ext uri="{FF2B5EF4-FFF2-40B4-BE49-F238E27FC236}">
              <a16:creationId xmlns:a16="http://schemas.microsoft.com/office/drawing/2014/main" id="{D215B051-5DF2-46BB-B8A1-3773BE5E82D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1" name="TextBox 7451">
          <a:extLst>
            <a:ext uri="{FF2B5EF4-FFF2-40B4-BE49-F238E27FC236}">
              <a16:creationId xmlns:a16="http://schemas.microsoft.com/office/drawing/2014/main" id="{4352A93E-9513-4468-94F3-9207CC4C53B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2" name="TextBox 15">
          <a:extLst>
            <a:ext uri="{FF2B5EF4-FFF2-40B4-BE49-F238E27FC236}">
              <a16:creationId xmlns:a16="http://schemas.microsoft.com/office/drawing/2014/main" id="{5E93FB48-CD05-403B-A52E-29CE1067959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3" name="TextBox 16">
          <a:extLst>
            <a:ext uri="{FF2B5EF4-FFF2-40B4-BE49-F238E27FC236}">
              <a16:creationId xmlns:a16="http://schemas.microsoft.com/office/drawing/2014/main" id="{7A985A29-5E88-4BD8-B187-A5EF29D1F43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4" name="TextBox 17">
          <a:extLst>
            <a:ext uri="{FF2B5EF4-FFF2-40B4-BE49-F238E27FC236}">
              <a16:creationId xmlns:a16="http://schemas.microsoft.com/office/drawing/2014/main" id="{814B2C66-98C6-40C5-87E4-67F1AC901E5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5" name="TextBox 18">
          <a:extLst>
            <a:ext uri="{FF2B5EF4-FFF2-40B4-BE49-F238E27FC236}">
              <a16:creationId xmlns:a16="http://schemas.microsoft.com/office/drawing/2014/main" id="{59B5108B-8163-4466-91CE-42660769334F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6" name="TextBox 7456">
          <a:extLst>
            <a:ext uri="{FF2B5EF4-FFF2-40B4-BE49-F238E27FC236}">
              <a16:creationId xmlns:a16="http://schemas.microsoft.com/office/drawing/2014/main" id="{06FFB3FB-3634-46B9-81A0-CFAA6AC46A4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7" name="TextBox 7457">
          <a:extLst>
            <a:ext uri="{FF2B5EF4-FFF2-40B4-BE49-F238E27FC236}">
              <a16:creationId xmlns:a16="http://schemas.microsoft.com/office/drawing/2014/main" id="{F9027C00-9B82-4569-9F98-63A9F14DD39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8" name="TextBox 1">
          <a:extLst>
            <a:ext uri="{FF2B5EF4-FFF2-40B4-BE49-F238E27FC236}">
              <a16:creationId xmlns:a16="http://schemas.microsoft.com/office/drawing/2014/main" id="{3109D0DE-63CC-427B-BDC3-941EE8C6D15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59" name="TextBox 3">
          <a:extLst>
            <a:ext uri="{FF2B5EF4-FFF2-40B4-BE49-F238E27FC236}">
              <a16:creationId xmlns:a16="http://schemas.microsoft.com/office/drawing/2014/main" id="{FAADF9C6-C47F-47BF-A310-78F12A61927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0" name="TextBox 7460">
          <a:extLst>
            <a:ext uri="{FF2B5EF4-FFF2-40B4-BE49-F238E27FC236}">
              <a16:creationId xmlns:a16="http://schemas.microsoft.com/office/drawing/2014/main" id="{66441E29-CBAA-4265-8542-3D0DEF04DFD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1" name="TextBox 7461">
          <a:extLst>
            <a:ext uri="{FF2B5EF4-FFF2-40B4-BE49-F238E27FC236}">
              <a16:creationId xmlns:a16="http://schemas.microsoft.com/office/drawing/2014/main" id="{19F2154A-3220-4B31-92D3-6C3884F4BB7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2" name="TextBox 7462">
          <a:extLst>
            <a:ext uri="{FF2B5EF4-FFF2-40B4-BE49-F238E27FC236}">
              <a16:creationId xmlns:a16="http://schemas.microsoft.com/office/drawing/2014/main" id="{E31767DD-1439-4448-B649-DD99B35B502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3" name="TextBox 7463">
          <a:extLst>
            <a:ext uri="{FF2B5EF4-FFF2-40B4-BE49-F238E27FC236}">
              <a16:creationId xmlns:a16="http://schemas.microsoft.com/office/drawing/2014/main" id="{9482A8E4-9608-4E2A-BED7-AD4329E30FA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4" name="TextBox 7464">
          <a:extLst>
            <a:ext uri="{FF2B5EF4-FFF2-40B4-BE49-F238E27FC236}">
              <a16:creationId xmlns:a16="http://schemas.microsoft.com/office/drawing/2014/main" id="{60EEB593-54F9-4832-911D-42389364DE8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5" name="TextBox 7465">
          <a:extLst>
            <a:ext uri="{FF2B5EF4-FFF2-40B4-BE49-F238E27FC236}">
              <a16:creationId xmlns:a16="http://schemas.microsoft.com/office/drawing/2014/main" id="{51F6742C-295E-4FBF-9128-2DF804A4CA5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6" name="TextBox 7466">
          <a:extLst>
            <a:ext uri="{FF2B5EF4-FFF2-40B4-BE49-F238E27FC236}">
              <a16:creationId xmlns:a16="http://schemas.microsoft.com/office/drawing/2014/main" id="{D963CCB9-262D-4775-8357-7BA650A65A7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7" name="TextBox 7467">
          <a:extLst>
            <a:ext uri="{FF2B5EF4-FFF2-40B4-BE49-F238E27FC236}">
              <a16:creationId xmlns:a16="http://schemas.microsoft.com/office/drawing/2014/main" id="{227F082E-D5D4-46C9-AEC3-AF0B2057AEB3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8" name="TextBox 7468">
          <a:extLst>
            <a:ext uri="{FF2B5EF4-FFF2-40B4-BE49-F238E27FC236}">
              <a16:creationId xmlns:a16="http://schemas.microsoft.com/office/drawing/2014/main" id="{01F1AD09-251F-472C-9EE0-4C58510E719C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69" name="TextBox 7469">
          <a:extLst>
            <a:ext uri="{FF2B5EF4-FFF2-40B4-BE49-F238E27FC236}">
              <a16:creationId xmlns:a16="http://schemas.microsoft.com/office/drawing/2014/main" id="{4193CC6B-F311-4EB0-985F-F7CB01F7199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0" name="TextBox 13">
          <a:extLst>
            <a:ext uri="{FF2B5EF4-FFF2-40B4-BE49-F238E27FC236}">
              <a16:creationId xmlns:a16="http://schemas.microsoft.com/office/drawing/2014/main" id="{DB74F72A-876B-4007-82DE-F046A2EA722D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1" name="TextBox 14">
          <a:extLst>
            <a:ext uri="{FF2B5EF4-FFF2-40B4-BE49-F238E27FC236}">
              <a16:creationId xmlns:a16="http://schemas.microsoft.com/office/drawing/2014/main" id="{EC08B1D4-AD69-4911-BA96-5E985E5967E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2" name="TextBox 7472">
          <a:extLst>
            <a:ext uri="{FF2B5EF4-FFF2-40B4-BE49-F238E27FC236}">
              <a16:creationId xmlns:a16="http://schemas.microsoft.com/office/drawing/2014/main" id="{FA7FADA5-3810-4AC3-9BDA-979C55B75B62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3" name="TextBox 7473">
          <a:extLst>
            <a:ext uri="{FF2B5EF4-FFF2-40B4-BE49-F238E27FC236}">
              <a16:creationId xmlns:a16="http://schemas.microsoft.com/office/drawing/2014/main" id="{B25558AF-9B94-4F29-9670-1D466768CF18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4" name="TextBox 7474">
          <a:extLst>
            <a:ext uri="{FF2B5EF4-FFF2-40B4-BE49-F238E27FC236}">
              <a16:creationId xmlns:a16="http://schemas.microsoft.com/office/drawing/2014/main" id="{A337C500-2780-47DC-AC1A-1C05C5A17BBA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5" name="TextBox 7475">
          <a:extLst>
            <a:ext uri="{FF2B5EF4-FFF2-40B4-BE49-F238E27FC236}">
              <a16:creationId xmlns:a16="http://schemas.microsoft.com/office/drawing/2014/main" id="{1A1CEA7D-D1AC-4325-88B0-E984CB7725D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6" name="TextBox 15">
          <a:extLst>
            <a:ext uri="{FF2B5EF4-FFF2-40B4-BE49-F238E27FC236}">
              <a16:creationId xmlns:a16="http://schemas.microsoft.com/office/drawing/2014/main" id="{8F54F9C1-4F40-4802-820D-B41B94FF146E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7" name="TextBox 16">
          <a:extLst>
            <a:ext uri="{FF2B5EF4-FFF2-40B4-BE49-F238E27FC236}">
              <a16:creationId xmlns:a16="http://schemas.microsoft.com/office/drawing/2014/main" id="{901C9B54-510C-4349-AA91-82D32E2CCD13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8" name="TextBox 17">
          <a:extLst>
            <a:ext uri="{FF2B5EF4-FFF2-40B4-BE49-F238E27FC236}">
              <a16:creationId xmlns:a16="http://schemas.microsoft.com/office/drawing/2014/main" id="{FAF63280-00A1-47EC-804A-53FB77C74884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79" name="TextBox 18">
          <a:extLst>
            <a:ext uri="{FF2B5EF4-FFF2-40B4-BE49-F238E27FC236}">
              <a16:creationId xmlns:a16="http://schemas.microsoft.com/office/drawing/2014/main" id="{184F4298-B629-44C5-8F5B-13BA71E7ECCC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0" name="TextBox 7480">
          <a:extLst>
            <a:ext uri="{FF2B5EF4-FFF2-40B4-BE49-F238E27FC236}">
              <a16:creationId xmlns:a16="http://schemas.microsoft.com/office/drawing/2014/main" id="{A44AFA46-8366-493F-B65A-07E904B98A12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1" name="TextBox 7481">
          <a:extLst>
            <a:ext uri="{FF2B5EF4-FFF2-40B4-BE49-F238E27FC236}">
              <a16:creationId xmlns:a16="http://schemas.microsoft.com/office/drawing/2014/main" id="{31F5B78A-113B-4279-948B-9B5D786434EA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2" name="TextBox 1">
          <a:extLst>
            <a:ext uri="{FF2B5EF4-FFF2-40B4-BE49-F238E27FC236}">
              <a16:creationId xmlns:a16="http://schemas.microsoft.com/office/drawing/2014/main" id="{F0E656CA-70D7-47AA-A602-4BD21FBD4A1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3" name="TextBox 3">
          <a:extLst>
            <a:ext uri="{FF2B5EF4-FFF2-40B4-BE49-F238E27FC236}">
              <a16:creationId xmlns:a16="http://schemas.microsoft.com/office/drawing/2014/main" id="{10D8B41B-FE41-488D-A575-2A6792081112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4" name="TextBox 7484">
          <a:extLst>
            <a:ext uri="{FF2B5EF4-FFF2-40B4-BE49-F238E27FC236}">
              <a16:creationId xmlns:a16="http://schemas.microsoft.com/office/drawing/2014/main" id="{2AE3066F-A038-4801-84C6-FF528ED38A3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5" name="TextBox 7485">
          <a:extLst>
            <a:ext uri="{FF2B5EF4-FFF2-40B4-BE49-F238E27FC236}">
              <a16:creationId xmlns:a16="http://schemas.microsoft.com/office/drawing/2014/main" id="{A1200F61-A214-4FB6-AC25-AA6EE383A8C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6" name="TextBox 7486">
          <a:extLst>
            <a:ext uri="{FF2B5EF4-FFF2-40B4-BE49-F238E27FC236}">
              <a16:creationId xmlns:a16="http://schemas.microsoft.com/office/drawing/2014/main" id="{B0B577F5-FC8C-4250-BEBE-0CEB505A31EE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7" name="TextBox 7487">
          <a:extLst>
            <a:ext uri="{FF2B5EF4-FFF2-40B4-BE49-F238E27FC236}">
              <a16:creationId xmlns:a16="http://schemas.microsoft.com/office/drawing/2014/main" id="{43771E2D-AAC1-4880-99D3-E367988EB62C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8" name="TextBox 7488">
          <a:extLst>
            <a:ext uri="{FF2B5EF4-FFF2-40B4-BE49-F238E27FC236}">
              <a16:creationId xmlns:a16="http://schemas.microsoft.com/office/drawing/2014/main" id="{89DED0DF-0B7B-4314-8886-B6C39F890C6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89" name="TextBox 7489">
          <a:extLst>
            <a:ext uri="{FF2B5EF4-FFF2-40B4-BE49-F238E27FC236}">
              <a16:creationId xmlns:a16="http://schemas.microsoft.com/office/drawing/2014/main" id="{8049CBD4-57EA-4B99-904D-C3310AB9AD4B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0" name="TextBox 7490">
          <a:extLst>
            <a:ext uri="{FF2B5EF4-FFF2-40B4-BE49-F238E27FC236}">
              <a16:creationId xmlns:a16="http://schemas.microsoft.com/office/drawing/2014/main" id="{2A1A6B04-4AF2-499F-9678-18DFFADA8D7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1" name="TextBox 7491">
          <a:extLst>
            <a:ext uri="{FF2B5EF4-FFF2-40B4-BE49-F238E27FC236}">
              <a16:creationId xmlns:a16="http://schemas.microsoft.com/office/drawing/2014/main" id="{913D15EA-207C-4251-886F-946F70EE9209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2" name="TextBox 7492">
          <a:extLst>
            <a:ext uri="{FF2B5EF4-FFF2-40B4-BE49-F238E27FC236}">
              <a16:creationId xmlns:a16="http://schemas.microsoft.com/office/drawing/2014/main" id="{518F85F6-D474-4C6A-A746-340F7898C924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3" name="TextBox 7493">
          <a:extLst>
            <a:ext uri="{FF2B5EF4-FFF2-40B4-BE49-F238E27FC236}">
              <a16:creationId xmlns:a16="http://schemas.microsoft.com/office/drawing/2014/main" id="{39E83A77-645A-4241-BA08-1857EB3271E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4" name="TextBox 13">
          <a:extLst>
            <a:ext uri="{FF2B5EF4-FFF2-40B4-BE49-F238E27FC236}">
              <a16:creationId xmlns:a16="http://schemas.microsoft.com/office/drawing/2014/main" id="{6F2D7431-BD9A-4525-8798-B1912914F173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5" name="TextBox 14">
          <a:extLst>
            <a:ext uri="{FF2B5EF4-FFF2-40B4-BE49-F238E27FC236}">
              <a16:creationId xmlns:a16="http://schemas.microsoft.com/office/drawing/2014/main" id="{3DDDD21D-4CD8-41C8-8E1E-A94B6E1227A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6" name="TextBox 7496">
          <a:extLst>
            <a:ext uri="{FF2B5EF4-FFF2-40B4-BE49-F238E27FC236}">
              <a16:creationId xmlns:a16="http://schemas.microsoft.com/office/drawing/2014/main" id="{48BC177F-0B92-4002-A10A-29D894FBDDD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7" name="TextBox 7497">
          <a:extLst>
            <a:ext uri="{FF2B5EF4-FFF2-40B4-BE49-F238E27FC236}">
              <a16:creationId xmlns:a16="http://schemas.microsoft.com/office/drawing/2014/main" id="{75F8700B-9FE6-4D8C-BA40-6F943ADDC7A5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8" name="TextBox 7498">
          <a:extLst>
            <a:ext uri="{FF2B5EF4-FFF2-40B4-BE49-F238E27FC236}">
              <a16:creationId xmlns:a16="http://schemas.microsoft.com/office/drawing/2014/main" id="{DF9BAD00-23B8-41E1-A9CE-CBE3AEDF029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099" name="TextBox 7499">
          <a:extLst>
            <a:ext uri="{FF2B5EF4-FFF2-40B4-BE49-F238E27FC236}">
              <a16:creationId xmlns:a16="http://schemas.microsoft.com/office/drawing/2014/main" id="{BECDDBC0-E1D0-4987-8B26-8DD0F5C5577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0" name="TextBox 15">
          <a:extLst>
            <a:ext uri="{FF2B5EF4-FFF2-40B4-BE49-F238E27FC236}">
              <a16:creationId xmlns:a16="http://schemas.microsoft.com/office/drawing/2014/main" id="{0872438A-48C5-4478-9CEC-ED8EC3C57EB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1" name="TextBox 16">
          <a:extLst>
            <a:ext uri="{FF2B5EF4-FFF2-40B4-BE49-F238E27FC236}">
              <a16:creationId xmlns:a16="http://schemas.microsoft.com/office/drawing/2014/main" id="{B4D682CE-046E-4F13-84A5-85DB69B747B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2" name="TextBox 17">
          <a:extLst>
            <a:ext uri="{FF2B5EF4-FFF2-40B4-BE49-F238E27FC236}">
              <a16:creationId xmlns:a16="http://schemas.microsoft.com/office/drawing/2014/main" id="{57D5BF21-B837-475E-98F8-04E7F75FAC99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3" name="TextBox 18">
          <a:extLst>
            <a:ext uri="{FF2B5EF4-FFF2-40B4-BE49-F238E27FC236}">
              <a16:creationId xmlns:a16="http://schemas.microsoft.com/office/drawing/2014/main" id="{22969348-5B86-44C0-AA32-7A07B191978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4" name="TextBox 7504">
          <a:extLst>
            <a:ext uri="{FF2B5EF4-FFF2-40B4-BE49-F238E27FC236}">
              <a16:creationId xmlns:a16="http://schemas.microsoft.com/office/drawing/2014/main" id="{9420F887-DC87-44EE-AF09-C2FD35BEC67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5" name="TextBox 7505">
          <a:extLst>
            <a:ext uri="{FF2B5EF4-FFF2-40B4-BE49-F238E27FC236}">
              <a16:creationId xmlns:a16="http://schemas.microsoft.com/office/drawing/2014/main" id="{D9E54892-88CA-411C-B0EA-8E98CA009E1C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6" name="TextBox 1">
          <a:extLst>
            <a:ext uri="{FF2B5EF4-FFF2-40B4-BE49-F238E27FC236}">
              <a16:creationId xmlns:a16="http://schemas.microsoft.com/office/drawing/2014/main" id="{0AD8CB9B-5BF7-46B3-B8E0-74CA38C00917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7" name="TextBox 3">
          <a:extLst>
            <a:ext uri="{FF2B5EF4-FFF2-40B4-BE49-F238E27FC236}">
              <a16:creationId xmlns:a16="http://schemas.microsoft.com/office/drawing/2014/main" id="{8E77EC8B-06F7-43D0-A7C0-82A19F53030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8" name="TextBox 7508">
          <a:extLst>
            <a:ext uri="{FF2B5EF4-FFF2-40B4-BE49-F238E27FC236}">
              <a16:creationId xmlns:a16="http://schemas.microsoft.com/office/drawing/2014/main" id="{6D62D94C-E8F6-4B5C-95E0-577E8F74B7B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09" name="TextBox 7509">
          <a:extLst>
            <a:ext uri="{FF2B5EF4-FFF2-40B4-BE49-F238E27FC236}">
              <a16:creationId xmlns:a16="http://schemas.microsoft.com/office/drawing/2014/main" id="{EEF1F716-B8AA-4712-85E7-B5DE349A319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0" name="TextBox 7510">
          <a:extLst>
            <a:ext uri="{FF2B5EF4-FFF2-40B4-BE49-F238E27FC236}">
              <a16:creationId xmlns:a16="http://schemas.microsoft.com/office/drawing/2014/main" id="{10BB23A6-5524-4AA3-B193-2DDE4883EFC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1" name="TextBox 7511">
          <a:extLst>
            <a:ext uri="{FF2B5EF4-FFF2-40B4-BE49-F238E27FC236}">
              <a16:creationId xmlns:a16="http://schemas.microsoft.com/office/drawing/2014/main" id="{7631358F-0A61-44D8-89ED-06799ECFA3E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2" name="TextBox 7512">
          <a:extLst>
            <a:ext uri="{FF2B5EF4-FFF2-40B4-BE49-F238E27FC236}">
              <a16:creationId xmlns:a16="http://schemas.microsoft.com/office/drawing/2014/main" id="{818C97C2-CCBB-4251-8527-CBCD2F8D3FE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3" name="TextBox 7513">
          <a:extLst>
            <a:ext uri="{FF2B5EF4-FFF2-40B4-BE49-F238E27FC236}">
              <a16:creationId xmlns:a16="http://schemas.microsoft.com/office/drawing/2014/main" id="{77337832-0B10-445F-8994-52DA7A9223E1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4" name="TextBox 7514">
          <a:extLst>
            <a:ext uri="{FF2B5EF4-FFF2-40B4-BE49-F238E27FC236}">
              <a16:creationId xmlns:a16="http://schemas.microsoft.com/office/drawing/2014/main" id="{3DBDB8B2-3B74-4810-A5F6-C9E02E8611C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5" name="TextBox 7515">
          <a:extLst>
            <a:ext uri="{FF2B5EF4-FFF2-40B4-BE49-F238E27FC236}">
              <a16:creationId xmlns:a16="http://schemas.microsoft.com/office/drawing/2014/main" id="{A679DE7A-EC39-412E-8B2F-48BF37205EB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6" name="TextBox 7516">
          <a:extLst>
            <a:ext uri="{FF2B5EF4-FFF2-40B4-BE49-F238E27FC236}">
              <a16:creationId xmlns:a16="http://schemas.microsoft.com/office/drawing/2014/main" id="{60AC1694-9ED0-4157-B3C6-072126AEAE8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7" name="TextBox 7517">
          <a:extLst>
            <a:ext uri="{FF2B5EF4-FFF2-40B4-BE49-F238E27FC236}">
              <a16:creationId xmlns:a16="http://schemas.microsoft.com/office/drawing/2014/main" id="{B14E6AA6-3B22-440B-A923-0B5B8CBF331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8" name="TextBox 13">
          <a:extLst>
            <a:ext uri="{FF2B5EF4-FFF2-40B4-BE49-F238E27FC236}">
              <a16:creationId xmlns:a16="http://schemas.microsoft.com/office/drawing/2014/main" id="{247C382E-91A8-4448-850D-535213A0E28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19" name="TextBox 14">
          <a:extLst>
            <a:ext uri="{FF2B5EF4-FFF2-40B4-BE49-F238E27FC236}">
              <a16:creationId xmlns:a16="http://schemas.microsoft.com/office/drawing/2014/main" id="{067D1E29-DE5C-46B8-BEE0-728C0B919279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0" name="TextBox 2">
          <a:extLst>
            <a:ext uri="{FF2B5EF4-FFF2-40B4-BE49-F238E27FC236}">
              <a16:creationId xmlns:a16="http://schemas.microsoft.com/office/drawing/2014/main" id="{A5FBA703-D289-4CF1-BB16-43DD0FA2CB4A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1" name="TextBox 4">
          <a:extLst>
            <a:ext uri="{FF2B5EF4-FFF2-40B4-BE49-F238E27FC236}">
              <a16:creationId xmlns:a16="http://schemas.microsoft.com/office/drawing/2014/main" id="{3030740C-15C2-4C22-94FF-3BF81CB42831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2" name="TextBox 5">
          <a:extLst>
            <a:ext uri="{FF2B5EF4-FFF2-40B4-BE49-F238E27FC236}">
              <a16:creationId xmlns:a16="http://schemas.microsoft.com/office/drawing/2014/main" id="{869E30AA-198C-4627-9419-A4A83924C59C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3" name="TextBox 6">
          <a:extLst>
            <a:ext uri="{FF2B5EF4-FFF2-40B4-BE49-F238E27FC236}">
              <a16:creationId xmlns:a16="http://schemas.microsoft.com/office/drawing/2014/main" id="{AB9F1132-96DA-40C9-B431-9938381666ED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4" name="TextBox 7">
          <a:extLst>
            <a:ext uri="{FF2B5EF4-FFF2-40B4-BE49-F238E27FC236}">
              <a16:creationId xmlns:a16="http://schemas.microsoft.com/office/drawing/2014/main" id="{7B0B25E7-C664-4561-87A0-DEC106DB6106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5" name="TextBox 8">
          <a:extLst>
            <a:ext uri="{FF2B5EF4-FFF2-40B4-BE49-F238E27FC236}">
              <a16:creationId xmlns:a16="http://schemas.microsoft.com/office/drawing/2014/main" id="{BE525330-F298-48F2-8A50-B7D82753E349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6" name="TextBox 2">
          <a:extLst>
            <a:ext uri="{FF2B5EF4-FFF2-40B4-BE49-F238E27FC236}">
              <a16:creationId xmlns:a16="http://schemas.microsoft.com/office/drawing/2014/main" id="{B677A8B8-D6D3-40EC-A92C-0BF480BCB05B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7" name="TextBox 4">
          <a:extLst>
            <a:ext uri="{FF2B5EF4-FFF2-40B4-BE49-F238E27FC236}">
              <a16:creationId xmlns:a16="http://schemas.microsoft.com/office/drawing/2014/main" id="{AFCF8861-9D67-4AAD-8D84-0AEA35274CD8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8" name="TextBox 5">
          <a:extLst>
            <a:ext uri="{FF2B5EF4-FFF2-40B4-BE49-F238E27FC236}">
              <a16:creationId xmlns:a16="http://schemas.microsoft.com/office/drawing/2014/main" id="{7E89F4E6-2446-433C-AC85-676D2DD455BC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29" name="TextBox 6">
          <a:extLst>
            <a:ext uri="{FF2B5EF4-FFF2-40B4-BE49-F238E27FC236}">
              <a16:creationId xmlns:a16="http://schemas.microsoft.com/office/drawing/2014/main" id="{E2173A13-71A2-40D7-A3E4-2FE08B12977F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0" name="TextBox 7">
          <a:extLst>
            <a:ext uri="{FF2B5EF4-FFF2-40B4-BE49-F238E27FC236}">
              <a16:creationId xmlns:a16="http://schemas.microsoft.com/office/drawing/2014/main" id="{0A8EBCAA-54CD-4099-BADF-E1F374C190AD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1" name="TextBox 8">
          <a:extLst>
            <a:ext uri="{FF2B5EF4-FFF2-40B4-BE49-F238E27FC236}">
              <a16:creationId xmlns:a16="http://schemas.microsoft.com/office/drawing/2014/main" id="{DB6C123D-B22B-4C98-A9AE-FCB2054304BB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2" name="TextBox 2">
          <a:extLst>
            <a:ext uri="{FF2B5EF4-FFF2-40B4-BE49-F238E27FC236}">
              <a16:creationId xmlns:a16="http://schemas.microsoft.com/office/drawing/2014/main" id="{D51509D1-DC9B-4DD9-BAD3-4E96E9F453F2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3" name="TextBox 4">
          <a:extLst>
            <a:ext uri="{FF2B5EF4-FFF2-40B4-BE49-F238E27FC236}">
              <a16:creationId xmlns:a16="http://schemas.microsoft.com/office/drawing/2014/main" id="{83772F01-2FEA-4E8E-8807-D47A89B9EE3E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4" name="TextBox 5">
          <a:extLst>
            <a:ext uri="{FF2B5EF4-FFF2-40B4-BE49-F238E27FC236}">
              <a16:creationId xmlns:a16="http://schemas.microsoft.com/office/drawing/2014/main" id="{FDE6038E-E714-4B5A-82EC-F177F820CA57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5" name="TextBox 6">
          <a:extLst>
            <a:ext uri="{FF2B5EF4-FFF2-40B4-BE49-F238E27FC236}">
              <a16:creationId xmlns:a16="http://schemas.microsoft.com/office/drawing/2014/main" id="{718EDAE0-B5F5-4FF8-B4F3-47378EA73D0B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6" name="TextBox 7">
          <a:extLst>
            <a:ext uri="{FF2B5EF4-FFF2-40B4-BE49-F238E27FC236}">
              <a16:creationId xmlns:a16="http://schemas.microsoft.com/office/drawing/2014/main" id="{761BD349-B0F1-4F75-AF62-5B9511C30354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7" name="TextBox 8">
          <a:extLst>
            <a:ext uri="{FF2B5EF4-FFF2-40B4-BE49-F238E27FC236}">
              <a16:creationId xmlns:a16="http://schemas.microsoft.com/office/drawing/2014/main" id="{BAAE0305-89F4-44DF-A043-5839E6691CB2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8" name="TextBox 2">
          <a:extLst>
            <a:ext uri="{FF2B5EF4-FFF2-40B4-BE49-F238E27FC236}">
              <a16:creationId xmlns:a16="http://schemas.microsoft.com/office/drawing/2014/main" id="{7413FC7F-0456-4D8D-8DE9-E2A95A645936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39" name="TextBox 4">
          <a:extLst>
            <a:ext uri="{FF2B5EF4-FFF2-40B4-BE49-F238E27FC236}">
              <a16:creationId xmlns:a16="http://schemas.microsoft.com/office/drawing/2014/main" id="{BFD06313-B8F1-43FE-AECE-951225E82E78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0" name="TextBox 5">
          <a:extLst>
            <a:ext uri="{FF2B5EF4-FFF2-40B4-BE49-F238E27FC236}">
              <a16:creationId xmlns:a16="http://schemas.microsoft.com/office/drawing/2014/main" id="{8BA368D7-1C5E-436A-B7D5-CB293D6E7D9C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1" name="TextBox 6">
          <a:extLst>
            <a:ext uri="{FF2B5EF4-FFF2-40B4-BE49-F238E27FC236}">
              <a16:creationId xmlns:a16="http://schemas.microsoft.com/office/drawing/2014/main" id="{F279B2D9-DC06-4B0C-8E8D-3C6C270F1425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2" name="TextBox 7">
          <a:extLst>
            <a:ext uri="{FF2B5EF4-FFF2-40B4-BE49-F238E27FC236}">
              <a16:creationId xmlns:a16="http://schemas.microsoft.com/office/drawing/2014/main" id="{69473C35-F147-4A76-B514-05E58344E9B9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3" name="TextBox 8">
          <a:extLst>
            <a:ext uri="{FF2B5EF4-FFF2-40B4-BE49-F238E27FC236}">
              <a16:creationId xmlns:a16="http://schemas.microsoft.com/office/drawing/2014/main" id="{6D7696A2-F655-4472-A5A0-C632E4B0E0DA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4" name="TextBox 2">
          <a:extLst>
            <a:ext uri="{FF2B5EF4-FFF2-40B4-BE49-F238E27FC236}">
              <a16:creationId xmlns:a16="http://schemas.microsoft.com/office/drawing/2014/main" id="{00011785-33D7-4420-BC68-CE18B8D13F76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5" name="TextBox 4">
          <a:extLst>
            <a:ext uri="{FF2B5EF4-FFF2-40B4-BE49-F238E27FC236}">
              <a16:creationId xmlns:a16="http://schemas.microsoft.com/office/drawing/2014/main" id="{A6D43AAA-E9CD-4E7B-8667-F5D1809EE1F6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6" name="TextBox 5">
          <a:extLst>
            <a:ext uri="{FF2B5EF4-FFF2-40B4-BE49-F238E27FC236}">
              <a16:creationId xmlns:a16="http://schemas.microsoft.com/office/drawing/2014/main" id="{D7747911-CBF8-4DD2-9F40-A00A0345B401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7" name="TextBox 6">
          <a:extLst>
            <a:ext uri="{FF2B5EF4-FFF2-40B4-BE49-F238E27FC236}">
              <a16:creationId xmlns:a16="http://schemas.microsoft.com/office/drawing/2014/main" id="{040C860E-0316-4608-B2E0-3182FF1FAED3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8" name="TextBox 7">
          <a:extLst>
            <a:ext uri="{FF2B5EF4-FFF2-40B4-BE49-F238E27FC236}">
              <a16:creationId xmlns:a16="http://schemas.microsoft.com/office/drawing/2014/main" id="{0511F817-5123-4248-83A1-30A42CD0908E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49" name="TextBox 8">
          <a:extLst>
            <a:ext uri="{FF2B5EF4-FFF2-40B4-BE49-F238E27FC236}">
              <a16:creationId xmlns:a16="http://schemas.microsoft.com/office/drawing/2014/main" id="{51F1E9AB-6C41-4795-8BDB-4C90616E811C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0" name="TextBox 2">
          <a:extLst>
            <a:ext uri="{FF2B5EF4-FFF2-40B4-BE49-F238E27FC236}">
              <a16:creationId xmlns:a16="http://schemas.microsoft.com/office/drawing/2014/main" id="{B879F0FE-8531-4679-B032-A6B610B4002F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1" name="TextBox 4">
          <a:extLst>
            <a:ext uri="{FF2B5EF4-FFF2-40B4-BE49-F238E27FC236}">
              <a16:creationId xmlns:a16="http://schemas.microsoft.com/office/drawing/2014/main" id="{6A14F118-1C42-4666-B38E-F1665552C36C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2" name="TextBox 5">
          <a:extLst>
            <a:ext uri="{FF2B5EF4-FFF2-40B4-BE49-F238E27FC236}">
              <a16:creationId xmlns:a16="http://schemas.microsoft.com/office/drawing/2014/main" id="{9C643825-A5D1-47C1-9894-630943131F9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3" name="TextBox 6">
          <a:extLst>
            <a:ext uri="{FF2B5EF4-FFF2-40B4-BE49-F238E27FC236}">
              <a16:creationId xmlns:a16="http://schemas.microsoft.com/office/drawing/2014/main" id="{8A363B8F-3C45-4818-81C1-63D7CB061B1C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4" name="TextBox 7">
          <a:extLst>
            <a:ext uri="{FF2B5EF4-FFF2-40B4-BE49-F238E27FC236}">
              <a16:creationId xmlns:a16="http://schemas.microsoft.com/office/drawing/2014/main" id="{458840DE-3266-4C20-84B9-B52A2B283FC5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5" name="TextBox 8">
          <a:extLst>
            <a:ext uri="{FF2B5EF4-FFF2-40B4-BE49-F238E27FC236}">
              <a16:creationId xmlns:a16="http://schemas.microsoft.com/office/drawing/2014/main" id="{CE5361B0-5D2F-4818-8684-EC5BD103C58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6" name="TextBox 2">
          <a:extLst>
            <a:ext uri="{FF2B5EF4-FFF2-40B4-BE49-F238E27FC236}">
              <a16:creationId xmlns:a16="http://schemas.microsoft.com/office/drawing/2014/main" id="{78E8DFEA-A802-4405-8C50-94749FBF83CE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7" name="TextBox 4">
          <a:extLst>
            <a:ext uri="{FF2B5EF4-FFF2-40B4-BE49-F238E27FC236}">
              <a16:creationId xmlns:a16="http://schemas.microsoft.com/office/drawing/2014/main" id="{A7455DA6-9E70-41B4-A446-14468066FE7E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8" name="TextBox 5">
          <a:extLst>
            <a:ext uri="{FF2B5EF4-FFF2-40B4-BE49-F238E27FC236}">
              <a16:creationId xmlns:a16="http://schemas.microsoft.com/office/drawing/2014/main" id="{D80B3D0B-6A71-4FEC-A5EE-3C0D851C7EDC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59" name="TextBox 6">
          <a:extLst>
            <a:ext uri="{FF2B5EF4-FFF2-40B4-BE49-F238E27FC236}">
              <a16:creationId xmlns:a16="http://schemas.microsoft.com/office/drawing/2014/main" id="{17A25FFC-CF97-493F-9F9A-5B2E26198D98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0" name="TextBox 7">
          <a:extLst>
            <a:ext uri="{FF2B5EF4-FFF2-40B4-BE49-F238E27FC236}">
              <a16:creationId xmlns:a16="http://schemas.microsoft.com/office/drawing/2014/main" id="{6D88CD23-C722-4426-922B-78CB7BD28651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1" name="TextBox 8">
          <a:extLst>
            <a:ext uri="{FF2B5EF4-FFF2-40B4-BE49-F238E27FC236}">
              <a16:creationId xmlns:a16="http://schemas.microsoft.com/office/drawing/2014/main" id="{7CED6C30-11B4-4064-8BC7-3E095F0AEADE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2" name="TextBox 2">
          <a:extLst>
            <a:ext uri="{FF2B5EF4-FFF2-40B4-BE49-F238E27FC236}">
              <a16:creationId xmlns:a16="http://schemas.microsoft.com/office/drawing/2014/main" id="{1B1C1C21-1FFB-4280-A76E-1D0918AB1E69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3" name="TextBox 4">
          <a:extLst>
            <a:ext uri="{FF2B5EF4-FFF2-40B4-BE49-F238E27FC236}">
              <a16:creationId xmlns:a16="http://schemas.microsoft.com/office/drawing/2014/main" id="{BEC7CCC5-01B9-40BE-85F9-6E69BE0C5856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4" name="TextBox 5">
          <a:extLst>
            <a:ext uri="{FF2B5EF4-FFF2-40B4-BE49-F238E27FC236}">
              <a16:creationId xmlns:a16="http://schemas.microsoft.com/office/drawing/2014/main" id="{B7FCE57B-1115-4507-BC5F-0C50DA11F65D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5" name="TextBox 6">
          <a:extLst>
            <a:ext uri="{FF2B5EF4-FFF2-40B4-BE49-F238E27FC236}">
              <a16:creationId xmlns:a16="http://schemas.microsoft.com/office/drawing/2014/main" id="{7BB9C952-9FF0-439A-942B-51C0B7DEA06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6" name="TextBox 7">
          <a:extLst>
            <a:ext uri="{FF2B5EF4-FFF2-40B4-BE49-F238E27FC236}">
              <a16:creationId xmlns:a16="http://schemas.microsoft.com/office/drawing/2014/main" id="{541F247A-556F-4F6A-B3ED-8930C59BECC9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7" name="TextBox 8">
          <a:extLst>
            <a:ext uri="{FF2B5EF4-FFF2-40B4-BE49-F238E27FC236}">
              <a16:creationId xmlns:a16="http://schemas.microsoft.com/office/drawing/2014/main" id="{3FF81436-B71F-4AA5-99F1-8F705A14708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8" name="TextBox 2">
          <a:extLst>
            <a:ext uri="{FF2B5EF4-FFF2-40B4-BE49-F238E27FC236}">
              <a16:creationId xmlns:a16="http://schemas.microsoft.com/office/drawing/2014/main" id="{391BBA00-E497-432D-869E-3FF4EEF0F8CF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69" name="TextBox 4">
          <a:extLst>
            <a:ext uri="{FF2B5EF4-FFF2-40B4-BE49-F238E27FC236}">
              <a16:creationId xmlns:a16="http://schemas.microsoft.com/office/drawing/2014/main" id="{BC1699EC-D8AC-4C31-BA82-32B21105CE99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0" name="TextBox 5">
          <a:extLst>
            <a:ext uri="{FF2B5EF4-FFF2-40B4-BE49-F238E27FC236}">
              <a16:creationId xmlns:a16="http://schemas.microsoft.com/office/drawing/2014/main" id="{5A10E97B-F98A-4E00-B580-5372D3010837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1" name="TextBox 6">
          <a:extLst>
            <a:ext uri="{FF2B5EF4-FFF2-40B4-BE49-F238E27FC236}">
              <a16:creationId xmlns:a16="http://schemas.microsoft.com/office/drawing/2014/main" id="{630E6A6E-2E9D-4C68-B630-6C6C763D54AE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2" name="TextBox 7">
          <a:extLst>
            <a:ext uri="{FF2B5EF4-FFF2-40B4-BE49-F238E27FC236}">
              <a16:creationId xmlns:a16="http://schemas.microsoft.com/office/drawing/2014/main" id="{D326FE8D-344A-41C0-B7EF-8BC3BD949A7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3" name="TextBox 8">
          <a:extLst>
            <a:ext uri="{FF2B5EF4-FFF2-40B4-BE49-F238E27FC236}">
              <a16:creationId xmlns:a16="http://schemas.microsoft.com/office/drawing/2014/main" id="{DBF82EF1-52D4-412B-9C84-8DB2F26AF43B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4" name="TextBox 2">
          <a:extLst>
            <a:ext uri="{FF2B5EF4-FFF2-40B4-BE49-F238E27FC236}">
              <a16:creationId xmlns:a16="http://schemas.microsoft.com/office/drawing/2014/main" id="{7BC2820E-630F-43E6-85AD-8489E084E45E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5" name="TextBox 4">
          <a:extLst>
            <a:ext uri="{FF2B5EF4-FFF2-40B4-BE49-F238E27FC236}">
              <a16:creationId xmlns:a16="http://schemas.microsoft.com/office/drawing/2014/main" id="{DA4D1208-5D17-4AC1-9A5A-EE4F6D273874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6" name="TextBox 5">
          <a:extLst>
            <a:ext uri="{FF2B5EF4-FFF2-40B4-BE49-F238E27FC236}">
              <a16:creationId xmlns:a16="http://schemas.microsoft.com/office/drawing/2014/main" id="{D0D6EDFD-B167-4E11-842E-03F3B51CD5A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7" name="TextBox 6">
          <a:extLst>
            <a:ext uri="{FF2B5EF4-FFF2-40B4-BE49-F238E27FC236}">
              <a16:creationId xmlns:a16="http://schemas.microsoft.com/office/drawing/2014/main" id="{9284BD70-1DFF-4B98-9A5E-8B947F957551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8" name="TextBox 7">
          <a:extLst>
            <a:ext uri="{FF2B5EF4-FFF2-40B4-BE49-F238E27FC236}">
              <a16:creationId xmlns:a16="http://schemas.microsoft.com/office/drawing/2014/main" id="{0ADEC980-1287-4CD6-BD78-8C68FB1432E6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79" name="TextBox 8">
          <a:extLst>
            <a:ext uri="{FF2B5EF4-FFF2-40B4-BE49-F238E27FC236}">
              <a16:creationId xmlns:a16="http://schemas.microsoft.com/office/drawing/2014/main" id="{7F7D438B-DFC6-4C28-AF1C-526ED201A15D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0" name="TextBox 2">
          <a:extLst>
            <a:ext uri="{FF2B5EF4-FFF2-40B4-BE49-F238E27FC236}">
              <a16:creationId xmlns:a16="http://schemas.microsoft.com/office/drawing/2014/main" id="{5BF38648-B91D-40B8-9EEF-5B10864E00E6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1" name="TextBox 4">
          <a:extLst>
            <a:ext uri="{FF2B5EF4-FFF2-40B4-BE49-F238E27FC236}">
              <a16:creationId xmlns:a16="http://schemas.microsoft.com/office/drawing/2014/main" id="{F3F1622B-8CF1-40AE-AFA3-3CF8667657C8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2" name="TextBox 5">
          <a:extLst>
            <a:ext uri="{FF2B5EF4-FFF2-40B4-BE49-F238E27FC236}">
              <a16:creationId xmlns:a16="http://schemas.microsoft.com/office/drawing/2014/main" id="{F5A53800-D0A2-4A68-87EE-6FD20C42CE95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3" name="TextBox 6">
          <a:extLst>
            <a:ext uri="{FF2B5EF4-FFF2-40B4-BE49-F238E27FC236}">
              <a16:creationId xmlns:a16="http://schemas.microsoft.com/office/drawing/2014/main" id="{78F5BC1D-8C63-4494-8A20-293C968041D4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4" name="TextBox 7">
          <a:extLst>
            <a:ext uri="{FF2B5EF4-FFF2-40B4-BE49-F238E27FC236}">
              <a16:creationId xmlns:a16="http://schemas.microsoft.com/office/drawing/2014/main" id="{8E6A67E9-2C21-4B98-A394-17D80E949E44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5" name="TextBox 8">
          <a:extLst>
            <a:ext uri="{FF2B5EF4-FFF2-40B4-BE49-F238E27FC236}">
              <a16:creationId xmlns:a16="http://schemas.microsoft.com/office/drawing/2014/main" id="{6B182D8C-31E1-47D6-90D1-665FBFC0CB24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6" name="TextBox 2">
          <a:extLst>
            <a:ext uri="{FF2B5EF4-FFF2-40B4-BE49-F238E27FC236}">
              <a16:creationId xmlns:a16="http://schemas.microsoft.com/office/drawing/2014/main" id="{E965BB55-E3BD-46BB-A998-FF9094A8453D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7" name="TextBox 4">
          <a:extLst>
            <a:ext uri="{FF2B5EF4-FFF2-40B4-BE49-F238E27FC236}">
              <a16:creationId xmlns:a16="http://schemas.microsoft.com/office/drawing/2014/main" id="{1771DD0F-0404-4658-8E1A-7F28087F0123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8" name="TextBox 5">
          <a:extLst>
            <a:ext uri="{FF2B5EF4-FFF2-40B4-BE49-F238E27FC236}">
              <a16:creationId xmlns:a16="http://schemas.microsoft.com/office/drawing/2014/main" id="{2F930EAD-E49F-4F54-B366-C5B1B824DC2A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89" name="TextBox 6">
          <a:extLst>
            <a:ext uri="{FF2B5EF4-FFF2-40B4-BE49-F238E27FC236}">
              <a16:creationId xmlns:a16="http://schemas.microsoft.com/office/drawing/2014/main" id="{DC66E3F3-FEB3-4E40-8A1C-515F529D56C3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0" name="TextBox 7">
          <a:extLst>
            <a:ext uri="{FF2B5EF4-FFF2-40B4-BE49-F238E27FC236}">
              <a16:creationId xmlns:a16="http://schemas.microsoft.com/office/drawing/2014/main" id="{0E7D9100-963F-454C-8AB7-43C42738F3C3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1" name="TextBox 8">
          <a:extLst>
            <a:ext uri="{FF2B5EF4-FFF2-40B4-BE49-F238E27FC236}">
              <a16:creationId xmlns:a16="http://schemas.microsoft.com/office/drawing/2014/main" id="{7CF89A2C-D3A0-422B-AA06-D3E80BDBE212}"/>
            </a:ext>
          </a:extLst>
        </xdr:cNvPr>
        <xdr:cNvSpPr txBox="1"/>
      </xdr:nvSpPr>
      <xdr:spPr>
        <a:xfrm flipH="1">
          <a:off x="1909762" y="370427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2" name="TextBox 2">
          <a:extLst>
            <a:ext uri="{FF2B5EF4-FFF2-40B4-BE49-F238E27FC236}">
              <a16:creationId xmlns:a16="http://schemas.microsoft.com/office/drawing/2014/main" id="{4D521D24-E6E3-4F27-80FE-432D44C1B5A1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3" name="TextBox 4">
          <a:extLst>
            <a:ext uri="{FF2B5EF4-FFF2-40B4-BE49-F238E27FC236}">
              <a16:creationId xmlns:a16="http://schemas.microsoft.com/office/drawing/2014/main" id="{B4C7EDEB-974C-4D4D-BCC3-1F407CDE683F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4" name="TextBox 5">
          <a:extLst>
            <a:ext uri="{FF2B5EF4-FFF2-40B4-BE49-F238E27FC236}">
              <a16:creationId xmlns:a16="http://schemas.microsoft.com/office/drawing/2014/main" id="{7699D85A-A975-40FD-925F-8ACCCA4A66D9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5" name="TextBox 6">
          <a:extLst>
            <a:ext uri="{FF2B5EF4-FFF2-40B4-BE49-F238E27FC236}">
              <a16:creationId xmlns:a16="http://schemas.microsoft.com/office/drawing/2014/main" id="{B664BD75-5E6C-42AA-B6BF-FCD9E2B72B27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6" name="TextBox 7">
          <a:extLst>
            <a:ext uri="{FF2B5EF4-FFF2-40B4-BE49-F238E27FC236}">
              <a16:creationId xmlns:a16="http://schemas.microsoft.com/office/drawing/2014/main" id="{8E1C16F5-237C-4BE2-A6F7-DA906A533400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7" name="TextBox 8">
          <a:extLst>
            <a:ext uri="{FF2B5EF4-FFF2-40B4-BE49-F238E27FC236}">
              <a16:creationId xmlns:a16="http://schemas.microsoft.com/office/drawing/2014/main" id="{222E4AD0-2BB1-444A-B818-4038BA3FD74C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8" name="TextBox 2">
          <a:extLst>
            <a:ext uri="{FF2B5EF4-FFF2-40B4-BE49-F238E27FC236}">
              <a16:creationId xmlns:a16="http://schemas.microsoft.com/office/drawing/2014/main" id="{C4058605-CACE-4257-BC02-D1E2B397011E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199" name="TextBox 4">
          <a:extLst>
            <a:ext uri="{FF2B5EF4-FFF2-40B4-BE49-F238E27FC236}">
              <a16:creationId xmlns:a16="http://schemas.microsoft.com/office/drawing/2014/main" id="{168AD44E-B4B9-45DE-AF1C-FBF37F418C15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0" name="TextBox 5">
          <a:extLst>
            <a:ext uri="{FF2B5EF4-FFF2-40B4-BE49-F238E27FC236}">
              <a16:creationId xmlns:a16="http://schemas.microsoft.com/office/drawing/2014/main" id="{CAB5E133-6197-4819-A08C-17168B583D46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1" name="TextBox 6">
          <a:extLst>
            <a:ext uri="{FF2B5EF4-FFF2-40B4-BE49-F238E27FC236}">
              <a16:creationId xmlns:a16="http://schemas.microsoft.com/office/drawing/2014/main" id="{F3FD7FC1-9B2C-43AB-BDD5-79721C26D065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2" name="TextBox 7">
          <a:extLst>
            <a:ext uri="{FF2B5EF4-FFF2-40B4-BE49-F238E27FC236}">
              <a16:creationId xmlns:a16="http://schemas.microsoft.com/office/drawing/2014/main" id="{01210D29-44C7-40CC-A2CA-A57C2F742237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3" name="TextBox 8">
          <a:extLst>
            <a:ext uri="{FF2B5EF4-FFF2-40B4-BE49-F238E27FC236}">
              <a16:creationId xmlns:a16="http://schemas.microsoft.com/office/drawing/2014/main" id="{DB0FB745-8F45-4E38-9224-3B894ACF905C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4" name="TextBox 2">
          <a:extLst>
            <a:ext uri="{FF2B5EF4-FFF2-40B4-BE49-F238E27FC236}">
              <a16:creationId xmlns:a16="http://schemas.microsoft.com/office/drawing/2014/main" id="{E8FB23A2-D859-4446-8202-12075456B20B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5" name="TextBox 4">
          <a:extLst>
            <a:ext uri="{FF2B5EF4-FFF2-40B4-BE49-F238E27FC236}">
              <a16:creationId xmlns:a16="http://schemas.microsoft.com/office/drawing/2014/main" id="{0C27E723-F4E9-4EFE-9C25-F711F1829132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6" name="TextBox 5">
          <a:extLst>
            <a:ext uri="{FF2B5EF4-FFF2-40B4-BE49-F238E27FC236}">
              <a16:creationId xmlns:a16="http://schemas.microsoft.com/office/drawing/2014/main" id="{AF7F5DD1-F52E-473C-B867-EAAB7FE5279A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7" name="TextBox 6">
          <a:extLst>
            <a:ext uri="{FF2B5EF4-FFF2-40B4-BE49-F238E27FC236}">
              <a16:creationId xmlns:a16="http://schemas.microsoft.com/office/drawing/2014/main" id="{81B0414C-5D64-444B-95CC-DA40FAB45FA4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8" name="TextBox 7">
          <a:extLst>
            <a:ext uri="{FF2B5EF4-FFF2-40B4-BE49-F238E27FC236}">
              <a16:creationId xmlns:a16="http://schemas.microsoft.com/office/drawing/2014/main" id="{3C96F596-4187-4AD1-A891-CE2506EA4A23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09" name="TextBox 8">
          <a:extLst>
            <a:ext uri="{FF2B5EF4-FFF2-40B4-BE49-F238E27FC236}">
              <a16:creationId xmlns:a16="http://schemas.microsoft.com/office/drawing/2014/main" id="{A12D2787-DDBB-4B4F-A64E-CB00169B6001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0" name="TextBox 2">
          <a:extLst>
            <a:ext uri="{FF2B5EF4-FFF2-40B4-BE49-F238E27FC236}">
              <a16:creationId xmlns:a16="http://schemas.microsoft.com/office/drawing/2014/main" id="{7A06F03C-B6FB-4909-A45E-2B323BCA586C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1" name="TextBox 4">
          <a:extLst>
            <a:ext uri="{FF2B5EF4-FFF2-40B4-BE49-F238E27FC236}">
              <a16:creationId xmlns:a16="http://schemas.microsoft.com/office/drawing/2014/main" id="{44934F02-536E-4717-A465-BBEEA2ADC51C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2" name="TextBox 5">
          <a:extLst>
            <a:ext uri="{FF2B5EF4-FFF2-40B4-BE49-F238E27FC236}">
              <a16:creationId xmlns:a16="http://schemas.microsoft.com/office/drawing/2014/main" id="{CD10056D-DC00-402F-99F6-0B5836685AD0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3" name="TextBox 6">
          <a:extLst>
            <a:ext uri="{FF2B5EF4-FFF2-40B4-BE49-F238E27FC236}">
              <a16:creationId xmlns:a16="http://schemas.microsoft.com/office/drawing/2014/main" id="{677D13BD-770A-4F4F-9117-6B160BDEFA44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4" name="TextBox 7">
          <a:extLst>
            <a:ext uri="{FF2B5EF4-FFF2-40B4-BE49-F238E27FC236}">
              <a16:creationId xmlns:a16="http://schemas.microsoft.com/office/drawing/2014/main" id="{6252E580-4F21-48F9-B359-18FF87F558F6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5" name="TextBox 8">
          <a:extLst>
            <a:ext uri="{FF2B5EF4-FFF2-40B4-BE49-F238E27FC236}">
              <a16:creationId xmlns:a16="http://schemas.microsoft.com/office/drawing/2014/main" id="{B127B5C1-3EE0-4B07-A6C2-20CDC5490FBA}"/>
            </a:ext>
          </a:extLst>
        </xdr:cNvPr>
        <xdr:cNvSpPr txBox="1"/>
      </xdr:nvSpPr>
      <xdr:spPr>
        <a:xfrm flipH="1"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6" name="TextBox 7616">
          <a:extLst>
            <a:ext uri="{FF2B5EF4-FFF2-40B4-BE49-F238E27FC236}">
              <a16:creationId xmlns:a16="http://schemas.microsoft.com/office/drawing/2014/main" id="{92651538-E431-4CC1-91EE-6DDCE1EF2D60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7" name="TextBox 7617">
          <a:extLst>
            <a:ext uri="{FF2B5EF4-FFF2-40B4-BE49-F238E27FC236}">
              <a16:creationId xmlns:a16="http://schemas.microsoft.com/office/drawing/2014/main" id="{966476A0-AC1B-468A-AD69-942AFFA8866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8" name="TextBox 7618">
          <a:extLst>
            <a:ext uri="{FF2B5EF4-FFF2-40B4-BE49-F238E27FC236}">
              <a16:creationId xmlns:a16="http://schemas.microsoft.com/office/drawing/2014/main" id="{D4451A4A-3792-4CA4-81DC-3F6A3D49D04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19" name="TextBox 7619">
          <a:extLst>
            <a:ext uri="{FF2B5EF4-FFF2-40B4-BE49-F238E27FC236}">
              <a16:creationId xmlns:a16="http://schemas.microsoft.com/office/drawing/2014/main" id="{5F40E088-CC78-4087-B9EB-478937AA2D8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0" name="TextBox 7620">
          <a:extLst>
            <a:ext uri="{FF2B5EF4-FFF2-40B4-BE49-F238E27FC236}">
              <a16:creationId xmlns:a16="http://schemas.microsoft.com/office/drawing/2014/main" id="{A2B5017D-26F2-4045-8FA6-EFA9E453649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1" name="TextBox 7621">
          <a:extLst>
            <a:ext uri="{FF2B5EF4-FFF2-40B4-BE49-F238E27FC236}">
              <a16:creationId xmlns:a16="http://schemas.microsoft.com/office/drawing/2014/main" id="{F8072B56-C2EE-4667-8176-CEF85BB5201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2" name="TextBox 15">
          <a:extLst>
            <a:ext uri="{FF2B5EF4-FFF2-40B4-BE49-F238E27FC236}">
              <a16:creationId xmlns:a16="http://schemas.microsoft.com/office/drawing/2014/main" id="{9C9FD489-EE3E-48A2-B45A-838B7CCA650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3" name="TextBox 16">
          <a:extLst>
            <a:ext uri="{FF2B5EF4-FFF2-40B4-BE49-F238E27FC236}">
              <a16:creationId xmlns:a16="http://schemas.microsoft.com/office/drawing/2014/main" id="{7B6A423F-8A0D-4A83-8EFB-1AE017202854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4" name="TextBox 17">
          <a:extLst>
            <a:ext uri="{FF2B5EF4-FFF2-40B4-BE49-F238E27FC236}">
              <a16:creationId xmlns:a16="http://schemas.microsoft.com/office/drawing/2014/main" id="{FCFA6577-DAB4-450B-B8BF-63403C9338D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5" name="TextBox 18">
          <a:extLst>
            <a:ext uri="{FF2B5EF4-FFF2-40B4-BE49-F238E27FC236}">
              <a16:creationId xmlns:a16="http://schemas.microsoft.com/office/drawing/2014/main" id="{EFDD49D4-6D81-4CC8-AFE4-4C00F615E57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6" name="TextBox 7626">
          <a:extLst>
            <a:ext uri="{FF2B5EF4-FFF2-40B4-BE49-F238E27FC236}">
              <a16:creationId xmlns:a16="http://schemas.microsoft.com/office/drawing/2014/main" id="{B81801FC-D5AF-4DDC-B4B1-A48B1C78D4D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7" name="TextBox 7627">
          <a:extLst>
            <a:ext uri="{FF2B5EF4-FFF2-40B4-BE49-F238E27FC236}">
              <a16:creationId xmlns:a16="http://schemas.microsoft.com/office/drawing/2014/main" id="{191BA1D6-EAF3-4942-9657-62AB3D5CD2DF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8" name="TextBox 1">
          <a:extLst>
            <a:ext uri="{FF2B5EF4-FFF2-40B4-BE49-F238E27FC236}">
              <a16:creationId xmlns:a16="http://schemas.microsoft.com/office/drawing/2014/main" id="{D03C444F-46C9-4692-8041-25748717340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29" name="TextBox 3">
          <a:extLst>
            <a:ext uri="{FF2B5EF4-FFF2-40B4-BE49-F238E27FC236}">
              <a16:creationId xmlns:a16="http://schemas.microsoft.com/office/drawing/2014/main" id="{52689D61-6FE2-40FA-BDB6-5C976559A599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0" name="TextBox 7630">
          <a:extLst>
            <a:ext uri="{FF2B5EF4-FFF2-40B4-BE49-F238E27FC236}">
              <a16:creationId xmlns:a16="http://schemas.microsoft.com/office/drawing/2014/main" id="{A56859D4-989B-4ECE-92F9-33266241BF00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1" name="TextBox 7631">
          <a:extLst>
            <a:ext uri="{FF2B5EF4-FFF2-40B4-BE49-F238E27FC236}">
              <a16:creationId xmlns:a16="http://schemas.microsoft.com/office/drawing/2014/main" id="{DA1D1383-EA99-4C83-A0E7-88617634E2DE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2" name="TextBox 7632">
          <a:extLst>
            <a:ext uri="{FF2B5EF4-FFF2-40B4-BE49-F238E27FC236}">
              <a16:creationId xmlns:a16="http://schemas.microsoft.com/office/drawing/2014/main" id="{5AB2E140-53E0-4F78-B234-C2082D034CDB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3" name="TextBox 7633">
          <a:extLst>
            <a:ext uri="{FF2B5EF4-FFF2-40B4-BE49-F238E27FC236}">
              <a16:creationId xmlns:a16="http://schemas.microsoft.com/office/drawing/2014/main" id="{6436D270-1EAE-4DB2-A5E5-56B5A69353F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4" name="TextBox 7634">
          <a:extLst>
            <a:ext uri="{FF2B5EF4-FFF2-40B4-BE49-F238E27FC236}">
              <a16:creationId xmlns:a16="http://schemas.microsoft.com/office/drawing/2014/main" id="{E0BA3515-5704-4B89-AE62-717E05388186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5" name="TextBox 7635">
          <a:extLst>
            <a:ext uri="{FF2B5EF4-FFF2-40B4-BE49-F238E27FC236}">
              <a16:creationId xmlns:a16="http://schemas.microsoft.com/office/drawing/2014/main" id="{F75DC891-42E1-412A-A272-717E26C8D94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6" name="TextBox 7636">
          <a:extLst>
            <a:ext uri="{FF2B5EF4-FFF2-40B4-BE49-F238E27FC236}">
              <a16:creationId xmlns:a16="http://schemas.microsoft.com/office/drawing/2014/main" id="{E7237E2E-834C-4698-811E-3085D2A8A189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7" name="TextBox 7637">
          <a:extLst>
            <a:ext uri="{FF2B5EF4-FFF2-40B4-BE49-F238E27FC236}">
              <a16:creationId xmlns:a16="http://schemas.microsoft.com/office/drawing/2014/main" id="{98D82FA8-C0B2-4CD1-92BB-55428985281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8" name="TextBox 7638">
          <a:extLst>
            <a:ext uri="{FF2B5EF4-FFF2-40B4-BE49-F238E27FC236}">
              <a16:creationId xmlns:a16="http://schemas.microsoft.com/office/drawing/2014/main" id="{5F08CCC5-3467-4D08-A8D0-0030D60491B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39" name="TextBox 7639">
          <a:extLst>
            <a:ext uri="{FF2B5EF4-FFF2-40B4-BE49-F238E27FC236}">
              <a16:creationId xmlns:a16="http://schemas.microsoft.com/office/drawing/2014/main" id="{27AB86E8-C207-4987-9364-501CD917159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0" name="TextBox 13">
          <a:extLst>
            <a:ext uri="{FF2B5EF4-FFF2-40B4-BE49-F238E27FC236}">
              <a16:creationId xmlns:a16="http://schemas.microsoft.com/office/drawing/2014/main" id="{1C1C42D4-E14E-49E1-8E5D-8ACFB8425280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1" name="TextBox 14">
          <a:extLst>
            <a:ext uri="{FF2B5EF4-FFF2-40B4-BE49-F238E27FC236}">
              <a16:creationId xmlns:a16="http://schemas.microsoft.com/office/drawing/2014/main" id="{FEBE33D0-BCC7-429F-B575-8EB991ECCF1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2" name="TextBox 7642">
          <a:extLst>
            <a:ext uri="{FF2B5EF4-FFF2-40B4-BE49-F238E27FC236}">
              <a16:creationId xmlns:a16="http://schemas.microsoft.com/office/drawing/2014/main" id="{C2C8A7CA-72B3-447D-84AC-2047E2BE0C08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3" name="TextBox 7643">
          <a:extLst>
            <a:ext uri="{FF2B5EF4-FFF2-40B4-BE49-F238E27FC236}">
              <a16:creationId xmlns:a16="http://schemas.microsoft.com/office/drawing/2014/main" id="{94E12A8E-8C47-4FF5-A758-3D5B24E72818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4" name="TextBox 7644">
          <a:extLst>
            <a:ext uri="{FF2B5EF4-FFF2-40B4-BE49-F238E27FC236}">
              <a16:creationId xmlns:a16="http://schemas.microsoft.com/office/drawing/2014/main" id="{1CC58C5B-8A83-4315-AF65-9BBBB26260A5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5" name="TextBox 7645">
          <a:extLst>
            <a:ext uri="{FF2B5EF4-FFF2-40B4-BE49-F238E27FC236}">
              <a16:creationId xmlns:a16="http://schemas.microsoft.com/office/drawing/2014/main" id="{31DC8F79-B46C-476E-9D33-A9133C88EBCF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6" name="TextBox 15">
          <a:extLst>
            <a:ext uri="{FF2B5EF4-FFF2-40B4-BE49-F238E27FC236}">
              <a16:creationId xmlns:a16="http://schemas.microsoft.com/office/drawing/2014/main" id="{4FB88652-B420-4BA6-857C-899E720C769B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7" name="TextBox 16">
          <a:extLst>
            <a:ext uri="{FF2B5EF4-FFF2-40B4-BE49-F238E27FC236}">
              <a16:creationId xmlns:a16="http://schemas.microsoft.com/office/drawing/2014/main" id="{8C109417-FCFF-483F-B0FA-3B888A2E491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8" name="TextBox 17">
          <a:extLst>
            <a:ext uri="{FF2B5EF4-FFF2-40B4-BE49-F238E27FC236}">
              <a16:creationId xmlns:a16="http://schemas.microsoft.com/office/drawing/2014/main" id="{13201F3F-B6D3-4CB3-8442-B1996772A604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49" name="TextBox 18">
          <a:extLst>
            <a:ext uri="{FF2B5EF4-FFF2-40B4-BE49-F238E27FC236}">
              <a16:creationId xmlns:a16="http://schemas.microsoft.com/office/drawing/2014/main" id="{CAC08BDB-7E09-4432-98AF-332DBA966685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0" name="TextBox 7650">
          <a:extLst>
            <a:ext uri="{FF2B5EF4-FFF2-40B4-BE49-F238E27FC236}">
              <a16:creationId xmlns:a16="http://schemas.microsoft.com/office/drawing/2014/main" id="{E74262C2-591E-4569-9DC6-625F089B068A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1" name="TextBox 7651">
          <a:extLst>
            <a:ext uri="{FF2B5EF4-FFF2-40B4-BE49-F238E27FC236}">
              <a16:creationId xmlns:a16="http://schemas.microsoft.com/office/drawing/2014/main" id="{C7EEFE61-3CED-4364-BC91-5DD851000B0F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2" name="TextBox 1">
          <a:extLst>
            <a:ext uri="{FF2B5EF4-FFF2-40B4-BE49-F238E27FC236}">
              <a16:creationId xmlns:a16="http://schemas.microsoft.com/office/drawing/2014/main" id="{CF1E2E10-1F30-4F2A-98A6-9796BA21C8D0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3" name="TextBox 3">
          <a:extLst>
            <a:ext uri="{FF2B5EF4-FFF2-40B4-BE49-F238E27FC236}">
              <a16:creationId xmlns:a16="http://schemas.microsoft.com/office/drawing/2014/main" id="{84EF5149-DCA5-434A-BC06-AE6A6E585AE5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4" name="TextBox 7654">
          <a:extLst>
            <a:ext uri="{FF2B5EF4-FFF2-40B4-BE49-F238E27FC236}">
              <a16:creationId xmlns:a16="http://schemas.microsoft.com/office/drawing/2014/main" id="{CF4A61F5-1E52-4BE0-9AC7-C4B69005FB84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5" name="TextBox 7655">
          <a:extLst>
            <a:ext uri="{FF2B5EF4-FFF2-40B4-BE49-F238E27FC236}">
              <a16:creationId xmlns:a16="http://schemas.microsoft.com/office/drawing/2014/main" id="{6DD8C094-2838-46FF-A95E-ECF5FAD70227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6" name="TextBox 7656">
          <a:extLst>
            <a:ext uri="{FF2B5EF4-FFF2-40B4-BE49-F238E27FC236}">
              <a16:creationId xmlns:a16="http://schemas.microsoft.com/office/drawing/2014/main" id="{A5DAAF72-7319-4EDA-82EE-98BFC9B4FD5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7" name="TextBox 7657">
          <a:extLst>
            <a:ext uri="{FF2B5EF4-FFF2-40B4-BE49-F238E27FC236}">
              <a16:creationId xmlns:a16="http://schemas.microsoft.com/office/drawing/2014/main" id="{8EC72CCA-B812-45A6-AE32-4C0FF532A222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8" name="TextBox 7658">
          <a:extLst>
            <a:ext uri="{FF2B5EF4-FFF2-40B4-BE49-F238E27FC236}">
              <a16:creationId xmlns:a16="http://schemas.microsoft.com/office/drawing/2014/main" id="{62B58090-BB01-44BF-BE70-299E3C85433D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59" name="TextBox 7659">
          <a:extLst>
            <a:ext uri="{FF2B5EF4-FFF2-40B4-BE49-F238E27FC236}">
              <a16:creationId xmlns:a16="http://schemas.microsoft.com/office/drawing/2014/main" id="{2D6F374E-D148-4AC3-AAAD-D39BDBF0552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0" name="TextBox 7660">
          <a:extLst>
            <a:ext uri="{FF2B5EF4-FFF2-40B4-BE49-F238E27FC236}">
              <a16:creationId xmlns:a16="http://schemas.microsoft.com/office/drawing/2014/main" id="{4AD5611A-FC2C-4DB6-98E7-88E496C3C390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1" name="TextBox 7661">
          <a:extLst>
            <a:ext uri="{FF2B5EF4-FFF2-40B4-BE49-F238E27FC236}">
              <a16:creationId xmlns:a16="http://schemas.microsoft.com/office/drawing/2014/main" id="{39A15C36-B73E-4333-9078-00CA08353AAC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2" name="TextBox 7662">
          <a:extLst>
            <a:ext uri="{FF2B5EF4-FFF2-40B4-BE49-F238E27FC236}">
              <a16:creationId xmlns:a16="http://schemas.microsoft.com/office/drawing/2014/main" id="{93339FCE-C77F-4C7E-9FFE-EE6D62EA65F7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3" name="TextBox 7663">
          <a:extLst>
            <a:ext uri="{FF2B5EF4-FFF2-40B4-BE49-F238E27FC236}">
              <a16:creationId xmlns:a16="http://schemas.microsoft.com/office/drawing/2014/main" id="{0FA55ABA-51C9-4079-A695-45CE5ED5C231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4" name="TextBox 13">
          <a:extLst>
            <a:ext uri="{FF2B5EF4-FFF2-40B4-BE49-F238E27FC236}">
              <a16:creationId xmlns:a16="http://schemas.microsoft.com/office/drawing/2014/main" id="{B369DC4F-A85C-4E3C-A232-D185BBB229E6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5" name="TextBox 14">
          <a:extLst>
            <a:ext uri="{FF2B5EF4-FFF2-40B4-BE49-F238E27FC236}">
              <a16:creationId xmlns:a16="http://schemas.microsoft.com/office/drawing/2014/main" id="{E5F5CA2A-2E32-4BC7-A288-C969B216F417}"/>
            </a:ext>
          </a:extLst>
        </xdr:cNvPr>
        <xdr:cNvSpPr txBox="1"/>
      </xdr:nvSpPr>
      <xdr:spPr>
        <a:xfrm>
          <a:off x="1909762" y="362616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6" name="TextBox 7666">
          <a:extLst>
            <a:ext uri="{FF2B5EF4-FFF2-40B4-BE49-F238E27FC236}">
              <a16:creationId xmlns:a16="http://schemas.microsoft.com/office/drawing/2014/main" id="{97820D8E-2983-484D-B2A1-453C722B328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7" name="TextBox 7667">
          <a:extLst>
            <a:ext uri="{FF2B5EF4-FFF2-40B4-BE49-F238E27FC236}">
              <a16:creationId xmlns:a16="http://schemas.microsoft.com/office/drawing/2014/main" id="{5CA2CA7F-881D-4193-B472-3357F6B75F5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8" name="TextBox 7668">
          <a:extLst>
            <a:ext uri="{FF2B5EF4-FFF2-40B4-BE49-F238E27FC236}">
              <a16:creationId xmlns:a16="http://schemas.microsoft.com/office/drawing/2014/main" id="{C6596E7A-4B79-4C95-B438-4B3BFD3C6CB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69" name="TextBox 7669">
          <a:extLst>
            <a:ext uri="{FF2B5EF4-FFF2-40B4-BE49-F238E27FC236}">
              <a16:creationId xmlns:a16="http://schemas.microsoft.com/office/drawing/2014/main" id="{AB39E4F2-BA54-4DF7-8EE0-E72234879FD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0" name="TextBox 15">
          <a:extLst>
            <a:ext uri="{FF2B5EF4-FFF2-40B4-BE49-F238E27FC236}">
              <a16:creationId xmlns:a16="http://schemas.microsoft.com/office/drawing/2014/main" id="{20E464F2-26BB-4097-AF56-623BD9E68581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1" name="TextBox 16">
          <a:extLst>
            <a:ext uri="{FF2B5EF4-FFF2-40B4-BE49-F238E27FC236}">
              <a16:creationId xmlns:a16="http://schemas.microsoft.com/office/drawing/2014/main" id="{DE9EB3C5-67F7-41E7-A155-8A189ACD193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2" name="TextBox 17">
          <a:extLst>
            <a:ext uri="{FF2B5EF4-FFF2-40B4-BE49-F238E27FC236}">
              <a16:creationId xmlns:a16="http://schemas.microsoft.com/office/drawing/2014/main" id="{252FAFDC-615E-4404-B75C-20F497BF2C7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3" name="TextBox 18">
          <a:extLst>
            <a:ext uri="{FF2B5EF4-FFF2-40B4-BE49-F238E27FC236}">
              <a16:creationId xmlns:a16="http://schemas.microsoft.com/office/drawing/2014/main" id="{1A8480A0-D6EF-4DB7-9882-70C254D7C3A2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4" name="TextBox 7674">
          <a:extLst>
            <a:ext uri="{FF2B5EF4-FFF2-40B4-BE49-F238E27FC236}">
              <a16:creationId xmlns:a16="http://schemas.microsoft.com/office/drawing/2014/main" id="{ECC22761-95EA-4BDA-84B2-C571799B72DF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5" name="TextBox 7675">
          <a:extLst>
            <a:ext uri="{FF2B5EF4-FFF2-40B4-BE49-F238E27FC236}">
              <a16:creationId xmlns:a16="http://schemas.microsoft.com/office/drawing/2014/main" id="{8C6E8679-129B-4509-98FC-4E76BCD806E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6" name="TextBox 1">
          <a:extLst>
            <a:ext uri="{FF2B5EF4-FFF2-40B4-BE49-F238E27FC236}">
              <a16:creationId xmlns:a16="http://schemas.microsoft.com/office/drawing/2014/main" id="{744E8C91-E727-4ADE-9C0A-352CC013EDA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7" name="TextBox 3">
          <a:extLst>
            <a:ext uri="{FF2B5EF4-FFF2-40B4-BE49-F238E27FC236}">
              <a16:creationId xmlns:a16="http://schemas.microsoft.com/office/drawing/2014/main" id="{4B01EDB6-A785-41D9-85DE-4637902F6DB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8" name="TextBox 7678">
          <a:extLst>
            <a:ext uri="{FF2B5EF4-FFF2-40B4-BE49-F238E27FC236}">
              <a16:creationId xmlns:a16="http://schemas.microsoft.com/office/drawing/2014/main" id="{5AC15295-5BD2-4B71-9CBD-9CE3E03DDF0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79" name="TextBox 7679">
          <a:extLst>
            <a:ext uri="{FF2B5EF4-FFF2-40B4-BE49-F238E27FC236}">
              <a16:creationId xmlns:a16="http://schemas.microsoft.com/office/drawing/2014/main" id="{DBDBC091-52DE-433C-B6D8-2874EE1D6B5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0" name="TextBox 7680">
          <a:extLst>
            <a:ext uri="{FF2B5EF4-FFF2-40B4-BE49-F238E27FC236}">
              <a16:creationId xmlns:a16="http://schemas.microsoft.com/office/drawing/2014/main" id="{91569526-6E21-4C6E-BD5F-575F816A8F3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1" name="TextBox 7681">
          <a:extLst>
            <a:ext uri="{FF2B5EF4-FFF2-40B4-BE49-F238E27FC236}">
              <a16:creationId xmlns:a16="http://schemas.microsoft.com/office/drawing/2014/main" id="{34B2C0F8-453A-48B7-BCAA-765D6379911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2" name="TextBox 7682">
          <a:extLst>
            <a:ext uri="{FF2B5EF4-FFF2-40B4-BE49-F238E27FC236}">
              <a16:creationId xmlns:a16="http://schemas.microsoft.com/office/drawing/2014/main" id="{4167C297-8A0D-48A7-953C-4F2B34637F2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3" name="TextBox 7683">
          <a:extLst>
            <a:ext uri="{FF2B5EF4-FFF2-40B4-BE49-F238E27FC236}">
              <a16:creationId xmlns:a16="http://schemas.microsoft.com/office/drawing/2014/main" id="{2FFA37AE-3FAF-46A6-ADAC-3B148F20314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4" name="TextBox 7684">
          <a:extLst>
            <a:ext uri="{FF2B5EF4-FFF2-40B4-BE49-F238E27FC236}">
              <a16:creationId xmlns:a16="http://schemas.microsoft.com/office/drawing/2014/main" id="{A1E904B2-FBBA-4F60-8FA0-F1FA73A0099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5" name="TextBox 7685">
          <a:extLst>
            <a:ext uri="{FF2B5EF4-FFF2-40B4-BE49-F238E27FC236}">
              <a16:creationId xmlns:a16="http://schemas.microsoft.com/office/drawing/2014/main" id="{0C283326-D76F-496D-8E2E-2F54CBDAE65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6" name="TextBox 7686">
          <a:extLst>
            <a:ext uri="{FF2B5EF4-FFF2-40B4-BE49-F238E27FC236}">
              <a16:creationId xmlns:a16="http://schemas.microsoft.com/office/drawing/2014/main" id="{5E798922-05B5-4D93-8F1F-EEACB3845549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7" name="TextBox 7687">
          <a:extLst>
            <a:ext uri="{FF2B5EF4-FFF2-40B4-BE49-F238E27FC236}">
              <a16:creationId xmlns:a16="http://schemas.microsoft.com/office/drawing/2014/main" id="{07CD1694-F8FB-4A0A-B230-2228A07ABFB8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8" name="TextBox 13">
          <a:extLst>
            <a:ext uri="{FF2B5EF4-FFF2-40B4-BE49-F238E27FC236}">
              <a16:creationId xmlns:a16="http://schemas.microsoft.com/office/drawing/2014/main" id="{E502C32E-29F9-410A-BB4D-5C4210FC9E0B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89" name="TextBox 14">
          <a:extLst>
            <a:ext uri="{FF2B5EF4-FFF2-40B4-BE49-F238E27FC236}">
              <a16:creationId xmlns:a16="http://schemas.microsoft.com/office/drawing/2014/main" id="{A20ABCA3-821D-4222-B0A5-4F2DA275F3B4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0" name="TextBox 7690">
          <a:extLst>
            <a:ext uri="{FF2B5EF4-FFF2-40B4-BE49-F238E27FC236}">
              <a16:creationId xmlns:a16="http://schemas.microsoft.com/office/drawing/2014/main" id="{9421DD87-BFE3-4017-B383-32AC07834EC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1" name="TextBox 7691">
          <a:extLst>
            <a:ext uri="{FF2B5EF4-FFF2-40B4-BE49-F238E27FC236}">
              <a16:creationId xmlns:a16="http://schemas.microsoft.com/office/drawing/2014/main" id="{2BEA236E-B17E-4AB2-8906-74CC5A34763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2" name="TextBox 7692">
          <a:extLst>
            <a:ext uri="{FF2B5EF4-FFF2-40B4-BE49-F238E27FC236}">
              <a16:creationId xmlns:a16="http://schemas.microsoft.com/office/drawing/2014/main" id="{DEECD275-966C-4436-A8B8-CDE6680B2BF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3" name="TextBox 7693">
          <a:extLst>
            <a:ext uri="{FF2B5EF4-FFF2-40B4-BE49-F238E27FC236}">
              <a16:creationId xmlns:a16="http://schemas.microsoft.com/office/drawing/2014/main" id="{CE0764C1-91BA-41ED-941D-50EB11157280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4" name="TextBox 15">
          <a:extLst>
            <a:ext uri="{FF2B5EF4-FFF2-40B4-BE49-F238E27FC236}">
              <a16:creationId xmlns:a16="http://schemas.microsoft.com/office/drawing/2014/main" id="{04B38B7E-B91E-4DD6-9976-D7C68C36179F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5" name="TextBox 16">
          <a:extLst>
            <a:ext uri="{FF2B5EF4-FFF2-40B4-BE49-F238E27FC236}">
              <a16:creationId xmlns:a16="http://schemas.microsoft.com/office/drawing/2014/main" id="{22B480A5-1D34-4F3B-A7EC-865ACAAD08C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6" name="TextBox 17">
          <a:extLst>
            <a:ext uri="{FF2B5EF4-FFF2-40B4-BE49-F238E27FC236}">
              <a16:creationId xmlns:a16="http://schemas.microsoft.com/office/drawing/2014/main" id="{1064B2E5-E0A3-4D6B-9F9F-4D8375F8160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7" name="TextBox 18">
          <a:extLst>
            <a:ext uri="{FF2B5EF4-FFF2-40B4-BE49-F238E27FC236}">
              <a16:creationId xmlns:a16="http://schemas.microsoft.com/office/drawing/2014/main" id="{457DC715-4497-451E-9FA1-85AA9EB7FA8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8" name="TextBox 7698">
          <a:extLst>
            <a:ext uri="{FF2B5EF4-FFF2-40B4-BE49-F238E27FC236}">
              <a16:creationId xmlns:a16="http://schemas.microsoft.com/office/drawing/2014/main" id="{04C706D8-315C-4D8E-93F6-7DAB8A8C2447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299" name="TextBox 7699">
          <a:extLst>
            <a:ext uri="{FF2B5EF4-FFF2-40B4-BE49-F238E27FC236}">
              <a16:creationId xmlns:a16="http://schemas.microsoft.com/office/drawing/2014/main" id="{1839A305-414F-45EA-83FF-0DCF2A723C1F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0" name="TextBox 1">
          <a:extLst>
            <a:ext uri="{FF2B5EF4-FFF2-40B4-BE49-F238E27FC236}">
              <a16:creationId xmlns:a16="http://schemas.microsoft.com/office/drawing/2014/main" id="{7C72FAE7-5B9A-4507-AF64-D99D632977F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1" name="TextBox 3">
          <a:extLst>
            <a:ext uri="{FF2B5EF4-FFF2-40B4-BE49-F238E27FC236}">
              <a16:creationId xmlns:a16="http://schemas.microsoft.com/office/drawing/2014/main" id="{9304C744-145F-42DF-8E98-31A2C6ED1635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2" name="TextBox 7702">
          <a:extLst>
            <a:ext uri="{FF2B5EF4-FFF2-40B4-BE49-F238E27FC236}">
              <a16:creationId xmlns:a16="http://schemas.microsoft.com/office/drawing/2014/main" id="{6AF4F46B-F022-44B8-8597-BE7529534EC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3" name="TextBox 7703">
          <a:extLst>
            <a:ext uri="{FF2B5EF4-FFF2-40B4-BE49-F238E27FC236}">
              <a16:creationId xmlns:a16="http://schemas.microsoft.com/office/drawing/2014/main" id="{713FAC89-BF2F-45EC-B855-A76CDC13010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4" name="TextBox 7704">
          <a:extLst>
            <a:ext uri="{FF2B5EF4-FFF2-40B4-BE49-F238E27FC236}">
              <a16:creationId xmlns:a16="http://schemas.microsoft.com/office/drawing/2014/main" id="{339E8EF3-28C5-4C8C-AAF4-88A6E33C56D6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5" name="TextBox 7705">
          <a:extLst>
            <a:ext uri="{FF2B5EF4-FFF2-40B4-BE49-F238E27FC236}">
              <a16:creationId xmlns:a16="http://schemas.microsoft.com/office/drawing/2014/main" id="{BC4BEA6B-DE67-4847-979A-7784FCB4DE3C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6" name="TextBox 7706">
          <a:extLst>
            <a:ext uri="{FF2B5EF4-FFF2-40B4-BE49-F238E27FC236}">
              <a16:creationId xmlns:a16="http://schemas.microsoft.com/office/drawing/2014/main" id="{12BA5E76-489B-427B-AAE8-A544866232E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7" name="TextBox 7707">
          <a:extLst>
            <a:ext uri="{FF2B5EF4-FFF2-40B4-BE49-F238E27FC236}">
              <a16:creationId xmlns:a16="http://schemas.microsoft.com/office/drawing/2014/main" id="{B4811369-2D01-4440-ABA4-BB1A984EAB3E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8" name="TextBox 7708">
          <a:extLst>
            <a:ext uri="{FF2B5EF4-FFF2-40B4-BE49-F238E27FC236}">
              <a16:creationId xmlns:a16="http://schemas.microsoft.com/office/drawing/2014/main" id="{55E79448-3863-46CE-9DEF-440BB780734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09" name="TextBox 7709">
          <a:extLst>
            <a:ext uri="{FF2B5EF4-FFF2-40B4-BE49-F238E27FC236}">
              <a16:creationId xmlns:a16="http://schemas.microsoft.com/office/drawing/2014/main" id="{BB57773A-EB2B-4475-9FBA-D9B7867C2BB3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0" name="TextBox 7710">
          <a:extLst>
            <a:ext uri="{FF2B5EF4-FFF2-40B4-BE49-F238E27FC236}">
              <a16:creationId xmlns:a16="http://schemas.microsoft.com/office/drawing/2014/main" id="{272CF1EF-DC07-43DA-875A-B41EB80E526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1" name="TextBox 7711">
          <a:extLst>
            <a:ext uri="{FF2B5EF4-FFF2-40B4-BE49-F238E27FC236}">
              <a16:creationId xmlns:a16="http://schemas.microsoft.com/office/drawing/2014/main" id="{A0E10DB4-41C1-487A-B4C6-1ED957B5832F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2" name="TextBox 13">
          <a:extLst>
            <a:ext uri="{FF2B5EF4-FFF2-40B4-BE49-F238E27FC236}">
              <a16:creationId xmlns:a16="http://schemas.microsoft.com/office/drawing/2014/main" id="{BDB4F3A2-F1BD-4707-AD5C-329052901D9A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3" name="TextBox 14">
          <a:extLst>
            <a:ext uri="{FF2B5EF4-FFF2-40B4-BE49-F238E27FC236}">
              <a16:creationId xmlns:a16="http://schemas.microsoft.com/office/drawing/2014/main" id="{83C753A1-DFEC-4AE6-ABEB-4DA6FEF896DD}"/>
            </a:ext>
          </a:extLst>
        </xdr:cNvPr>
        <xdr:cNvSpPr txBox="1"/>
      </xdr:nvSpPr>
      <xdr:spPr>
        <a:xfrm>
          <a:off x="1909762" y="366522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4" name="TextBox 7714">
          <a:extLst>
            <a:ext uri="{FF2B5EF4-FFF2-40B4-BE49-F238E27FC236}">
              <a16:creationId xmlns:a16="http://schemas.microsoft.com/office/drawing/2014/main" id="{6ECB11BD-3CBB-4EB4-A679-B564ECD5BFE1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5" name="TextBox 7715">
          <a:extLst>
            <a:ext uri="{FF2B5EF4-FFF2-40B4-BE49-F238E27FC236}">
              <a16:creationId xmlns:a16="http://schemas.microsoft.com/office/drawing/2014/main" id="{1CDF28F7-BA0A-459C-AB96-38E7E5D175F5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6" name="TextBox 7716">
          <a:extLst>
            <a:ext uri="{FF2B5EF4-FFF2-40B4-BE49-F238E27FC236}">
              <a16:creationId xmlns:a16="http://schemas.microsoft.com/office/drawing/2014/main" id="{8976CB37-35AE-426D-8756-5E9B7306BE9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7" name="TextBox 7717">
          <a:extLst>
            <a:ext uri="{FF2B5EF4-FFF2-40B4-BE49-F238E27FC236}">
              <a16:creationId xmlns:a16="http://schemas.microsoft.com/office/drawing/2014/main" id="{C82F8071-A5F1-47DA-A192-BA9ABA90D54C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8" name="TextBox 15">
          <a:extLst>
            <a:ext uri="{FF2B5EF4-FFF2-40B4-BE49-F238E27FC236}">
              <a16:creationId xmlns:a16="http://schemas.microsoft.com/office/drawing/2014/main" id="{BAC2384A-5FBA-4A8E-8EBB-EAFB9527B9ED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19" name="TextBox 16">
          <a:extLst>
            <a:ext uri="{FF2B5EF4-FFF2-40B4-BE49-F238E27FC236}">
              <a16:creationId xmlns:a16="http://schemas.microsoft.com/office/drawing/2014/main" id="{FEBCC703-06C6-414E-9BD1-63351A3C12C3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0" name="TextBox 17">
          <a:extLst>
            <a:ext uri="{FF2B5EF4-FFF2-40B4-BE49-F238E27FC236}">
              <a16:creationId xmlns:a16="http://schemas.microsoft.com/office/drawing/2014/main" id="{B3379F8D-1031-4FE6-8FBC-525472CA8BF0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1" name="TextBox 18">
          <a:extLst>
            <a:ext uri="{FF2B5EF4-FFF2-40B4-BE49-F238E27FC236}">
              <a16:creationId xmlns:a16="http://schemas.microsoft.com/office/drawing/2014/main" id="{F326B839-F385-45E1-BE09-74EB7C03AA3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2" name="TextBox 7722">
          <a:extLst>
            <a:ext uri="{FF2B5EF4-FFF2-40B4-BE49-F238E27FC236}">
              <a16:creationId xmlns:a16="http://schemas.microsoft.com/office/drawing/2014/main" id="{6A754DF4-ACC6-4DCC-A806-385D6A1748FA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3" name="TextBox 7723">
          <a:extLst>
            <a:ext uri="{FF2B5EF4-FFF2-40B4-BE49-F238E27FC236}">
              <a16:creationId xmlns:a16="http://schemas.microsoft.com/office/drawing/2014/main" id="{BA2E65D5-2970-470F-8F82-B1F90E6DCD24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4" name="TextBox 1">
          <a:extLst>
            <a:ext uri="{FF2B5EF4-FFF2-40B4-BE49-F238E27FC236}">
              <a16:creationId xmlns:a16="http://schemas.microsoft.com/office/drawing/2014/main" id="{8B672304-6F46-4E2D-AC17-E9726435CA45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5" name="TextBox 3">
          <a:extLst>
            <a:ext uri="{FF2B5EF4-FFF2-40B4-BE49-F238E27FC236}">
              <a16:creationId xmlns:a16="http://schemas.microsoft.com/office/drawing/2014/main" id="{901DB980-8175-4381-8187-E0B0093775BA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6" name="TextBox 7726">
          <a:extLst>
            <a:ext uri="{FF2B5EF4-FFF2-40B4-BE49-F238E27FC236}">
              <a16:creationId xmlns:a16="http://schemas.microsoft.com/office/drawing/2014/main" id="{E0B0A5E2-3E89-4247-B961-7AE02C3693A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7" name="TextBox 7727">
          <a:extLst>
            <a:ext uri="{FF2B5EF4-FFF2-40B4-BE49-F238E27FC236}">
              <a16:creationId xmlns:a16="http://schemas.microsoft.com/office/drawing/2014/main" id="{DB2573D4-96D4-4C09-BF65-F2DAF3251FD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8" name="TextBox 7728">
          <a:extLst>
            <a:ext uri="{FF2B5EF4-FFF2-40B4-BE49-F238E27FC236}">
              <a16:creationId xmlns:a16="http://schemas.microsoft.com/office/drawing/2014/main" id="{40C819FD-46CF-4EAF-BDA7-AB0281009094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29" name="TextBox 7729">
          <a:extLst>
            <a:ext uri="{FF2B5EF4-FFF2-40B4-BE49-F238E27FC236}">
              <a16:creationId xmlns:a16="http://schemas.microsoft.com/office/drawing/2014/main" id="{CBB436CC-6E1A-4A4A-B8EC-E3B0D1AC77D7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0" name="TextBox 7730">
          <a:extLst>
            <a:ext uri="{FF2B5EF4-FFF2-40B4-BE49-F238E27FC236}">
              <a16:creationId xmlns:a16="http://schemas.microsoft.com/office/drawing/2014/main" id="{518ED7DC-F25F-4179-96E8-F3CED0430E5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1" name="TextBox 7731">
          <a:extLst>
            <a:ext uri="{FF2B5EF4-FFF2-40B4-BE49-F238E27FC236}">
              <a16:creationId xmlns:a16="http://schemas.microsoft.com/office/drawing/2014/main" id="{E9927F41-C3B3-48B7-8D09-86F8218F2D90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2" name="TextBox 7732">
          <a:extLst>
            <a:ext uri="{FF2B5EF4-FFF2-40B4-BE49-F238E27FC236}">
              <a16:creationId xmlns:a16="http://schemas.microsoft.com/office/drawing/2014/main" id="{D26A3DB0-2CA0-4147-9213-80E2FFEF797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3" name="TextBox 7733">
          <a:extLst>
            <a:ext uri="{FF2B5EF4-FFF2-40B4-BE49-F238E27FC236}">
              <a16:creationId xmlns:a16="http://schemas.microsoft.com/office/drawing/2014/main" id="{E2BD58EB-0101-4DFC-A644-DA364BE0B2E3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4" name="TextBox 7734">
          <a:extLst>
            <a:ext uri="{FF2B5EF4-FFF2-40B4-BE49-F238E27FC236}">
              <a16:creationId xmlns:a16="http://schemas.microsoft.com/office/drawing/2014/main" id="{5EE62487-80F2-4775-8905-01710DA1AABD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5" name="TextBox 7735">
          <a:extLst>
            <a:ext uri="{FF2B5EF4-FFF2-40B4-BE49-F238E27FC236}">
              <a16:creationId xmlns:a16="http://schemas.microsoft.com/office/drawing/2014/main" id="{CBE845DB-829C-4B1A-A327-C4C1123BD1C7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6" name="TextBox 13">
          <a:extLst>
            <a:ext uri="{FF2B5EF4-FFF2-40B4-BE49-F238E27FC236}">
              <a16:creationId xmlns:a16="http://schemas.microsoft.com/office/drawing/2014/main" id="{BEDEB459-2013-4A9E-AEE2-0A4875D8E944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7" name="TextBox 14">
          <a:extLst>
            <a:ext uri="{FF2B5EF4-FFF2-40B4-BE49-F238E27FC236}">
              <a16:creationId xmlns:a16="http://schemas.microsoft.com/office/drawing/2014/main" id="{F5554546-AAA0-4795-93C2-A056EB8B879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8" name="TextBox 7738">
          <a:extLst>
            <a:ext uri="{FF2B5EF4-FFF2-40B4-BE49-F238E27FC236}">
              <a16:creationId xmlns:a16="http://schemas.microsoft.com/office/drawing/2014/main" id="{A766C7B6-C9C9-4ECD-BC10-322D4D10365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39" name="TextBox 7739">
          <a:extLst>
            <a:ext uri="{FF2B5EF4-FFF2-40B4-BE49-F238E27FC236}">
              <a16:creationId xmlns:a16="http://schemas.microsoft.com/office/drawing/2014/main" id="{D85825CA-78D2-4615-B9CC-B90F850631C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0" name="TextBox 7740">
          <a:extLst>
            <a:ext uri="{FF2B5EF4-FFF2-40B4-BE49-F238E27FC236}">
              <a16:creationId xmlns:a16="http://schemas.microsoft.com/office/drawing/2014/main" id="{18C403BF-7950-4286-A369-637795F15F2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1" name="TextBox 7741">
          <a:extLst>
            <a:ext uri="{FF2B5EF4-FFF2-40B4-BE49-F238E27FC236}">
              <a16:creationId xmlns:a16="http://schemas.microsoft.com/office/drawing/2014/main" id="{42B23327-FFA5-42A5-800D-276F13EBD4BF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2" name="TextBox 15">
          <a:extLst>
            <a:ext uri="{FF2B5EF4-FFF2-40B4-BE49-F238E27FC236}">
              <a16:creationId xmlns:a16="http://schemas.microsoft.com/office/drawing/2014/main" id="{7369FEB8-CC9D-4864-B839-174A797BCEEC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3" name="TextBox 16">
          <a:extLst>
            <a:ext uri="{FF2B5EF4-FFF2-40B4-BE49-F238E27FC236}">
              <a16:creationId xmlns:a16="http://schemas.microsoft.com/office/drawing/2014/main" id="{0A8EF1DE-37D4-413D-857F-9269100DB33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4" name="TextBox 17">
          <a:extLst>
            <a:ext uri="{FF2B5EF4-FFF2-40B4-BE49-F238E27FC236}">
              <a16:creationId xmlns:a16="http://schemas.microsoft.com/office/drawing/2014/main" id="{62619C67-4753-4659-86AD-E19D5D921270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5" name="TextBox 18">
          <a:extLst>
            <a:ext uri="{FF2B5EF4-FFF2-40B4-BE49-F238E27FC236}">
              <a16:creationId xmlns:a16="http://schemas.microsoft.com/office/drawing/2014/main" id="{1A3ACBA7-84DE-4710-9330-97F1C9D45051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6" name="TextBox 7746">
          <a:extLst>
            <a:ext uri="{FF2B5EF4-FFF2-40B4-BE49-F238E27FC236}">
              <a16:creationId xmlns:a16="http://schemas.microsoft.com/office/drawing/2014/main" id="{A28F6F50-2A74-4811-91F6-803F61C1DBA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7" name="TextBox 7747">
          <a:extLst>
            <a:ext uri="{FF2B5EF4-FFF2-40B4-BE49-F238E27FC236}">
              <a16:creationId xmlns:a16="http://schemas.microsoft.com/office/drawing/2014/main" id="{6CB69E47-4A06-4DC4-941C-A54FC7B63A7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8" name="TextBox 1">
          <a:extLst>
            <a:ext uri="{FF2B5EF4-FFF2-40B4-BE49-F238E27FC236}">
              <a16:creationId xmlns:a16="http://schemas.microsoft.com/office/drawing/2014/main" id="{8EBB4A43-C818-4F2E-8AF4-DE6D304BBD8D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49" name="TextBox 3">
          <a:extLst>
            <a:ext uri="{FF2B5EF4-FFF2-40B4-BE49-F238E27FC236}">
              <a16:creationId xmlns:a16="http://schemas.microsoft.com/office/drawing/2014/main" id="{7487C12D-45A1-4C9F-9487-E29ABEF6BE6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0" name="TextBox 7750">
          <a:extLst>
            <a:ext uri="{FF2B5EF4-FFF2-40B4-BE49-F238E27FC236}">
              <a16:creationId xmlns:a16="http://schemas.microsoft.com/office/drawing/2014/main" id="{754315F5-4C2A-409F-A3D1-60A5204F9CF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1" name="TextBox 7751">
          <a:extLst>
            <a:ext uri="{FF2B5EF4-FFF2-40B4-BE49-F238E27FC236}">
              <a16:creationId xmlns:a16="http://schemas.microsoft.com/office/drawing/2014/main" id="{23BC8706-DD9F-4500-BBE5-B8E1DE20E0BF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2" name="TextBox 7752">
          <a:extLst>
            <a:ext uri="{FF2B5EF4-FFF2-40B4-BE49-F238E27FC236}">
              <a16:creationId xmlns:a16="http://schemas.microsoft.com/office/drawing/2014/main" id="{C58A95D2-7CD2-47EC-B3A7-68B2B774433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3" name="TextBox 7753">
          <a:extLst>
            <a:ext uri="{FF2B5EF4-FFF2-40B4-BE49-F238E27FC236}">
              <a16:creationId xmlns:a16="http://schemas.microsoft.com/office/drawing/2014/main" id="{0396231B-8852-4238-9E4B-EDFBBEFBC63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4" name="TextBox 7754">
          <a:extLst>
            <a:ext uri="{FF2B5EF4-FFF2-40B4-BE49-F238E27FC236}">
              <a16:creationId xmlns:a16="http://schemas.microsoft.com/office/drawing/2014/main" id="{59596FA1-32AA-4D03-807B-31B46C1F13E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5" name="TextBox 7755">
          <a:extLst>
            <a:ext uri="{FF2B5EF4-FFF2-40B4-BE49-F238E27FC236}">
              <a16:creationId xmlns:a16="http://schemas.microsoft.com/office/drawing/2014/main" id="{5A450A5C-54CE-4420-8383-CAEAB0696540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6" name="TextBox 7756">
          <a:extLst>
            <a:ext uri="{FF2B5EF4-FFF2-40B4-BE49-F238E27FC236}">
              <a16:creationId xmlns:a16="http://schemas.microsoft.com/office/drawing/2014/main" id="{F5D02ADE-BA17-47EE-83D4-63E05A7A058F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7" name="TextBox 7757">
          <a:extLst>
            <a:ext uri="{FF2B5EF4-FFF2-40B4-BE49-F238E27FC236}">
              <a16:creationId xmlns:a16="http://schemas.microsoft.com/office/drawing/2014/main" id="{0EEB4CFF-CC5B-4F29-8875-8FE7E5502EB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8" name="TextBox 7758">
          <a:extLst>
            <a:ext uri="{FF2B5EF4-FFF2-40B4-BE49-F238E27FC236}">
              <a16:creationId xmlns:a16="http://schemas.microsoft.com/office/drawing/2014/main" id="{C84D63E4-7D20-46FC-9DED-C4395BC9373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59" name="TextBox 7759">
          <a:extLst>
            <a:ext uri="{FF2B5EF4-FFF2-40B4-BE49-F238E27FC236}">
              <a16:creationId xmlns:a16="http://schemas.microsoft.com/office/drawing/2014/main" id="{F94EA56D-05B0-43A4-908F-BB21305BF837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0" name="TextBox 13">
          <a:extLst>
            <a:ext uri="{FF2B5EF4-FFF2-40B4-BE49-F238E27FC236}">
              <a16:creationId xmlns:a16="http://schemas.microsoft.com/office/drawing/2014/main" id="{88A2AB59-899C-4D2E-AB9E-698287A9054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1" name="TextBox 14">
          <a:extLst>
            <a:ext uri="{FF2B5EF4-FFF2-40B4-BE49-F238E27FC236}">
              <a16:creationId xmlns:a16="http://schemas.microsoft.com/office/drawing/2014/main" id="{0A4D67DB-B7A0-4FA7-8A2D-38AA4C66759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2" name="TextBox 7762">
          <a:extLst>
            <a:ext uri="{FF2B5EF4-FFF2-40B4-BE49-F238E27FC236}">
              <a16:creationId xmlns:a16="http://schemas.microsoft.com/office/drawing/2014/main" id="{86A5C2FE-7F64-42FD-8221-24FFE5B2971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3" name="TextBox 7763">
          <a:extLst>
            <a:ext uri="{FF2B5EF4-FFF2-40B4-BE49-F238E27FC236}">
              <a16:creationId xmlns:a16="http://schemas.microsoft.com/office/drawing/2014/main" id="{F2A3BAE0-2CB5-43A7-A4A8-5A212A91929A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4" name="TextBox 11">
          <a:extLst>
            <a:ext uri="{FF2B5EF4-FFF2-40B4-BE49-F238E27FC236}">
              <a16:creationId xmlns:a16="http://schemas.microsoft.com/office/drawing/2014/main" id="{6D747273-0C99-4277-AB7E-58F28CBA0221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5" name="TextBox 12">
          <a:extLst>
            <a:ext uri="{FF2B5EF4-FFF2-40B4-BE49-F238E27FC236}">
              <a16:creationId xmlns:a16="http://schemas.microsoft.com/office/drawing/2014/main" id="{492CD714-5B08-4166-9C0A-8151CE9130A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6" name="TextBox 7766">
          <a:extLst>
            <a:ext uri="{FF2B5EF4-FFF2-40B4-BE49-F238E27FC236}">
              <a16:creationId xmlns:a16="http://schemas.microsoft.com/office/drawing/2014/main" id="{AD95CC94-107C-47C8-A9C0-B481044E12E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7" name="TextBox 7767">
          <a:extLst>
            <a:ext uri="{FF2B5EF4-FFF2-40B4-BE49-F238E27FC236}">
              <a16:creationId xmlns:a16="http://schemas.microsoft.com/office/drawing/2014/main" id="{FC2845F5-9BA7-44EC-B24A-2392C0F9A8F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8" name="TextBox 1">
          <a:extLst>
            <a:ext uri="{FF2B5EF4-FFF2-40B4-BE49-F238E27FC236}">
              <a16:creationId xmlns:a16="http://schemas.microsoft.com/office/drawing/2014/main" id="{4191C01F-C429-4C21-AA8C-4781C1A93F2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69" name="TextBox 3">
          <a:extLst>
            <a:ext uri="{FF2B5EF4-FFF2-40B4-BE49-F238E27FC236}">
              <a16:creationId xmlns:a16="http://schemas.microsoft.com/office/drawing/2014/main" id="{AA844C7A-5D43-4117-85AF-7C64CA100B5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0" name="TextBox 11">
          <a:extLst>
            <a:ext uri="{FF2B5EF4-FFF2-40B4-BE49-F238E27FC236}">
              <a16:creationId xmlns:a16="http://schemas.microsoft.com/office/drawing/2014/main" id="{284D4559-E34D-40C6-97D1-D18AAE6D857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1" name="TextBox 12">
          <a:extLst>
            <a:ext uri="{FF2B5EF4-FFF2-40B4-BE49-F238E27FC236}">
              <a16:creationId xmlns:a16="http://schemas.microsoft.com/office/drawing/2014/main" id="{897B031F-AFCF-4301-BFF4-ED6AB1EE0FA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2" name="TextBox 7772">
          <a:extLst>
            <a:ext uri="{FF2B5EF4-FFF2-40B4-BE49-F238E27FC236}">
              <a16:creationId xmlns:a16="http://schemas.microsoft.com/office/drawing/2014/main" id="{E789915B-A76C-41B1-9B17-43DCD9E1D10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3" name="TextBox 7773">
          <a:extLst>
            <a:ext uri="{FF2B5EF4-FFF2-40B4-BE49-F238E27FC236}">
              <a16:creationId xmlns:a16="http://schemas.microsoft.com/office/drawing/2014/main" id="{CC9705C2-938A-4F29-8FF0-C2A3579774F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4" name="TextBox 1">
          <a:extLst>
            <a:ext uri="{FF2B5EF4-FFF2-40B4-BE49-F238E27FC236}">
              <a16:creationId xmlns:a16="http://schemas.microsoft.com/office/drawing/2014/main" id="{1FB0F1E8-B950-40C5-B3F6-FCDE5690803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5" name="TextBox 3">
          <a:extLst>
            <a:ext uri="{FF2B5EF4-FFF2-40B4-BE49-F238E27FC236}">
              <a16:creationId xmlns:a16="http://schemas.microsoft.com/office/drawing/2014/main" id="{BE7A4789-4801-4615-A31B-9B31E6E0B380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6" name="TextBox 7776">
          <a:extLst>
            <a:ext uri="{FF2B5EF4-FFF2-40B4-BE49-F238E27FC236}">
              <a16:creationId xmlns:a16="http://schemas.microsoft.com/office/drawing/2014/main" id="{A324FF80-C458-4290-835D-0B08D664706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7" name="TextBox 7777">
          <a:extLst>
            <a:ext uri="{FF2B5EF4-FFF2-40B4-BE49-F238E27FC236}">
              <a16:creationId xmlns:a16="http://schemas.microsoft.com/office/drawing/2014/main" id="{685281CB-F50D-4B85-A990-AD64B7A2614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8" name="TextBox 7778">
          <a:extLst>
            <a:ext uri="{FF2B5EF4-FFF2-40B4-BE49-F238E27FC236}">
              <a16:creationId xmlns:a16="http://schemas.microsoft.com/office/drawing/2014/main" id="{990F0910-6057-4AF4-B24B-2350A25BE176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79" name="TextBox 7779">
          <a:extLst>
            <a:ext uri="{FF2B5EF4-FFF2-40B4-BE49-F238E27FC236}">
              <a16:creationId xmlns:a16="http://schemas.microsoft.com/office/drawing/2014/main" id="{3DCE0576-B17E-4A9B-8568-762A14BCE3B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0" name="TextBox 15">
          <a:extLst>
            <a:ext uri="{FF2B5EF4-FFF2-40B4-BE49-F238E27FC236}">
              <a16:creationId xmlns:a16="http://schemas.microsoft.com/office/drawing/2014/main" id="{6F5E0C1A-7905-4F5A-B530-3BD7192385FA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1" name="TextBox 16">
          <a:extLst>
            <a:ext uri="{FF2B5EF4-FFF2-40B4-BE49-F238E27FC236}">
              <a16:creationId xmlns:a16="http://schemas.microsoft.com/office/drawing/2014/main" id="{0B1D1457-3807-4944-844A-B0EBBA46E6AB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2" name="TextBox 17">
          <a:extLst>
            <a:ext uri="{FF2B5EF4-FFF2-40B4-BE49-F238E27FC236}">
              <a16:creationId xmlns:a16="http://schemas.microsoft.com/office/drawing/2014/main" id="{B18E5840-6DD9-4E51-99CA-3B625AE4EC70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3" name="TextBox 18">
          <a:extLst>
            <a:ext uri="{FF2B5EF4-FFF2-40B4-BE49-F238E27FC236}">
              <a16:creationId xmlns:a16="http://schemas.microsoft.com/office/drawing/2014/main" id="{6FBC6E9F-FE58-45D4-AFBF-2A063419DAD0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4" name="TextBox 7784">
          <a:extLst>
            <a:ext uri="{FF2B5EF4-FFF2-40B4-BE49-F238E27FC236}">
              <a16:creationId xmlns:a16="http://schemas.microsoft.com/office/drawing/2014/main" id="{C5831760-0854-4CBC-B719-356643CC3AA0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5" name="TextBox 7785">
          <a:extLst>
            <a:ext uri="{FF2B5EF4-FFF2-40B4-BE49-F238E27FC236}">
              <a16:creationId xmlns:a16="http://schemas.microsoft.com/office/drawing/2014/main" id="{4F77A52C-E095-4F18-9618-63416801466D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6" name="TextBox 1">
          <a:extLst>
            <a:ext uri="{FF2B5EF4-FFF2-40B4-BE49-F238E27FC236}">
              <a16:creationId xmlns:a16="http://schemas.microsoft.com/office/drawing/2014/main" id="{5ECEDF7F-9BA3-49AE-BBEC-960A01527957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7" name="TextBox 3">
          <a:extLst>
            <a:ext uri="{FF2B5EF4-FFF2-40B4-BE49-F238E27FC236}">
              <a16:creationId xmlns:a16="http://schemas.microsoft.com/office/drawing/2014/main" id="{0098AD3F-435C-46B1-9A6C-29D53C1470FA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8" name="TextBox 7788">
          <a:extLst>
            <a:ext uri="{FF2B5EF4-FFF2-40B4-BE49-F238E27FC236}">
              <a16:creationId xmlns:a16="http://schemas.microsoft.com/office/drawing/2014/main" id="{B0EC5574-D91E-43DA-B27C-775C7C41436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89" name="TextBox 7789">
          <a:extLst>
            <a:ext uri="{FF2B5EF4-FFF2-40B4-BE49-F238E27FC236}">
              <a16:creationId xmlns:a16="http://schemas.microsoft.com/office/drawing/2014/main" id="{7854F298-052B-4938-9706-759AE976BFDE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0" name="TextBox 7790">
          <a:extLst>
            <a:ext uri="{FF2B5EF4-FFF2-40B4-BE49-F238E27FC236}">
              <a16:creationId xmlns:a16="http://schemas.microsoft.com/office/drawing/2014/main" id="{B432142B-AFC4-4BB6-8A4A-4E6E2403E305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1" name="TextBox 7791">
          <a:extLst>
            <a:ext uri="{FF2B5EF4-FFF2-40B4-BE49-F238E27FC236}">
              <a16:creationId xmlns:a16="http://schemas.microsoft.com/office/drawing/2014/main" id="{0249ED76-8951-4933-891E-F222712924B3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2" name="TextBox 7792">
          <a:extLst>
            <a:ext uri="{FF2B5EF4-FFF2-40B4-BE49-F238E27FC236}">
              <a16:creationId xmlns:a16="http://schemas.microsoft.com/office/drawing/2014/main" id="{EB5E7C1E-328F-4A13-B4B8-45050A74B9E4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3" name="TextBox 7793">
          <a:extLst>
            <a:ext uri="{FF2B5EF4-FFF2-40B4-BE49-F238E27FC236}">
              <a16:creationId xmlns:a16="http://schemas.microsoft.com/office/drawing/2014/main" id="{4F23ABFC-EDC4-4711-AB0D-AAE03592CDC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4" name="TextBox 7794">
          <a:extLst>
            <a:ext uri="{FF2B5EF4-FFF2-40B4-BE49-F238E27FC236}">
              <a16:creationId xmlns:a16="http://schemas.microsoft.com/office/drawing/2014/main" id="{F1923F68-4934-41E9-8D10-55E80330193C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5" name="TextBox 7795">
          <a:extLst>
            <a:ext uri="{FF2B5EF4-FFF2-40B4-BE49-F238E27FC236}">
              <a16:creationId xmlns:a16="http://schemas.microsoft.com/office/drawing/2014/main" id="{BEF8F4F1-A11F-4EB1-8CE8-60FD1C865B9C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6" name="TextBox 7796">
          <a:extLst>
            <a:ext uri="{FF2B5EF4-FFF2-40B4-BE49-F238E27FC236}">
              <a16:creationId xmlns:a16="http://schemas.microsoft.com/office/drawing/2014/main" id="{B84241D5-D546-4790-A198-B95E4380D4A2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7" name="TextBox 7797">
          <a:extLst>
            <a:ext uri="{FF2B5EF4-FFF2-40B4-BE49-F238E27FC236}">
              <a16:creationId xmlns:a16="http://schemas.microsoft.com/office/drawing/2014/main" id="{87ADB867-9BC5-4091-BC16-0A99AE5787D3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8" name="TextBox 13">
          <a:extLst>
            <a:ext uri="{FF2B5EF4-FFF2-40B4-BE49-F238E27FC236}">
              <a16:creationId xmlns:a16="http://schemas.microsoft.com/office/drawing/2014/main" id="{367A40D4-844D-4FEC-B6A4-B2F732DA105F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399" name="TextBox 14">
          <a:extLst>
            <a:ext uri="{FF2B5EF4-FFF2-40B4-BE49-F238E27FC236}">
              <a16:creationId xmlns:a16="http://schemas.microsoft.com/office/drawing/2014/main" id="{83538C3B-39A0-41D6-9EAA-EA8481EA0C09}"/>
            </a:ext>
          </a:extLst>
        </xdr:cNvPr>
        <xdr:cNvSpPr txBox="1"/>
      </xdr:nvSpPr>
      <xdr:spPr>
        <a:xfrm>
          <a:off x="1909762" y="374332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0" name="TextBox 7800">
          <a:extLst>
            <a:ext uri="{FF2B5EF4-FFF2-40B4-BE49-F238E27FC236}">
              <a16:creationId xmlns:a16="http://schemas.microsoft.com/office/drawing/2014/main" id="{E4796285-7EE2-48E7-87BB-A488CA51EA4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1" name="TextBox 7801">
          <a:extLst>
            <a:ext uri="{FF2B5EF4-FFF2-40B4-BE49-F238E27FC236}">
              <a16:creationId xmlns:a16="http://schemas.microsoft.com/office/drawing/2014/main" id="{C3318BB3-C2DA-4438-8674-ED963B68C87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2" name="TextBox 7802">
          <a:extLst>
            <a:ext uri="{FF2B5EF4-FFF2-40B4-BE49-F238E27FC236}">
              <a16:creationId xmlns:a16="http://schemas.microsoft.com/office/drawing/2014/main" id="{13816BAE-E0D9-4C94-B153-CF06AF91791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3" name="TextBox 7803">
          <a:extLst>
            <a:ext uri="{FF2B5EF4-FFF2-40B4-BE49-F238E27FC236}">
              <a16:creationId xmlns:a16="http://schemas.microsoft.com/office/drawing/2014/main" id="{F81ACFEA-56E4-4081-9628-3EDD85E3D32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4" name="TextBox 15">
          <a:extLst>
            <a:ext uri="{FF2B5EF4-FFF2-40B4-BE49-F238E27FC236}">
              <a16:creationId xmlns:a16="http://schemas.microsoft.com/office/drawing/2014/main" id="{AE6F95C9-F795-466F-8D99-530ED57D1E2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5" name="TextBox 16">
          <a:extLst>
            <a:ext uri="{FF2B5EF4-FFF2-40B4-BE49-F238E27FC236}">
              <a16:creationId xmlns:a16="http://schemas.microsoft.com/office/drawing/2014/main" id="{3F39B77B-4824-40E6-9707-7E2A594B968D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6" name="TextBox 17">
          <a:extLst>
            <a:ext uri="{FF2B5EF4-FFF2-40B4-BE49-F238E27FC236}">
              <a16:creationId xmlns:a16="http://schemas.microsoft.com/office/drawing/2014/main" id="{682A4330-DD8A-4F78-8E96-88CA1A4C610B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7" name="TextBox 18">
          <a:extLst>
            <a:ext uri="{FF2B5EF4-FFF2-40B4-BE49-F238E27FC236}">
              <a16:creationId xmlns:a16="http://schemas.microsoft.com/office/drawing/2014/main" id="{9FD5F4D0-46A2-4CD6-8A90-CC336C8778C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8" name="TextBox 7808">
          <a:extLst>
            <a:ext uri="{FF2B5EF4-FFF2-40B4-BE49-F238E27FC236}">
              <a16:creationId xmlns:a16="http://schemas.microsoft.com/office/drawing/2014/main" id="{43AC28EE-9761-4CD0-8C83-7C721EDEC64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09" name="TextBox 7809">
          <a:extLst>
            <a:ext uri="{FF2B5EF4-FFF2-40B4-BE49-F238E27FC236}">
              <a16:creationId xmlns:a16="http://schemas.microsoft.com/office/drawing/2014/main" id="{87319CDA-C54E-467D-BC9A-60784487EDFE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0" name="TextBox 1">
          <a:extLst>
            <a:ext uri="{FF2B5EF4-FFF2-40B4-BE49-F238E27FC236}">
              <a16:creationId xmlns:a16="http://schemas.microsoft.com/office/drawing/2014/main" id="{8B9EF838-5D85-4439-B792-2EFC0013F48A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1" name="TextBox 3">
          <a:extLst>
            <a:ext uri="{FF2B5EF4-FFF2-40B4-BE49-F238E27FC236}">
              <a16:creationId xmlns:a16="http://schemas.microsoft.com/office/drawing/2014/main" id="{685FEFEE-BF6A-4ED9-A220-991F8A6BEB0E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2" name="TextBox 7812">
          <a:extLst>
            <a:ext uri="{FF2B5EF4-FFF2-40B4-BE49-F238E27FC236}">
              <a16:creationId xmlns:a16="http://schemas.microsoft.com/office/drawing/2014/main" id="{AB0AF2AD-E3E0-41C0-83CB-81DAF0C2C6E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3" name="TextBox 7813">
          <a:extLst>
            <a:ext uri="{FF2B5EF4-FFF2-40B4-BE49-F238E27FC236}">
              <a16:creationId xmlns:a16="http://schemas.microsoft.com/office/drawing/2014/main" id="{38502318-A00D-4B91-9E3E-034C1E3DF890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4" name="TextBox 7814">
          <a:extLst>
            <a:ext uri="{FF2B5EF4-FFF2-40B4-BE49-F238E27FC236}">
              <a16:creationId xmlns:a16="http://schemas.microsoft.com/office/drawing/2014/main" id="{617E630A-1B3D-4422-BC46-1929DE72323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5" name="TextBox 7815">
          <a:extLst>
            <a:ext uri="{FF2B5EF4-FFF2-40B4-BE49-F238E27FC236}">
              <a16:creationId xmlns:a16="http://schemas.microsoft.com/office/drawing/2014/main" id="{BF670AE0-4544-4563-B106-57827FCCD92E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6" name="TextBox 7816">
          <a:extLst>
            <a:ext uri="{FF2B5EF4-FFF2-40B4-BE49-F238E27FC236}">
              <a16:creationId xmlns:a16="http://schemas.microsoft.com/office/drawing/2014/main" id="{FEB3D48C-806A-4861-A955-D9208AB5F38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7" name="TextBox 7817">
          <a:extLst>
            <a:ext uri="{FF2B5EF4-FFF2-40B4-BE49-F238E27FC236}">
              <a16:creationId xmlns:a16="http://schemas.microsoft.com/office/drawing/2014/main" id="{9748D38B-5349-4BE0-9D7A-04CEE415A6F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8" name="TextBox 7818">
          <a:extLst>
            <a:ext uri="{FF2B5EF4-FFF2-40B4-BE49-F238E27FC236}">
              <a16:creationId xmlns:a16="http://schemas.microsoft.com/office/drawing/2014/main" id="{E8482A1E-F508-4AFE-9E40-3A7D6A410FE7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19" name="TextBox 7819">
          <a:extLst>
            <a:ext uri="{FF2B5EF4-FFF2-40B4-BE49-F238E27FC236}">
              <a16:creationId xmlns:a16="http://schemas.microsoft.com/office/drawing/2014/main" id="{B528DDFE-0ED1-47E6-800D-3311B63EB9A9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0" name="TextBox 7820">
          <a:extLst>
            <a:ext uri="{FF2B5EF4-FFF2-40B4-BE49-F238E27FC236}">
              <a16:creationId xmlns:a16="http://schemas.microsoft.com/office/drawing/2014/main" id="{64C58874-4A5C-4C9A-ADA2-07EA1866EFB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1" name="TextBox 7821">
          <a:extLst>
            <a:ext uri="{FF2B5EF4-FFF2-40B4-BE49-F238E27FC236}">
              <a16:creationId xmlns:a16="http://schemas.microsoft.com/office/drawing/2014/main" id="{89D00429-3B05-4A59-8DA5-CD2601501886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2" name="TextBox 13">
          <a:extLst>
            <a:ext uri="{FF2B5EF4-FFF2-40B4-BE49-F238E27FC236}">
              <a16:creationId xmlns:a16="http://schemas.microsoft.com/office/drawing/2014/main" id="{D9BE53C6-6EDA-40A6-8F68-8A1ECAB2C542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3" name="TextBox 14">
          <a:extLst>
            <a:ext uri="{FF2B5EF4-FFF2-40B4-BE49-F238E27FC236}">
              <a16:creationId xmlns:a16="http://schemas.microsoft.com/office/drawing/2014/main" id="{F81EF39A-E3DE-4B03-AD8C-2A6B0A3FEFE4}"/>
            </a:ext>
          </a:extLst>
        </xdr:cNvPr>
        <xdr:cNvSpPr txBox="1"/>
      </xdr:nvSpPr>
      <xdr:spPr>
        <a:xfrm>
          <a:off x="1909762" y="378237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4" name="TextBox 7824">
          <a:extLst>
            <a:ext uri="{FF2B5EF4-FFF2-40B4-BE49-F238E27FC236}">
              <a16:creationId xmlns:a16="http://schemas.microsoft.com/office/drawing/2014/main" id="{E35450CE-8205-4EE2-B00D-8FD6A7604259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5" name="TextBox 7825">
          <a:extLst>
            <a:ext uri="{FF2B5EF4-FFF2-40B4-BE49-F238E27FC236}">
              <a16:creationId xmlns:a16="http://schemas.microsoft.com/office/drawing/2014/main" id="{E2F43643-E92A-42BB-B051-8BB4F845092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6" name="TextBox 7826">
          <a:extLst>
            <a:ext uri="{FF2B5EF4-FFF2-40B4-BE49-F238E27FC236}">
              <a16:creationId xmlns:a16="http://schemas.microsoft.com/office/drawing/2014/main" id="{186CDBEB-C25E-4EE5-B3A0-A784C4468BA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7" name="TextBox 7827">
          <a:extLst>
            <a:ext uri="{FF2B5EF4-FFF2-40B4-BE49-F238E27FC236}">
              <a16:creationId xmlns:a16="http://schemas.microsoft.com/office/drawing/2014/main" id="{0B3D5450-2934-41A6-979B-3C5F2E165DA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8" name="TextBox 15">
          <a:extLst>
            <a:ext uri="{FF2B5EF4-FFF2-40B4-BE49-F238E27FC236}">
              <a16:creationId xmlns:a16="http://schemas.microsoft.com/office/drawing/2014/main" id="{9D537EFE-9458-4D52-862F-A22DFC5A30B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29" name="TextBox 16">
          <a:extLst>
            <a:ext uri="{FF2B5EF4-FFF2-40B4-BE49-F238E27FC236}">
              <a16:creationId xmlns:a16="http://schemas.microsoft.com/office/drawing/2014/main" id="{67C82232-033E-4E7A-8B28-486FE55CEF7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0" name="TextBox 17">
          <a:extLst>
            <a:ext uri="{FF2B5EF4-FFF2-40B4-BE49-F238E27FC236}">
              <a16:creationId xmlns:a16="http://schemas.microsoft.com/office/drawing/2014/main" id="{B34962FC-F3EE-43BF-B934-4364660C40A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1" name="TextBox 18">
          <a:extLst>
            <a:ext uri="{FF2B5EF4-FFF2-40B4-BE49-F238E27FC236}">
              <a16:creationId xmlns:a16="http://schemas.microsoft.com/office/drawing/2014/main" id="{9821CD4F-6D23-4971-8316-DAD3CA496EF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2" name="TextBox 7832">
          <a:extLst>
            <a:ext uri="{FF2B5EF4-FFF2-40B4-BE49-F238E27FC236}">
              <a16:creationId xmlns:a16="http://schemas.microsoft.com/office/drawing/2014/main" id="{24BCEE2F-9E16-4D88-867E-63E115BA555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3" name="TextBox 7833">
          <a:extLst>
            <a:ext uri="{FF2B5EF4-FFF2-40B4-BE49-F238E27FC236}">
              <a16:creationId xmlns:a16="http://schemas.microsoft.com/office/drawing/2014/main" id="{D21B1696-7F5B-4FF3-8D1F-BAF4D647AB7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4" name="TextBox 1">
          <a:extLst>
            <a:ext uri="{FF2B5EF4-FFF2-40B4-BE49-F238E27FC236}">
              <a16:creationId xmlns:a16="http://schemas.microsoft.com/office/drawing/2014/main" id="{D377123F-4BBF-4BDD-9C07-2A992473DCB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5" name="TextBox 3">
          <a:extLst>
            <a:ext uri="{FF2B5EF4-FFF2-40B4-BE49-F238E27FC236}">
              <a16:creationId xmlns:a16="http://schemas.microsoft.com/office/drawing/2014/main" id="{12B795E5-F21D-4E50-8BEE-A9FC2E4C2F2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6" name="TextBox 7836">
          <a:extLst>
            <a:ext uri="{FF2B5EF4-FFF2-40B4-BE49-F238E27FC236}">
              <a16:creationId xmlns:a16="http://schemas.microsoft.com/office/drawing/2014/main" id="{5AF0ECCC-D8FB-4398-9D6F-6BC30F0ED20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7" name="TextBox 7837">
          <a:extLst>
            <a:ext uri="{FF2B5EF4-FFF2-40B4-BE49-F238E27FC236}">
              <a16:creationId xmlns:a16="http://schemas.microsoft.com/office/drawing/2014/main" id="{A9AE80CD-1E4D-4E77-8E59-8CECCBF862D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8" name="TextBox 7838">
          <a:extLst>
            <a:ext uri="{FF2B5EF4-FFF2-40B4-BE49-F238E27FC236}">
              <a16:creationId xmlns:a16="http://schemas.microsoft.com/office/drawing/2014/main" id="{5C64701A-3168-4C45-892F-374FB9C78A8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39" name="TextBox 7839">
          <a:extLst>
            <a:ext uri="{FF2B5EF4-FFF2-40B4-BE49-F238E27FC236}">
              <a16:creationId xmlns:a16="http://schemas.microsoft.com/office/drawing/2014/main" id="{830D190E-9D76-405C-87F0-FC6563B6F5B1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0" name="TextBox 7840">
          <a:extLst>
            <a:ext uri="{FF2B5EF4-FFF2-40B4-BE49-F238E27FC236}">
              <a16:creationId xmlns:a16="http://schemas.microsoft.com/office/drawing/2014/main" id="{AA2B44DC-F440-4B8A-91CC-991827C4B00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1" name="TextBox 7841">
          <a:extLst>
            <a:ext uri="{FF2B5EF4-FFF2-40B4-BE49-F238E27FC236}">
              <a16:creationId xmlns:a16="http://schemas.microsoft.com/office/drawing/2014/main" id="{88D6D5FD-96CE-4C0B-9299-470CD89B861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2" name="TextBox 7842">
          <a:extLst>
            <a:ext uri="{FF2B5EF4-FFF2-40B4-BE49-F238E27FC236}">
              <a16:creationId xmlns:a16="http://schemas.microsoft.com/office/drawing/2014/main" id="{81E8DE55-26EC-41BB-985F-33C6933AC20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3" name="TextBox 7843">
          <a:extLst>
            <a:ext uri="{FF2B5EF4-FFF2-40B4-BE49-F238E27FC236}">
              <a16:creationId xmlns:a16="http://schemas.microsoft.com/office/drawing/2014/main" id="{DEFAD68C-B4F1-49D7-9DF8-782B51E9F11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4" name="TextBox 7844">
          <a:extLst>
            <a:ext uri="{FF2B5EF4-FFF2-40B4-BE49-F238E27FC236}">
              <a16:creationId xmlns:a16="http://schemas.microsoft.com/office/drawing/2014/main" id="{45075872-6024-4074-8DBF-1DEF6990AA4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5" name="TextBox 7845">
          <a:extLst>
            <a:ext uri="{FF2B5EF4-FFF2-40B4-BE49-F238E27FC236}">
              <a16:creationId xmlns:a16="http://schemas.microsoft.com/office/drawing/2014/main" id="{7AA857D5-C3F2-4217-ABC1-33CC47BB7E9C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6" name="TextBox 13">
          <a:extLst>
            <a:ext uri="{FF2B5EF4-FFF2-40B4-BE49-F238E27FC236}">
              <a16:creationId xmlns:a16="http://schemas.microsoft.com/office/drawing/2014/main" id="{5D1AF879-8C47-4E30-AD66-DAA02D99BAF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7" name="TextBox 14">
          <a:extLst>
            <a:ext uri="{FF2B5EF4-FFF2-40B4-BE49-F238E27FC236}">
              <a16:creationId xmlns:a16="http://schemas.microsoft.com/office/drawing/2014/main" id="{1ABA3ED9-9227-43E1-B4A7-48361B8FF51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8" name="TextBox 7848">
          <a:extLst>
            <a:ext uri="{FF2B5EF4-FFF2-40B4-BE49-F238E27FC236}">
              <a16:creationId xmlns:a16="http://schemas.microsoft.com/office/drawing/2014/main" id="{2D8DB028-4998-4739-A786-113599177E3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49" name="TextBox 7849">
          <a:extLst>
            <a:ext uri="{FF2B5EF4-FFF2-40B4-BE49-F238E27FC236}">
              <a16:creationId xmlns:a16="http://schemas.microsoft.com/office/drawing/2014/main" id="{69A81A48-03D0-42B4-ABFF-04943740426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0" name="TextBox 7850">
          <a:extLst>
            <a:ext uri="{FF2B5EF4-FFF2-40B4-BE49-F238E27FC236}">
              <a16:creationId xmlns:a16="http://schemas.microsoft.com/office/drawing/2014/main" id="{1417C5E2-8D6F-4A7A-A599-47D34ECB1A8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1" name="TextBox 7851">
          <a:extLst>
            <a:ext uri="{FF2B5EF4-FFF2-40B4-BE49-F238E27FC236}">
              <a16:creationId xmlns:a16="http://schemas.microsoft.com/office/drawing/2014/main" id="{DFBA9D2A-8383-4D4B-B781-6FCDA09D653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2" name="TextBox 15">
          <a:extLst>
            <a:ext uri="{FF2B5EF4-FFF2-40B4-BE49-F238E27FC236}">
              <a16:creationId xmlns:a16="http://schemas.microsoft.com/office/drawing/2014/main" id="{59CABA03-17BE-49FC-B47E-15377437080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3" name="TextBox 16">
          <a:extLst>
            <a:ext uri="{FF2B5EF4-FFF2-40B4-BE49-F238E27FC236}">
              <a16:creationId xmlns:a16="http://schemas.microsoft.com/office/drawing/2014/main" id="{DD3D23BF-92B4-43B6-8784-1B9E1084EF0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4" name="TextBox 17">
          <a:extLst>
            <a:ext uri="{FF2B5EF4-FFF2-40B4-BE49-F238E27FC236}">
              <a16:creationId xmlns:a16="http://schemas.microsoft.com/office/drawing/2014/main" id="{A8D46021-CDA6-4EE4-AD56-B2EB5E32392C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5" name="TextBox 18">
          <a:extLst>
            <a:ext uri="{FF2B5EF4-FFF2-40B4-BE49-F238E27FC236}">
              <a16:creationId xmlns:a16="http://schemas.microsoft.com/office/drawing/2014/main" id="{44086F4E-E19F-4C9F-B944-72AFAA35317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6" name="TextBox 7856">
          <a:extLst>
            <a:ext uri="{FF2B5EF4-FFF2-40B4-BE49-F238E27FC236}">
              <a16:creationId xmlns:a16="http://schemas.microsoft.com/office/drawing/2014/main" id="{42688A04-7A9C-4B36-A9D8-E5EB9502728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7" name="TextBox 7857">
          <a:extLst>
            <a:ext uri="{FF2B5EF4-FFF2-40B4-BE49-F238E27FC236}">
              <a16:creationId xmlns:a16="http://schemas.microsoft.com/office/drawing/2014/main" id="{6132FA8D-7FFA-41C5-B2D1-DD6218777FA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8" name="TextBox 1">
          <a:extLst>
            <a:ext uri="{FF2B5EF4-FFF2-40B4-BE49-F238E27FC236}">
              <a16:creationId xmlns:a16="http://schemas.microsoft.com/office/drawing/2014/main" id="{2D26D5B2-0855-418D-8596-71D90735B90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59" name="TextBox 3">
          <a:extLst>
            <a:ext uri="{FF2B5EF4-FFF2-40B4-BE49-F238E27FC236}">
              <a16:creationId xmlns:a16="http://schemas.microsoft.com/office/drawing/2014/main" id="{D3163FC7-929B-4711-9318-D1ECFF79CE41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0" name="TextBox 7860">
          <a:extLst>
            <a:ext uri="{FF2B5EF4-FFF2-40B4-BE49-F238E27FC236}">
              <a16:creationId xmlns:a16="http://schemas.microsoft.com/office/drawing/2014/main" id="{4AC4AEDE-579B-4628-8D2D-A200E9874B65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1" name="TextBox 7861">
          <a:extLst>
            <a:ext uri="{FF2B5EF4-FFF2-40B4-BE49-F238E27FC236}">
              <a16:creationId xmlns:a16="http://schemas.microsoft.com/office/drawing/2014/main" id="{7A0C2F4C-F796-4EE7-A04F-1F9D178C536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2" name="TextBox 7862">
          <a:extLst>
            <a:ext uri="{FF2B5EF4-FFF2-40B4-BE49-F238E27FC236}">
              <a16:creationId xmlns:a16="http://schemas.microsoft.com/office/drawing/2014/main" id="{84657E95-49AD-41E5-A422-71439D00758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3" name="TextBox 7863">
          <a:extLst>
            <a:ext uri="{FF2B5EF4-FFF2-40B4-BE49-F238E27FC236}">
              <a16:creationId xmlns:a16="http://schemas.microsoft.com/office/drawing/2014/main" id="{D83C3C8F-17E8-4BC3-851D-72E02B20D75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4" name="TextBox 7864">
          <a:extLst>
            <a:ext uri="{FF2B5EF4-FFF2-40B4-BE49-F238E27FC236}">
              <a16:creationId xmlns:a16="http://schemas.microsoft.com/office/drawing/2014/main" id="{291BC982-70E9-4E84-A4D3-56C4BDBA321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5" name="TextBox 7865">
          <a:extLst>
            <a:ext uri="{FF2B5EF4-FFF2-40B4-BE49-F238E27FC236}">
              <a16:creationId xmlns:a16="http://schemas.microsoft.com/office/drawing/2014/main" id="{DCCCB768-FE79-4689-8FF0-7449DD8BA80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6" name="TextBox 7866">
          <a:extLst>
            <a:ext uri="{FF2B5EF4-FFF2-40B4-BE49-F238E27FC236}">
              <a16:creationId xmlns:a16="http://schemas.microsoft.com/office/drawing/2014/main" id="{B3586A08-E784-4EE2-A356-D15573933037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7" name="TextBox 7867">
          <a:extLst>
            <a:ext uri="{FF2B5EF4-FFF2-40B4-BE49-F238E27FC236}">
              <a16:creationId xmlns:a16="http://schemas.microsoft.com/office/drawing/2014/main" id="{06D270E1-771D-40F2-81A9-B20E741D1567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8" name="TextBox 7868">
          <a:extLst>
            <a:ext uri="{FF2B5EF4-FFF2-40B4-BE49-F238E27FC236}">
              <a16:creationId xmlns:a16="http://schemas.microsoft.com/office/drawing/2014/main" id="{F8EDCD2B-51C3-442E-B374-0CEE36C5167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69" name="TextBox 7869">
          <a:extLst>
            <a:ext uri="{FF2B5EF4-FFF2-40B4-BE49-F238E27FC236}">
              <a16:creationId xmlns:a16="http://schemas.microsoft.com/office/drawing/2014/main" id="{414EB150-C660-4914-8234-1B9F300E5BB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0" name="TextBox 13">
          <a:extLst>
            <a:ext uri="{FF2B5EF4-FFF2-40B4-BE49-F238E27FC236}">
              <a16:creationId xmlns:a16="http://schemas.microsoft.com/office/drawing/2014/main" id="{71C30C54-9D30-496D-B78C-E41F67E31D6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1" name="TextBox 14">
          <a:extLst>
            <a:ext uri="{FF2B5EF4-FFF2-40B4-BE49-F238E27FC236}">
              <a16:creationId xmlns:a16="http://schemas.microsoft.com/office/drawing/2014/main" id="{95B54FF9-8B9F-46EB-8453-5BB61AA86739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2" name="TextBox 7872">
          <a:extLst>
            <a:ext uri="{FF2B5EF4-FFF2-40B4-BE49-F238E27FC236}">
              <a16:creationId xmlns:a16="http://schemas.microsoft.com/office/drawing/2014/main" id="{4DA71814-E7DF-4ED6-B2AA-CE51C09A0F1B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3" name="TextBox 7873">
          <a:extLst>
            <a:ext uri="{FF2B5EF4-FFF2-40B4-BE49-F238E27FC236}">
              <a16:creationId xmlns:a16="http://schemas.microsoft.com/office/drawing/2014/main" id="{B06569B8-5D1A-4E75-8ABC-6645547E5C33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4" name="TextBox 7874">
          <a:extLst>
            <a:ext uri="{FF2B5EF4-FFF2-40B4-BE49-F238E27FC236}">
              <a16:creationId xmlns:a16="http://schemas.microsoft.com/office/drawing/2014/main" id="{7C5B2D8D-6042-4D35-A1EC-D77FD53960B1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5" name="TextBox 7875">
          <a:extLst>
            <a:ext uri="{FF2B5EF4-FFF2-40B4-BE49-F238E27FC236}">
              <a16:creationId xmlns:a16="http://schemas.microsoft.com/office/drawing/2014/main" id="{0E59F5A3-089F-469D-A0C0-2A4194BE9C1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6" name="TextBox 15">
          <a:extLst>
            <a:ext uri="{FF2B5EF4-FFF2-40B4-BE49-F238E27FC236}">
              <a16:creationId xmlns:a16="http://schemas.microsoft.com/office/drawing/2014/main" id="{2548E5DE-019B-4B5C-B203-2DADD4B8A329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7" name="TextBox 16">
          <a:extLst>
            <a:ext uri="{FF2B5EF4-FFF2-40B4-BE49-F238E27FC236}">
              <a16:creationId xmlns:a16="http://schemas.microsoft.com/office/drawing/2014/main" id="{28137038-85E5-4179-9DE7-71BD989DB68D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8" name="TextBox 17">
          <a:extLst>
            <a:ext uri="{FF2B5EF4-FFF2-40B4-BE49-F238E27FC236}">
              <a16:creationId xmlns:a16="http://schemas.microsoft.com/office/drawing/2014/main" id="{2E1FB1BC-7ABE-4C41-A355-4C51F107F16B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79" name="TextBox 18">
          <a:extLst>
            <a:ext uri="{FF2B5EF4-FFF2-40B4-BE49-F238E27FC236}">
              <a16:creationId xmlns:a16="http://schemas.microsoft.com/office/drawing/2014/main" id="{925162C1-0872-4219-B5E8-FB54D22FD175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0" name="TextBox 7880">
          <a:extLst>
            <a:ext uri="{FF2B5EF4-FFF2-40B4-BE49-F238E27FC236}">
              <a16:creationId xmlns:a16="http://schemas.microsoft.com/office/drawing/2014/main" id="{A8823931-4A58-4CBA-8744-9F85A4A9B7C7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1" name="TextBox 7881">
          <a:extLst>
            <a:ext uri="{FF2B5EF4-FFF2-40B4-BE49-F238E27FC236}">
              <a16:creationId xmlns:a16="http://schemas.microsoft.com/office/drawing/2014/main" id="{897816BE-C391-4CF6-BFE4-51E2AA49449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2" name="TextBox 1">
          <a:extLst>
            <a:ext uri="{FF2B5EF4-FFF2-40B4-BE49-F238E27FC236}">
              <a16:creationId xmlns:a16="http://schemas.microsoft.com/office/drawing/2014/main" id="{570F0DE4-3CEA-4611-AB51-C991D71D5DD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3" name="TextBox 3">
          <a:extLst>
            <a:ext uri="{FF2B5EF4-FFF2-40B4-BE49-F238E27FC236}">
              <a16:creationId xmlns:a16="http://schemas.microsoft.com/office/drawing/2014/main" id="{3989FB52-D317-4237-A6E0-478DDA2F5AA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4" name="TextBox 7884">
          <a:extLst>
            <a:ext uri="{FF2B5EF4-FFF2-40B4-BE49-F238E27FC236}">
              <a16:creationId xmlns:a16="http://schemas.microsoft.com/office/drawing/2014/main" id="{0A357E84-737A-4917-BC1D-652D9B96BD6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5" name="TextBox 7885">
          <a:extLst>
            <a:ext uri="{FF2B5EF4-FFF2-40B4-BE49-F238E27FC236}">
              <a16:creationId xmlns:a16="http://schemas.microsoft.com/office/drawing/2014/main" id="{528F2889-6C8A-47A0-8EED-8A52587FE7E8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6" name="TextBox 7886">
          <a:extLst>
            <a:ext uri="{FF2B5EF4-FFF2-40B4-BE49-F238E27FC236}">
              <a16:creationId xmlns:a16="http://schemas.microsoft.com/office/drawing/2014/main" id="{A0242837-AC5C-407F-B418-A865CC8975E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7" name="TextBox 7887">
          <a:extLst>
            <a:ext uri="{FF2B5EF4-FFF2-40B4-BE49-F238E27FC236}">
              <a16:creationId xmlns:a16="http://schemas.microsoft.com/office/drawing/2014/main" id="{B02EADA8-372B-406E-B91E-55F1DD579B1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8" name="TextBox 7888">
          <a:extLst>
            <a:ext uri="{FF2B5EF4-FFF2-40B4-BE49-F238E27FC236}">
              <a16:creationId xmlns:a16="http://schemas.microsoft.com/office/drawing/2014/main" id="{C6583325-8C6D-479F-BD8A-318E00386F29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89" name="TextBox 7889">
          <a:extLst>
            <a:ext uri="{FF2B5EF4-FFF2-40B4-BE49-F238E27FC236}">
              <a16:creationId xmlns:a16="http://schemas.microsoft.com/office/drawing/2014/main" id="{EB50952E-D0D8-4636-B3D9-F745B70A62E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0" name="TextBox 7890">
          <a:extLst>
            <a:ext uri="{FF2B5EF4-FFF2-40B4-BE49-F238E27FC236}">
              <a16:creationId xmlns:a16="http://schemas.microsoft.com/office/drawing/2014/main" id="{478E2467-5F7A-4CF5-9988-BC7E57152A8C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1" name="TextBox 7891">
          <a:extLst>
            <a:ext uri="{FF2B5EF4-FFF2-40B4-BE49-F238E27FC236}">
              <a16:creationId xmlns:a16="http://schemas.microsoft.com/office/drawing/2014/main" id="{9DD65518-B09E-4F77-A55B-FA5E23233AC6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2" name="TextBox 7892">
          <a:extLst>
            <a:ext uri="{FF2B5EF4-FFF2-40B4-BE49-F238E27FC236}">
              <a16:creationId xmlns:a16="http://schemas.microsoft.com/office/drawing/2014/main" id="{4DD4DB59-0EAE-404E-91B9-78C672765C42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3" name="TextBox 7893">
          <a:extLst>
            <a:ext uri="{FF2B5EF4-FFF2-40B4-BE49-F238E27FC236}">
              <a16:creationId xmlns:a16="http://schemas.microsoft.com/office/drawing/2014/main" id="{B76CAF8B-E26C-4843-9087-AD4861070C20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4" name="TextBox 13">
          <a:extLst>
            <a:ext uri="{FF2B5EF4-FFF2-40B4-BE49-F238E27FC236}">
              <a16:creationId xmlns:a16="http://schemas.microsoft.com/office/drawing/2014/main" id="{4F31B35A-5016-454F-B12E-C3323E616DD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5" name="TextBox 14">
          <a:extLst>
            <a:ext uri="{FF2B5EF4-FFF2-40B4-BE49-F238E27FC236}">
              <a16:creationId xmlns:a16="http://schemas.microsoft.com/office/drawing/2014/main" id="{FBE4125C-C079-41ED-9B48-0D6C63CC594F}"/>
            </a:ext>
          </a:extLst>
        </xdr:cNvPr>
        <xdr:cNvSpPr txBox="1"/>
      </xdr:nvSpPr>
      <xdr:spPr>
        <a:xfrm>
          <a:off x="1909762" y="382143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6" name="TextBox 7896">
          <a:extLst>
            <a:ext uri="{FF2B5EF4-FFF2-40B4-BE49-F238E27FC236}">
              <a16:creationId xmlns:a16="http://schemas.microsoft.com/office/drawing/2014/main" id="{80B8D6F8-272C-4451-B47A-2FCDD90ECAE1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7" name="TextBox 7897">
          <a:extLst>
            <a:ext uri="{FF2B5EF4-FFF2-40B4-BE49-F238E27FC236}">
              <a16:creationId xmlns:a16="http://schemas.microsoft.com/office/drawing/2014/main" id="{ACEFC6EA-4B25-453E-BE45-A61981BF01F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8" name="TextBox 7898">
          <a:extLst>
            <a:ext uri="{FF2B5EF4-FFF2-40B4-BE49-F238E27FC236}">
              <a16:creationId xmlns:a16="http://schemas.microsoft.com/office/drawing/2014/main" id="{7033F277-E69F-4507-AA0F-140E2D81D5C4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499" name="TextBox 7899">
          <a:extLst>
            <a:ext uri="{FF2B5EF4-FFF2-40B4-BE49-F238E27FC236}">
              <a16:creationId xmlns:a16="http://schemas.microsoft.com/office/drawing/2014/main" id="{925BD122-EA2E-43EF-8864-B3F88D957CE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0" name="TextBox 15">
          <a:extLst>
            <a:ext uri="{FF2B5EF4-FFF2-40B4-BE49-F238E27FC236}">
              <a16:creationId xmlns:a16="http://schemas.microsoft.com/office/drawing/2014/main" id="{0BE058E4-8472-4F8A-AFF4-84C325DED22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1" name="TextBox 16">
          <a:extLst>
            <a:ext uri="{FF2B5EF4-FFF2-40B4-BE49-F238E27FC236}">
              <a16:creationId xmlns:a16="http://schemas.microsoft.com/office/drawing/2014/main" id="{00F91FDB-C816-4E03-A851-BEA04CC6033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2" name="TextBox 17">
          <a:extLst>
            <a:ext uri="{FF2B5EF4-FFF2-40B4-BE49-F238E27FC236}">
              <a16:creationId xmlns:a16="http://schemas.microsoft.com/office/drawing/2014/main" id="{7F4A8986-BC8F-4C10-AC7B-121900F5C8E1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3" name="TextBox 18">
          <a:extLst>
            <a:ext uri="{FF2B5EF4-FFF2-40B4-BE49-F238E27FC236}">
              <a16:creationId xmlns:a16="http://schemas.microsoft.com/office/drawing/2014/main" id="{6574EFF5-5A70-42D5-AAEF-DD651DAF4C5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4" name="TextBox 7904">
          <a:extLst>
            <a:ext uri="{FF2B5EF4-FFF2-40B4-BE49-F238E27FC236}">
              <a16:creationId xmlns:a16="http://schemas.microsoft.com/office/drawing/2014/main" id="{5DB0CFF4-D005-45C0-AB8C-82C53A087F2C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5" name="TextBox 7905">
          <a:extLst>
            <a:ext uri="{FF2B5EF4-FFF2-40B4-BE49-F238E27FC236}">
              <a16:creationId xmlns:a16="http://schemas.microsoft.com/office/drawing/2014/main" id="{71442410-823C-44C2-94BF-BDD3A80FD23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6" name="TextBox 1">
          <a:extLst>
            <a:ext uri="{FF2B5EF4-FFF2-40B4-BE49-F238E27FC236}">
              <a16:creationId xmlns:a16="http://schemas.microsoft.com/office/drawing/2014/main" id="{8F6FECDA-2077-4BDE-9239-4EFA1CEC6547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7" name="TextBox 3">
          <a:extLst>
            <a:ext uri="{FF2B5EF4-FFF2-40B4-BE49-F238E27FC236}">
              <a16:creationId xmlns:a16="http://schemas.microsoft.com/office/drawing/2014/main" id="{EF72304B-FE07-45FC-A600-A89EB53A25F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8" name="TextBox 7908">
          <a:extLst>
            <a:ext uri="{FF2B5EF4-FFF2-40B4-BE49-F238E27FC236}">
              <a16:creationId xmlns:a16="http://schemas.microsoft.com/office/drawing/2014/main" id="{903EA71C-3E28-4FAC-8B86-414E91217E6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09" name="TextBox 7909">
          <a:extLst>
            <a:ext uri="{FF2B5EF4-FFF2-40B4-BE49-F238E27FC236}">
              <a16:creationId xmlns:a16="http://schemas.microsoft.com/office/drawing/2014/main" id="{A0A816F7-5771-44F0-BF06-7E1593CAFDD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0" name="TextBox 7910">
          <a:extLst>
            <a:ext uri="{FF2B5EF4-FFF2-40B4-BE49-F238E27FC236}">
              <a16:creationId xmlns:a16="http://schemas.microsoft.com/office/drawing/2014/main" id="{F835F2D0-29D4-46DE-AC3F-E1BD9277F445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1" name="TextBox 7911">
          <a:extLst>
            <a:ext uri="{FF2B5EF4-FFF2-40B4-BE49-F238E27FC236}">
              <a16:creationId xmlns:a16="http://schemas.microsoft.com/office/drawing/2014/main" id="{84050A0B-D84C-477B-92AD-90FC1B91F8F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2" name="TextBox 7912">
          <a:extLst>
            <a:ext uri="{FF2B5EF4-FFF2-40B4-BE49-F238E27FC236}">
              <a16:creationId xmlns:a16="http://schemas.microsoft.com/office/drawing/2014/main" id="{86B058CA-0FEE-4B11-A0BA-32F3CDC27D5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3" name="TextBox 7913">
          <a:extLst>
            <a:ext uri="{FF2B5EF4-FFF2-40B4-BE49-F238E27FC236}">
              <a16:creationId xmlns:a16="http://schemas.microsoft.com/office/drawing/2014/main" id="{AF41FCE5-54A8-4F34-B7B0-8172CAF0B47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4" name="TextBox 7914">
          <a:extLst>
            <a:ext uri="{FF2B5EF4-FFF2-40B4-BE49-F238E27FC236}">
              <a16:creationId xmlns:a16="http://schemas.microsoft.com/office/drawing/2014/main" id="{8993BD51-B403-404C-889F-F29FD6AF906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5" name="TextBox 7915">
          <a:extLst>
            <a:ext uri="{FF2B5EF4-FFF2-40B4-BE49-F238E27FC236}">
              <a16:creationId xmlns:a16="http://schemas.microsoft.com/office/drawing/2014/main" id="{56F5AC4B-DABA-424C-9024-17AC1325BDFE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6" name="TextBox 7916">
          <a:extLst>
            <a:ext uri="{FF2B5EF4-FFF2-40B4-BE49-F238E27FC236}">
              <a16:creationId xmlns:a16="http://schemas.microsoft.com/office/drawing/2014/main" id="{A79201D0-76A8-445C-859B-40027B82E7E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7" name="TextBox 7917">
          <a:extLst>
            <a:ext uri="{FF2B5EF4-FFF2-40B4-BE49-F238E27FC236}">
              <a16:creationId xmlns:a16="http://schemas.microsoft.com/office/drawing/2014/main" id="{2A2D6311-9B55-4500-A411-7A6B470C14A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8" name="TextBox 13">
          <a:extLst>
            <a:ext uri="{FF2B5EF4-FFF2-40B4-BE49-F238E27FC236}">
              <a16:creationId xmlns:a16="http://schemas.microsoft.com/office/drawing/2014/main" id="{B6FD2A32-C5E7-42C4-8EC1-111B552884B9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19" name="TextBox 14">
          <a:extLst>
            <a:ext uri="{FF2B5EF4-FFF2-40B4-BE49-F238E27FC236}">
              <a16:creationId xmlns:a16="http://schemas.microsoft.com/office/drawing/2014/main" id="{E946A202-57F4-4D34-8C7F-A9F94794721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0" name="TextBox 7920">
          <a:extLst>
            <a:ext uri="{FF2B5EF4-FFF2-40B4-BE49-F238E27FC236}">
              <a16:creationId xmlns:a16="http://schemas.microsoft.com/office/drawing/2014/main" id="{DDA75CD6-7300-40D7-A706-8CB5D6B18DA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1" name="TextBox 7921">
          <a:extLst>
            <a:ext uri="{FF2B5EF4-FFF2-40B4-BE49-F238E27FC236}">
              <a16:creationId xmlns:a16="http://schemas.microsoft.com/office/drawing/2014/main" id="{ECA95619-95C1-4B28-8457-77DA2B48503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2" name="TextBox 7922">
          <a:extLst>
            <a:ext uri="{FF2B5EF4-FFF2-40B4-BE49-F238E27FC236}">
              <a16:creationId xmlns:a16="http://schemas.microsoft.com/office/drawing/2014/main" id="{F1A9552B-1E9F-4BBB-8656-DC57D678A0F8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3" name="TextBox 7923">
          <a:extLst>
            <a:ext uri="{FF2B5EF4-FFF2-40B4-BE49-F238E27FC236}">
              <a16:creationId xmlns:a16="http://schemas.microsoft.com/office/drawing/2014/main" id="{6907FD87-1D8A-47B6-AA39-190FBA4AF88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4" name="TextBox 15">
          <a:extLst>
            <a:ext uri="{FF2B5EF4-FFF2-40B4-BE49-F238E27FC236}">
              <a16:creationId xmlns:a16="http://schemas.microsoft.com/office/drawing/2014/main" id="{57BE7502-6BA3-4399-8986-3A8D9D85C40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5" name="TextBox 16">
          <a:extLst>
            <a:ext uri="{FF2B5EF4-FFF2-40B4-BE49-F238E27FC236}">
              <a16:creationId xmlns:a16="http://schemas.microsoft.com/office/drawing/2014/main" id="{2F3731D5-A852-4308-8BB7-559A56C16020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6" name="TextBox 17">
          <a:extLst>
            <a:ext uri="{FF2B5EF4-FFF2-40B4-BE49-F238E27FC236}">
              <a16:creationId xmlns:a16="http://schemas.microsoft.com/office/drawing/2014/main" id="{F716A542-6461-44F3-BD97-1C52A47E56C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7" name="TextBox 18">
          <a:extLst>
            <a:ext uri="{FF2B5EF4-FFF2-40B4-BE49-F238E27FC236}">
              <a16:creationId xmlns:a16="http://schemas.microsoft.com/office/drawing/2014/main" id="{0ECECFC4-E585-4E6D-8415-E63F41000C51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8" name="TextBox 7928">
          <a:extLst>
            <a:ext uri="{FF2B5EF4-FFF2-40B4-BE49-F238E27FC236}">
              <a16:creationId xmlns:a16="http://schemas.microsoft.com/office/drawing/2014/main" id="{EA89B61B-FB4E-4EC3-B211-49507BF6B6E9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29" name="TextBox 7929">
          <a:extLst>
            <a:ext uri="{FF2B5EF4-FFF2-40B4-BE49-F238E27FC236}">
              <a16:creationId xmlns:a16="http://schemas.microsoft.com/office/drawing/2014/main" id="{8C823B3F-CC0F-4087-ADDA-0F34C42F0331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0" name="TextBox 1">
          <a:extLst>
            <a:ext uri="{FF2B5EF4-FFF2-40B4-BE49-F238E27FC236}">
              <a16:creationId xmlns:a16="http://schemas.microsoft.com/office/drawing/2014/main" id="{7DF9B939-1E31-4F01-8C0F-5DE010830FA9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1" name="TextBox 3">
          <a:extLst>
            <a:ext uri="{FF2B5EF4-FFF2-40B4-BE49-F238E27FC236}">
              <a16:creationId xmlns:a16="http://schemas.microsoft.com/office/drawing/2014/main" id="{3A493013-AD4B-4D19-B5FC-EC165DA1519A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2" name="TextBox 7932">
          <a:extLst>
            <a:ext uri="{FF2B5EF4-FFF2-40B4-BE49-F238E27FC236}">
              <a16:creationId xmlns:a16="http://schemas.microsoft.com/office/drawing/2014/main" id="{168CEF5F-FBFD-413C-8CB3-A61716F4AEF2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3" name="TextBox 7933">
          <a:extLst>
            <a:ext uri="{FF2B5EF4-FFF2-40B4-BE49-F238E27FC236}">
              <a16:creationId xmlns:a16="http://schemas.microsoft.com/office/drawing/2014/main" id="{70CB0C1A-CBF9-4844-ADE3-FEE273F42A7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4" name="TextBox 7934">
          <a:extLst>
            <a:ext uri="{FF2B5EF4-FFF2-40B4-BE49-F238E27FC236}">
              <a16:creationId xmlns:a16="http://schemas.microsoft.com/office/drawing/2014/main" id="{663B3C8F-EA66-4B7A-82E5-8BA6074AA36F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5" name="TextBox 7935">
          <a:extLst>
            <a:ext uri="{FF2B5EF4-FFF2-40B4-BE49-F238E27FC236}">
              <a16:creationId xmlns:a16="http://schemas.microsoft.com/office/drawing/2014/main" id="{FCB1FFD9-5C7B-411F-985B-3CD72B01051C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6" name="TextBox 7936">
          <a:extLst>
            <a:ext uri="{FF2B5EF4-FFF2-40B4-BE49-F238E27FC236}">
              <a16:creationId xmlns:a16="http://schemas.microsoft.com/office/drawing/2014/main" id="{81E9468E-357E-4E8D-8264-1822F531763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7" name="TextBox 7937">
          <a:extLst>
            <a:ext uri="{FF2B5EF4-FFF2-40B4-BE49-F238E27FC236}">
              <a16:creationId xmlns:a16="http://schemas.microsoft.com/office/drawing/2014/main" id="{35047A8D-7206-4CAE-9D88-F65FE81D840D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8" name="TextBox 7938">
          <a:extLst>
            <a:ext uri="{FF2B5EF4-FFF2-40B4-BE49-F238E27FC236}">
              <a16:creationId xmlns:a16="http://schemas.microsoft.com/office/drawing/2014/main" id="{E908936C-C386-40D8-A1AF-868F392C922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39" name="TextBox 7939">
          <a:extLst>
            <a:ext uri="{FF2B5EF4-FFF2-40B4-BE49-F238E27FC236}">
              <a16:creationId xmlns:a16="http://schemas.microsoft.com/office/drawing/2014/main" id="{0E4CF827-8BAD-49AD-99B6-E68B5EF606B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0" name="TextBox 7940">
          <a:extLst>
            <a:ext uri="{FF2B5EF4-FFF2-40B4-BE49-F238E27FC236}">
              <a16:creationId xmlns:a16="http://schemas.microsoft.com/office/drawing/2014/main" id="{E68CA042-D1DF-406F-8728-F8D00E75C07B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1" name="TextBox 7941">
          <a:extLst>
            <a:ext uri="{FF2B5EF4-FFF2-40B4-BE49-F238E27FC236}">
              <a16:creationId xmlns:a16="http://schemas.microsoft.com/office/drawing/2014/main" id="{0E806E8F-CBA9-40D7-B0B0-24829ED5B8E6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2" name="TextBox 13">
          <a:extLst>
            <a:ext uri="{FF2B5EF4-FFF2-40B4-BE49-F238E27FC236}">
              <a16:creationId xmlns:a16="http://schemas.microsoft.com/office/drawing/2014/main" id="{46FFA236-50AA-43DA-B71C-8DCF93571B93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3" name="TextBox 14">
          <a:extLst>
            <a:ext uri="{FF2B5EF4-FFF2-40B4-BE49-F238E27FC236}">
              <a16:creationId xmlns:a16="http://schemas.microsoft.com/office/drawing/2014/main" id="{2F61D230-B41F-412D-97DF-480580653054}"/>
            </a:ext>
          </a:extLst>
        </xdr:cNvPr>
        <xdr:cNvSpPr txBox="1"/>
      </xdr:nvSpPr>
      <xdr:spPr>
        <a:xfrm>
          <a:off x="1909762" y="386048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4" name="TextBox 7944">
          <a:extLst>
            <a:ext uri="{FF2B5EF4-FFF2-40B4-BE49-F238E27FC236}">
              <a16:creationId xmlns:a16="http://schemas.microsoft.com/office/drawing/2014/main" id="{6E01210C-29BB-4A82-8781-0E09B85B509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5" name="TextBox 7945">
          <a:extLst>
            <a:ext uri="{FF2B5EF4-FFF2-40B4-BE49-F238E27FC236}">
              <a16:creationId xmlns:a16="http://schemas.microsoft.com/office/drawing/2014/main" id="{126B3DAB-6460-4B05-B017-28A51214871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6" name="TextBox 7946">
          <a:extLst>
            <a:ext uri="{FF2B5EF4-FFF2-40B4-BE49-F238E27FC236}">
              <a16:creationId xmlns:a16="http://schemas.microsoft.com/office/drawing/2014/main" id="{D5D3D1DB-26F5-4D09-901B-617B8E9AA886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7" name="TextBox 7947">
          <a:extLst>
            <a:ext uri="{FF2B5EF4-FFF2-40B4-BE49-F238E27FC236}">
              <a16:creationId xmlns:a16="http://schemas.microsoft.com/office/drawing/2014/main" id="{AE8CFA3A-31AD-4534-A39A-A003C607C51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8" name="TextBox 15">
          <a:extLst>
            <a:ext uri="{FF2B5EF4-FFF2-40B4-BE49-F238E27FC236}">
              <a16:creationId xmlns:a16="http://schemas.microsoft.com/office/drawing/2014/main" id="{00B33596-5B0E-496B-ABA2-CAE042E0D0A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49" name="TextBox 16">
          <a:extLst>
            <a:ext uri="{FF2B5EF4-FFF2-40B4-BE49-F238E27FC236}">
              <a16:creationId xmlns:a16="http://schemas.microsoft.com/office/drawing/2014/main" id="{CD69C252-112C-4F12-AD96-E58ED076F3E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0" name="TextBox 17">
          <a:extLst>
            <a:ext uri="{FF2B5EF4-FFF2-40B4-BE49-F238E27FC236}">
              <a16:creationId xmlns:a16="http://schemas.microsoft.com/office/drawing/2014/main" id="{62000857-9CC8-4FDB-8E4F-68A870279B1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1" name="TextBox 18">
          <a:extLst>
            <a:ext uri="{FF2B5EF4-FFF2-40B4-BE49-F238E27FC236}">
              <a16:creationId xmlns:a16="http://schemas.microsoft.com/office/drawing/2014/main" id="{C20EC833-6325-47AB-8609-AAE13FFB589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2" name="TextBox 7952">
          <a:extLst>
            <a:ext uri="{FF2B5EF4-FFF2-40B4-BE49-F238E27FC236}">
              <a16:creationId xmlns:a16="http://schemas.microsoft.com/office/drawing/2014/main" id="{CF497601-E2C8-4E7A-9F94-335089FEAD9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3" name="TextBox 7953">
          <a:extLst>
            <a:ext uri="{FF2B5EF4-FFF2-40B4-BE49-F238E27FC236}">
              <a16:creationId xmlns:a16="http://schemas.microsoft.com/office/drawing/2014/main" id="{249C08D6-ACEF-4B56-B4CE-C6D8457B928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4" name="TextBox 1">
          <a:extLst>
            <a:ext uri="{FF2B5EF4-FFF2-40B4-BE49-F238E27FC236}">
              <a16:creationId xmlns:a16="http://schemas.microsoft.com/office/drawing/2014/main" id="{08E9EB56-5D59-4DBC-AD5F-198028E622E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5" name="TextBox 3">
          <a:extLst>
            <a:ext uri="{FF2B5EF4-FFF2-40B4-BE49-F238E27FC236}">
              <a16:creationId xmlns:a16="http://schemas.microsoft.com/office/drawing/2014/main" id="{57C9E23E-E3A3-498A-8A78-64CA7012392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6" name="TextBox 7956">
          <a:extLst>
            <a:ext uri="{FF2B5EF4-FFF2-40B4-BE49-F238E27FC236}">
              <a16:creationId xmlns:a16="http://schemas.microsoft.com/office/drawing/2014/main" id="{15A22FBD-C78A-484A-8399-35B14F1BBB4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7" name="TextBox 7957">
          <a:extLst>
            <a:ext uri="{FF2B5EF4-FFF2-40B4-BE49-F238E27FC236}">
              <a16:creationId xmlns:a16="http://schemas.microsoft.com/office/drawing/2014/main" id="{EE2B7066-9223-469A-BD90-7709797EA12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8" name="TextBox 7958">
          <a:extLst>
            <a:ext uri="{FF2B5EF4-FFF2-40B4-BE49-F238E27FC236}">
              <a16:creationId xmlns:a16="http://schemas.microsoft.com/office/drawing/2014/main" id="{49923DB3-10DF-4BC6-B78F-3B50457FC9E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59" name="TextBox 7959">
          <a:extLst>
            <a:ext uri="{FF2B5EF4-FFF2-40B4-BE49-F238E27FC236}">
              <a16:creationId xmlns:a16="http://schemas.microsoft.com/office/drawing/2014/main" id="{E3D01E5E-30AC-4479-80C4-14CD8FB5BBD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0" name="TextBox 7960">
          <a:extLst>
            <a:ext uri="{FF2B5EF4-FFF2-40B4-BE49-F238E27FC236}">
              <a16:creationId xmlns:a16="http://schemas.microsoft.com/office/drawing/2014/main" id="{C99CED63-29FC-4A5C-BE78-0CB85D2B46E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1" name="TextBox 7961">
          <a:extLst>
            <a:ext uri="{FF2B5EF4-FFF2-40B4-BE49-F238E27FC236}">
              <a16:creationId xmlns:a16="http://schemas.microsoft.com/office/drawing/2014/main" id="{3D1A3D70-A623-4E34-A4CD-C692426E709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2" name="TextBox 7962">
          <a:extLst>
            <a:ext uri="{FF2B5EF4-FFF2-40B4-BE49-F238E27FC236}">
              <a16:creationId xmlns:a16="http://schemas.microsoft.com/office/drawing/2014/main" id="{66BDBB02-2AFA-4F9D-9E61-BE2C984095F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3" name="TextBox 7963">
          <a:extLst>
            <a:ext uri="{FF2B5EF4-FFF2-40B4-BE49-F238E27FC236}">
              <a16:creationId xmlns:a16="http://schemas.microsoft.com/office/drawing/2014/main" id="{7161D823-B043-4C8F-90A3-2169D8D448D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4" name="TextBox 7964">
          <a:extLst>
            <a:ext uri="{FF2B5EF4-FFF2-40B4-BE49-F238E27FC236}">
              <a16:creationId xmlns:a16="http://schemas.microsoft.com/office/drawing/2014/main" id="{F0142F54-64DA-47E4-B253-2A6E878BA4C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5" name="TextBox 7965">
          <a:extLst>
            <a:ext uri="{FF2B5EF4-FFF2-40B4-BE49-F238E27FC236}">
              <a16:creationId xmlns:a16="http://schemas.microsoft.com/office/drawing/2014/main" id="{3C21AE9D-6BD9-42AD-8161-75294470624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6" name="TextBox 13">
          <a:extLst>
            <a:ext uri="{FF2B5EF4-FFF2-40B4-BE49-F238E27FC236}">
              <a16:creationId xmlns:a16="http://schemas.microsoft.com/office/drawing/2014/main" id="{6AF6474E-158D-4B95-99EE-F8376AD6456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7" name="TextBox 14">
          <a:extLst>
            <a:ext uri="{FF2B5EF4-FFF2-40B4-BE49-F238E27FC236}">
              <a16:creationId xmlns:a16="http://schemas.microsoft.com/office/drawing/2014/main" id="{79CD1859-EF87-4A52-8FAB-61D53A9E627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8" name="TextBox 7968">
          <a:extLst>
            <a:ext uri="{FF2B5EF4-FFF2-40B4-BE49-F238E27FC236}">
              <a16:creationId xmlns:a16="http://schemas.microsoft.com/office/drawing/2014/main" id="{058917DA-A789-4E87-BD93-22B8B6F5924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69" name="TextBox 7969">
          <a:extLst>
            <a:ext uri="{FF2B5EF4-FFF2-40B4-BE49-F238E27FC236}">
              <a16:creationId xmlns:a16="http://schemas.microsoft.com/office/drawing/2014/main" id="{E7585BDB-E126-4CBF-A1DC-B01BCE345ED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0" name="TextBox 7970">
          <a:extLst>
            <a:ext uri="{FF2B5EF4-FFF2-40B4-BE49-F238E27FC236}">
              <a16:creationId xmlns:a16="http://schemas.microsoft.com/office/drawing/2014/main" id="{62672B78-E63F-461A-9A8B-825513547FA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1" name="TextBox 7971">
          <a:extLst>
            <a:ext uri="{FF2B5EF4-FFF2-40B4-BE49-F238E27FC236}">
              <a16:creationId xmlns:a16="http://schemas.microsoft.com/office/drawing/2014/main" id="{AAEF97A6-9CE6-4E44-B907-BBD057823C9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2" name="TextBox 15">
          <a:extLst>
            <a:ext uri="{FF2B5EF4-FFF2-40B4-BE49-F238E27FC236}">
              <a16:creationId xmlns:a16="http://schemas.microsoft.com/office/drawing/2014/main" id="{FB67955C-14C8-4C03-904F-02DEBD5832B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3" name="TextBox 16">
          <a:extLst>
            <a:ext uri="{FF2B5EF4-FFF2-40B4-BE49-F238E27FC236}">
              <a16:creationId xmlns:a16="http://schemas.microsoft.com/office/drawing/2014/main" id="{6C455D5F-86F4-4AA5-80C4-F3270CD96B7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4" name="TextBox 17">
          <a:extLst>
            <a:ext uri="{FF2B5EF4-FFF2-40B4-BE49-F238E27FC236}">
              <a16:creationId xmlns:a16="http://schemas.microsoft.com/office/drawing/2014/main" id="{E52FF85E-243A-4B1F-996B-FFEA3B96050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5" name="TextBox 18">
          <a:extLst>
            <a:ext uri="{FF2B5EF4-FFF2-40B4-BE49-F238E27FC236}">
              <a16:creationId xmlns:a16="http://schemas.microsoft.com/office/drawing/2014/main" id="{04B4428A-0E06-4A61-8867-570A46C84C5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6" name="TextBox 7976">
          <a:extLst>
            <a:ext uri="{FF2B5EF4-FFF2-40B4-BE49-F238E27FC236}">
              <a16:creationId xmlns:a16="http://schemas.microsoft.com/office/drawing/2014/main" id="{E8DE24FF-AC6D-4008-AFEA-10AF0360F65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7" name="TextBox 7977">
          <a:extLst>
            <a:ext uri="{FF2B5EF4-FFF2-40B4-BE49-F238E27FC236}">
              <a16:creationId xmlns:a16="http://schemas.microsoft.com/office/drawing/2014/main" id="{7D95AC74-7221-42BF-A134-0F36B43EA39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8" name="TextBox 1">
          <a:extLst>
            <a:ext uri="{FF2B5EF4-FFF2-40B4-BE49-F238E27FC236}">
              <a16:creationId xmlns:a16="http://schemas.microsoft.com/office/drawing/2014/main" id="{3786D6E1-B3AA-4C34-9A63-9D4A9E7410C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79" name="TextBox 3">
          <a:extLst>
            <a:ext uri="{FF2B5EF4-FFF2-40B4-BE49-F238E27FC236}">
              <a16:creationId xmlns:a16="http://schemas.microsoft.com/office/drawing/2014/main" id="{433C5CCA-51BC-4B66-90B7-AF6F808F0DC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0" name="TextBox 7980">
          <a:extLst>
            <a:ext uri="{FF2B5EF4-FFF2-40B4-BE49-F238E27FC236}">
              <a16:creationId xmlns:a16="http://schemas.microsoft.com/office/drawing/2014/main" id="{85663C2A-B508-4463-BA53-3F84ACAA92D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1" name="TextBox 7981">
          <a:extLst>
            <a:ext uri="{FF2B5EF4-FFF2-40B4-BE49-F238E27FC236}">
              <a16:creationId xmlns:a16="http://schemas.microsoft.com/office/drawing/2014/main" id="{DDD0CC40-E24D-4658-93DF-AF62CC3DF3D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2" name="TextBox 7982">
          <a:extLst>
            <a:ext uri="{FF2B5EF4-FFF2-40B4-BE49-F238E27FC236}">
              <a16:creationId xmlns:a16="http://schemas.microsoft.com/office/drawing/2014/main" id="{1EDDE2D7-6DE6-4B22-9556-D3935360175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3" name="TextBox 7983">
          <a:extLst>
            <a:ext uri="{FF2B5EF4-FFF2-40B4-BE49-F238E27FC236}">
              <a16:creationId xmlns:a16="http://schemas.microsoft.com/office/drawing/2014/main" id="{D12AC7A1-7EFD-4DF4-82BD-AFC34818677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4" name="TextBox 7984">
          <a:extLst>
            <a:ext uri="{FF2B5EF4-FFF2-40B4-BE49-F238E27FC236}">
              <a16:creationId xmlns:a16="http://schemas.microsoft.com/office/drawing/2014/main" id="{F9640AAF-BF1C-4DA1-A75D-3022E260690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5" name="TextBox 7985">
          <a:extLst>
            <a:ext uri="{FF2B5EF4-FFF2-40B4-BE49-F238E27FC236}">
              <a16:creationId xmlns:a16="http://schemas.microsoft.com/office/drawing/2014/main" id="{3D6B5FB7-50FE-458E-9994-138454B650B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6" name="TextBox 7986">
          <a:extLst>
            <a:ext uri="{FF2B5EF4-FFF2-40B4-BE49-F238E27FC236}">
              <a16:creationId xmlns:a16="http://schemas.microsoft.com/office/drawing/2014/main" id="{F81227EF-C8BA-4247-84EB-5BAF769C61D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7" name="TextBox 7987">
          <a:extLst>
            <a:ext uri="{FF2B5EF4-FFF2-40B4-BE49-F238E27FC236}">
              <a16:creationId xmlns:a16="http://schemas.microsoft.com/office/drawing/2014/main" id="{F016777B-A110-4108-8A63-78F9CC2788F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8" name="TextBox 7988">
          <a:extLst>
            <a:ext uri="{FF2B5EF4-FFF2-40B4-BE49-F238E27FC236}">
              <a16:creationId xmlns:a16="http://schemas.microsoft.com/office/drawing/2014/main" id="{52BC5F1E-F274-4A0C-A6D1-812F8B1BBAD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89" name="TextBox 7989">
          <a:extLst>
            <a:ext uri="{FF2B5EF4-FFF2-40B4-BE49-F238E27FC236}">
              <a16:creationId xmlns:a16="http://schemas.microsoft.com/office/drawing/2014/main" id="{707508C3-4037-4E49-95AF-0D8D50E1B75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0" name="TextBox 13">
          <a:extLst>
            <a:ext uri="{FF2B5EF4-FFF2-40B4-BE49-F238E27FC236}">
              <a16:creationId xmlns:a16="http://schemas.microsoft.com/office/drawing/2014/main" id="{66B8BC38-9D80-4CCA-9CC5-F1CA928323C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1" name="TextBox 14">
          <a:extLst>
            <a:ext uri="{FF2B5EF4-FFF2-40B4-BE49-F238E27FC236}">
              <a16:creationId xmlns:a16="http://schemas.microsoft.com/office/drawing/2014/main" id="{4636D185-9C97-4CF3-923E-6CD0FD43869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2" name="TextBox 7992">
          <a:extLst>
            <a:ext uri="{FF2B5EF4-FFF2-40B4-BE49-F238E27FC236}">
              <a16:creationId xmlns:a16="http://schemas.microsoft.com/office/drawing/2014/main" id="{2B98E864-EFD6-4CDF-8B61-8A1796F42E76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3" name="TextBox 7993">
          <a:extLst>
            <a:ext uri="{FF2B5EF4-FFF2-40B4-BE49-F238E27FC236}">
              <a16:creationId xmlns:a16="http://schemas.microsoft.com/office/drawing/2014/main" id="{4182FCE6-802D-4B0F-A21B-3F1C6793ECE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4" name="TextBox 7994">
          <a:extLst>
            <a:ext uri="{FF2B5EF4-FFF2-40B4-BE49-F238E27FC236}">
              <a16:creationId xmlns:a16="http://schemas.microsoft.com/office/drawing/2014/main" id="{CBF72690-A2FA-45A2-A996-2D337B63AC3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5" name="TextBox 7995">
          <a:extLst>
            <a:ext uri="{FF2B5EF4-FFF2-40B4-BE49-F238E27FC236}">
              <a16:creationId xmlns:a16="http://schemas.microsoft.com/office/drawing/2014/main" id="{2DD612BB-ED3C-431D-B8BC-B6FDFCEB342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6" name="TextBox 15">
          <a:extLst>
            <a:ext uri="{FF2B5EF4-FFF2-40B4-BE49-F238E27FC236}">
              <a16:creationId xmlns:a16="http://schemas.microsoft.com/office/drawing/2014/main" id="{ED4355C6-5AC5-42EA-89A9-A88E2F70E36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7" name="TextBox 16">
          <a:extLst>
            <a:ext uri="{FF2B5EF4-FFF2-40B4-BE49-F238E27FC236}">
              <a16:creationId xmlns:a16="http://schemas.microsoft.com/office/drawing/2014/main" id="{E269BAC5-3D98-4220-A3B5-F3B366FE6956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8" name="TextBox 17">
          <a:extLst>
            <a:ext uri="{FF2B5EF4-FFF2-40B4-BE49-F238E27FC236}">
              <a16:creationId xmlns:a16="http://schemas.microsoft.com/office/drawing/2014/main" id="{7E05C6F1-C011-437F-B867-DD28AF82456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599" name="TextBox 18">
          <a:extLst>
            <a:ext uri="{FF2B5EF4-FFF2-40B4-BE49-F238E27FC236}">
              <a16:creationId xmlns:a16="http://schemas.microsoft.com/office/drawing/2014/main" id="{BFFB84DB-3267-42B1-B4F6-E8ADC205641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0" name="TextBox 8000">
          <a:extLst>
            <a:ext uri="{FF2B5EF4-FFF2-40B4-BE49-F238E27FC236}">
              <a16:creationId xmlns:a16="http://schemas.microsoft.com/office/drawing/2014/main" id="{D9A95405-88ED-472C-87F9-26ED47B57C5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1" name="TextBox 8001">
          <a:extLst>
            <a:ext uri="{FF2B5EF4-FFF2-40B4-BE49-F238E27FC236}">
              <a16:creationId xmlns:a16="http://schemas.microsoft.com/office/drawing/2014/main" id="{51F5EF51-3CFE-46F2-A40D-73E7BE56843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2" name="TextBox 1">
          <a:extLst>
            <a:ext uri="{FF2B5EF4-FFF2-40B4-BE49-F238E27FC236}">
              <a16:creationId xmlns:a16="http://schemas.microsoft.com/office/drawing/2014/main" id="{BE4DE2B8-2910-42A3-9CB7-549C2CBFBFA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3" name="TextBox 3">
          <a:extLst>
            <a:ext uri="{FF2B5EF4-FFF2-40B4-BE49-F238E27FC236}">
              <a16:creationId xmlns:a16="http://schemas.microsoft.com/office/drawing/2014/main" id="{A9B67C66-CB83-419A-BCED-25FD29B805F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4" name="TextBox 8004">
          <a:extLst>
            <a:ext uri="{FF2B5EF4-FFF2-40B4-BE49-F238E27FC236}">
              <a16:creationId xmlns:a16="http://schemas.microsoft.com/office/drawing/2014/main" id="{AC89CE6C-6039-45E5-8A9D-6367F7A8FFE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5" name="TextBox 8005">
          <a:extLst>
            <a:ext uri="{FF2B5EF4-FFF2-40B4-BE49-F238E27FC236}">
              <a16:creationId xmlns:a16="http://schemas.microsoft.com/office/drawing/2014/main" id="{4A242F39-4EA7-4380-B52D-2E8E710A058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6" name="TextBox 8006">
          <a:extLst>
            <a:ext uri="{FF2B5EF4-FFF2-40B4-BE49-F238E27FC236}">
              <a16:creationId xmlns:a16="http://schemas.microsoft.com/office/drawing/2014/main" id="{41378724-38B1-45CF-8415-04C92B4E52A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7" name="TextBox 8007">
          <a:extLst>
            <a:ext uri="{FF2B5EF4-FFF2-40B4-BE49-F238E27FC236}">
              <a16:creationId xmlns:a16="http://schemas.microsoft.com/office/drawing/2014/main" id="{0F349DD9-5541-465E-8BE8-1A4338426CA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8" name="TextBox 8008">
          <a:extLst>
            <a:ext uri="{FF2B5EF4-FFF2-40B4-BE49-F238E27FC236}">
              <a16:creationId xmlns:a16="http://schemas.microsoft.com/office/drawing/2014/main" id="{53B96AC0-F828-44E3-A643-8F8DE873712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09" name="TextBox 8009">
          <a:extLst>
            <a:ext uri="{FF2B5EF4-FFF2-40B4-BE49-F238E27FC236}">
              <a16:creationId xmlns:a16="http://schemas.microsoft.com/office/drawing/2014/main" id="{894ADC43-9A4E-4139-8D37-92387E732D6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0" name="TextBox 8010">
          <a:extLst>
            <a:ext uri="{FF2B5EF4-FFF2-40B4-BE49-F238E27FC236}">
              <a16:creationId xmlns:a16="http://schemas.microsoft.com/office/drawing/2014/main" id="{B6786B8F-1A3B-487F-B3ED-397FFF3A2F8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1" name="TextBox 8011">
          <a:extLst>
            <a:ext uri="{FF2B5EF4-FFF2-40B4-BE49-F238E27FC236}">
              <a16:creationId xmlns:a16="http://schemas.microsoft.com/office/drawing/2014/main" id="{032305E7-0748-42B8-9F49-084481B0732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2" name="TextBox 8012">
          <a:extLst>
            <a:ext uri="{FF2B5EF4-FFF2-40B4-BE49-F238E27FC236}">
              <a16:creationId xmlns:a16="http://schemas.microsoft.com/office/drawing/2014/main" id="{59D469FA-F31E-4396-9284-889411FAF2F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3" name="TextBox 8013">
          <a:extLst>
            <a:ext uri="{FF2B5EF4-FFF2-40B4-BE49-F238E27FC236}">
              <a16:creationId xmlns:a16="http://schemas.microsoft.com/office/drawing/2014/main" id="{CADE7EDE-591F-46FA-9048-0662EC62556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4" name="TextBox 13">
          <a:extLst>
            <a:ext uri="{FF2B5EF4-FFF2-40B4-BE49-F238E27FC236}">
              <a16:creationId xmlns:a16="http://schemas.microsoft.com/office/drawing/2014/main" id="{C2DE7573-F545-424D-B995-CFEDD451E5A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5" name="TextBox 14">
          <a:extLst>
            <a:ext uri="{FF2B5EF4-FFF2-40B4-BE49-F238E27FC236}">
              <a16:creationId xmlns:a16="http://schemas.microsoft.com/office/drawing/2014/main" id="{5DA59375-1771-4193-83EE-46B79BAC5BE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6" name="TextBox 8016">
          <a:extLst>
            <a:ext uri="{FF2B5EF4-FFF2-40B4-BE49-F238E27FC236}">
              <a16:creationId xmlns:a16="http://schemas.microsoft.com/office/drawing/2014/main" id="{9082FDDD-D923-402E-80CA-B21AC4965F9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7" name="TextBox 8017">
          <a:extLst>
            <a:ext uri="{FF2B5EF4-FFF2-40B4-BE49-F238E27FC236}">
              <a16:creationId xmlns:a16="http://schemas.microsoft.com/office/drawing/2014/main" id="{E5C8751C-C4E9-42D1-A6B3-A882B91FB47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8" name="TextBox 8018">
          <a:extLst>
            <a:ext uri="{FF2B5EF4-FFF2-40B4-BE49-F238E27FC236}">
              <a16:creationId xmlns:a16="http://schemas.microsoft.com/office/drawing/2014/main" id="{2542956E-DD33-4F45-8699-147D37BEBAF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19" name="TextBox 8019">
          <a:extLst>
            <a:ext uri="{FF2B5EF4-FFF2-40B4-BE49-F238E27FC236}">
              <a16:creationId xmlns:a16="http://schemas.microsoft.com/office/drawing/2014/main" id="{02DC5FC8-DD32-4475-99E3-7A26B855618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0" name="TextBox 13">
          <a:extLst>
            <a:ext uri="{FF2B5EF4-FFF2-40B4-BE49-F238E27FC236}">
              <a16:creationId xmlns:a16="http://schemas.microsoft.com/office/drawing/2014/main" id="{F491308B-4DAD-4411-A4A4-39396E87712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1" name="TextBox 14">
          <a:extLst>
            <a:ext uri="{FF2B5EF4-FFF2-40B4-BE49-F238E27FC236}">
              <a16:creationId xmlns:a16="http://schemas.microsoft.com/office/drawing/2014/main" id="{B8252F03-858D-4614-A112-92CFB8B782D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2" name="TextBox 8022">
          <a:extLst>
            <a:ext uri="{FF2B5EF4-FFF2-40B4-BE49-F238E27FC236}">
              <a16:creationId xmlns:a16="http://schemas.microsoft.com/office/drawing/2014/main" id="{5728A826-5604-4C50-9750-4996C98BFA4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3" name="TextBox 8023">
          <a:extLst>
            <a:ext uri="{FF2B5EF4-FFF2-40B4-BE49-F238E27FC236}">
              <a16:creationId xmlns:a16="http://schemas.microsoft.com/office/drawing/2014/main" id="{CA62CF45-D953-403A-A27F-68059DE79E6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4" name="TextBox 8024">
          <a:extLst>
            <a:ext uri="{FF2B5EF4-FFF2-40B4-BE49-F238E27FC236}">
              <a16:creationId xmlns:a16="http://schemas.microsoft.com/office/drawing/2014/main" id="{BBBC4940-BDF2-4975-9344-B222E7CAC2A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5" name="TextBox 8025">
          <a:extLst>
            <a:ext uri="{FF2B5EF4-FFF2-40B4-BE49-F238E27FC236}">
              <a16:creationId xmlns:a16="http://schemas.microsoft.com/office/drawing/2014/main" id="{B0EADA27-D8C2-4E9E-B8FE-1B21966AF6F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6" name="TextBox 15">
          <a:extLst>
            <a:ext uri="{FF2B5EF4-FFF2-40B4-BE49-F238E27FC236}">
              <a16:creationId xmlns:a16="http://schemas.microsoft.com/office/drawing/2014/main" id="{3D41F637-AC56-4637-8394-1AED4043CF6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7" name="TextBox 16">
          <a:extLst>
            <a:ext uri="{FF2B5EF4-FFF2-40B4-BE49-F238E27FC236}">
              <a16:creationId xmlns:a16="http://schemas.microsoft.com/office/drawing/2014/main" id="{E46FEB68-DFFC-491B-A832-197CCC5D3A9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8" name="TextBox 17">
          <a:extLst>
            <a:ext uri="{FF2B5EF4-FFF2-40B4-BE49-F238E27FC236}">
              <a16:creationId xmlns:a16="http://schemas.microsoft.com/office/drawing/2014/main" id="{A9EA42E2-9DA2-4948-A016-21078BDEF54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29" name="TextBox 18">
          <a:extLst>
            <a:ext uri="{FF2B5EF4-FFF2-40B4-BE49-F238E27FC236}">
              <a16:creationId xmlns:a16="http://schemas.microsoft.com/office/drawing/2014/main" id="{22709D90-B284-4309-8361-AD86FED9DC9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0" name="TextBox 8030">
          <a:extLst>
            <a:ext uri="{FF2B5EF4-FFF2-40B4-BE49-F238E27FC236}">
              <a16:creationId xmlns:a16="http://schemas.microsoft.com/office/drawing/2014/main" id="{1B517AF4-3DB4-439C-9824-D7835140079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1" name="TextBox 8031">
          <a:extLst>
            <a:ext uri="{FF2B5EF4-FFF2-40B4-BE49-F238E27FC236}">
              <a16:creationId xmlns:a16="http://schemas.microsoft.com/office/drawing/2014/main" id="{A3E6679B-52E3-4D6A-874B-61485DE39F0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2" name="TextBox 1">
          <a:extLst>
            <a:ext uri="{FF2B5EF4-FFF2-40B4-BE49-F238E27FC236}">
              <a16:creationId xmlns:a16="http://schemas.microsoft.com/office/drawing/2014/main" id="{02E63F78-2C6C-4692-BF66-46E9FD738CA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3" name="TextBox 3">
          <a:extLst>
            <a:ext uri="{FF2B5EF4-FFF2-40B4-BE49-F238E27FC236}">
              <a16:creationId xmlns:a16="http://schemas.microsoft.com/office/drawing/2014/main" id="{494811DB-FD5D-46C1-B1B4-D154CBE7C90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4" name="TextBox 8034">
          <a:extLst>
            <a:ext uri="{FF2B5EF4-FFF2-40B4-BE49-F238E27FC236}">
              <a16:creationId xmlns:a16="http://schemas.microsoft.com/office/drawing/2014/main" id="{8083CF75-5FBD-49A9-93FE-A0946B6F89E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5" name="TextBox 8035">
          <a:extLst>
            <a:ext uri="{FF2B5EF4-FFF2-40B4-BE49-F238E27FC236}">
              <a16:creationId xmlns:a16="http://schemas.microsoft.com/office/drawing/2014/main" id="{B1378BFD-A717-4C0F-9230-33EC477F7AD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6" name="TextBox 8036">
          <a:extLst>
            <a:ext uri="{FF2B5EF4-FFF2-40B4-BE49-F238E27FC236}">
              <a16:creationId xmlns:a16="http://schemas.microsoft.com/office/drawing/2014/main" id="{5FEBA7C0-22AB-4DD2-BB3E-678F1F5BF8D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7" name="TextBox 8037">
          <a:extLst>
            <a:ext uri="{FF2B5EF4-FFF2-40B4-BE49-F238E27FC236}">
              <a16:creationId xmlns:a16="http://schemas.microsoft.com/office/drawing/2014/main" id="{2AC70421-1CDC-4C66-9F22-2958A17372C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8" name="TextBox 8038">
          <a:extLst>
            <a:ext uri="{FF2B5EF4-FFF2-40B4-BE49-F238E27FC236}">
              <a16:creationId xmlns:a16="http://schemas.microsoft.com/office/drawing/2014/main" id="{646819FF-0A04-4F43-9AFF-9BBC489021A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39" name="TextBox 8039">
          <a:extLst>
            <a:ext uri="{FF2B5EF4-FFF2-40B4-BE49-F238E27FC236}">
              <a16:creationId xmlns:a16="http://schemas.microsoft.com/office/drawing/2014/main" id="{FE1FADC3-6F0F-4FF2-A581-7D22203F7F5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0" name="TextBox 8040">
          <a:extLst>
            <a:ext uri="{FF2B5EF4-FFF2-40B4-BE49-F238E27FC236}">
              <a16:creationId xmlns:a16="http://schemas.microsoft.com/office/drawing/2014/main" id="{74EBF1F7-61CD-4EAA-AA3A-94F16E571C4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1" name="TextBox 8041">
          <a:extLst>
            <a:ext uri="{FF2B5EF4-FFF2-40B4-BE49-F238E27FC236}">
              <a16:creationId xmlns:a16="http://schemas.microsoft.com/office/drawing/2014/main" id="{9BBCC9A3-5448-4DB4-A13D-F8A58C0EF4A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2" name="TextBox 8042">
          <a:extLst>
            <a:ext uri="{FF2B5EF4-FFF2-40B4-BE49-F238E27FC236}">
              <a16:creationId xmlns:a16="http://schemas.microsoft.com/office/drawing/2014/main" id="{69747CCC-C0AD-4E54-91C8-926C36941A5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3" name="TextBox 8043">
          <a:extLst>
            <a:ext uri="{FF2B5EF4-FFF2-40B4-BE49-F238E27FC236}">
              <a16:creationId xmlns:a16="http://schemas.microsoft.com/office/drawing/2014/main" id="{E5E4CAE6-443B-4CA3-8E73-E2A2F4436B0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4" name="TextBox 13">
          <a:extLst>
            <a:ext uri="{FF2B5EF4-FFF2-40B4-BE49-F238E27FC236}">
              <a16:creationId xmlns:a16="http://schemas.microsoft.com/office/drawing/2014/main" id="{4E99B2A2-7603-47B1-9DF0-170CAAF8579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5" name="TextBox 14">
          <a:extLst>
            <a:ext uri="{FF2B5EF4-FFF2-40B4-BE49-F238E27FC236}">
              <a16:creationId xmlns:a16="http://schemas.microsoft.com/office/drawing/2014/main" id="{7B9795C6-6894-462D-97AF-E7D6AC40261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6" name="TextBox 8046">
          <a:extLst>
            <a:ext uri="{FF2B5EF4-FFF2-40B4-BE49-F238E27FC236}">
              <a16:creationId xmlns:a16="http://schemas.microsoft.com/office/drawing/2014/main" id="{8160E190-1DA3-4759-A372-E57FA116462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7" name="TextBox 8047">
          <a:extLst>
            <a:ext uri="{FF2B5EF4-FFF2-40B4-BE49-F238E27FC236}">
              <a16:creationId xmlns:a16="http://schemas.microsoft.com/office/drawing/2014/main" id="{66A8ABA6-2F3F-4946-B619-673B937575A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8" name="TextBox 8048">
          <a:extLst>
            <a:ext uri="{FF2B5EF4-FFF2-40B4-BE49-F238E27FC236}">
              <a16:creationId xmlns:a16="http://schemas.microsoft.com/office/drawing/2014/main" id="{295242F9-92BD-4698-A611-A0E924919FF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49" name="TextBox 8049">
          <a:extLst>
            <a:ext uri="{FF2B5EF4-FFF2-40B4-BE49-F238E27FC236}">
              <a16:creationId xmlns:a16="http://schemas.microsoft.com/office/drawing/2014/main" id="{60DA0A4E-3C41-4A7E-A774-4C3D12F2D5C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0" name="TextBox 15">
          <a:extLst>
            <a:ext uri="{FF2B5EF4-FFF2-40B4-BE49-F238E27FC236}">
              <a16:creationId xmlns:a16="http://schemas.microsoft.com/office/drawing/2014/main" id="{65F7873D-A618-476B-AC0A-5CC2F29BFE46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1" name="TextBox 16">
          <a:extLst>
            <a:ext uri="{FF2B5EF4-FFF2-40B4-BE49-F238E27FC236}">
              <a16:creationId xmlns:a16="http://schemas.microsoft.com/office/drawing/2014/main" id="{C9674A9C-1633-4C79-952A-C9256A027F5A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2" name="TextBox 17">
          <a:extLst>
            <a:ext uri="{FF2B5EF4-FFF2-40B4-BE49-F238E27FC236}">
              <a16:creationId xmlns:a16="http://schemas.microsoft.com/office/drawing/2014/main" id="{9C0494F9-04CF-418B-9617-29CC027DDC7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3" name="TextBox 18">
          <a:extLst>
            <a:ext uri="{FF2B5EF4-FFF2-40B4-BE49-F238E27FC236}">
              <a16:creationId xmlns:a16="http://schemas.microsoft.com/office/drawing/2014/main" id="{DB0074BD-6F32-49E0-B3AC-DE1A8AB97F1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4" name="TextBox 8054">
          <a:extLst>
            <a:ext uri="{FF2B5EF4-FFF2-40B4-BE49-F238E27FC236}">
              <a16:creationId xmlns:a16="http://schemas.microsoft.com/office/drawing/2014/main" id="{D9CCC669-9EE0-4AFF-96B6-CF1ED84971B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5" name="TextBox 8055">
          <a:extLst>
            <a:ext uri="{FF2B5EF4-FFF2-40B4-BE49-F238E27FC236}">
              <a16:creationId xmlns:a16="http://schemas.microsoft.com/office/drawing/2014/main" id="{C7532E09-1BC9-483B-AAC2-71D55A499F1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6" name="TextBox 1">
          <a:extLst>
            <a:ext uri="{FF2B5EF4-FFF2-40B4-BE49-F238E27FC236}">
              <a16:creationId xmlns:a16="http://schemas.microsoft.com/office/drawing/2014/main" id="{AD3F9030-93DF-40B3-87A1-DCAB2C71C7D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7" name="TextBox 3">
          <a:extLst>
            <a:ext uri="{FF2B5EF4-FFF2-40B4-BE49-F238E27FC236}">
              <a16:creationId xmlns:a16="http://schemas.microsoft.com/office/drawing/2014/main" id="{403569A6-B3D1-455A-9D68-9A991892D8A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8" name="TextBox 8058">
          <a:extLst>
            <a:ext uri="{FF2B5EF4-FFF2-40B4-BE49-F238E27FC236}">
              <a16:creationId xmlns:a16="http://schemas.microsoft.com/office/drawing/2014/main" id="{339D009F-4C9C-4581-8C49-B05A6D0A767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59" name="TextBox 8059">
          <a:extLst>
            <a:ext uri="{FF2B5EF4-FFF2-40B4-BE49-F238E27FC236}">
              <a16:creationId xmlns:a16="http://schemas.microsoft.com/office/drawing/2014/main" id="{51192482-55BA-40C0-92FC-DF145830B5A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0" name="TextBox 8060">
          <a:extLst>
            <a:ext uri="{FF2B5EF4-FFF2-40B4-BE49-F238E27FC236}">
              <a16:creationId xmlns:a16="http://schemas.microsoft.com/office/drawing/2014/main" id="{8E097165-73C8-47F2-8C32-3A9249F968A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1" name="TextBox 8061">
          <a:extLst>
            <a:ext uri="{FF2B5EF4-FFF2-40B4-BE49-F238E27FC236}">
              <a16:creationId xmlns:a16="http://schemas.microsoft.com/office/drawing/2014/main" id="{FDDAC21C-17FA-4002-BC62-0C416F3D4C1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2" name="TextBox 8062">
          <a:extLst>
            <a:ext uri="{FF2B5EF4-FFF2-40B4-BE49-F238E27FC236}">
              <a16:creationId xmlns:a16="http://schemas.microsoft.com/office/drawing/2014/main" id="{43885C03-889A-42FF-A17B-4DEA41C7580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3" name="TextBox 8063">
          <a:extLst>
            <a:ext uri="{FF2B5EF4-FFF2-40B4-BE49-F238E27FC236}">
              <a16:creationId xmlns:a16="http://schemas.microsoft.com/office/drawing/2014/main" id="{8FF68972-6C4F-4B86-BDEC-EC019C87C2B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4" name="TextBox 8064">
          <a:extLst>
            <a:ext uri="{FF2B5EF4-FFF2-40B4-BE49-F238E27FC236}">
              <a16:creationId xmlns:a16="http://schemas.microsoft.com/office/drawing/2014/main" id="{A9236781-335A-4582-A118-5F573C816E3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5" name="TextBox 8065">
          <a:extLst>
            <a:ext uri="{FF2B5EF4-FFF2-40B4-BE49-F238E27FC236}">
              <a16:creationId xmlns:a16="http://schemas.microsoft.com/office/drawing/2014/main" id="{46B16544-2E3A-47E3-8ACC-294973CB688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6" name="TextBox 8066">
          <a:extLst>
            <a:ext uri="{FF2B5EF4-FFF2-40B4-BE49-F238E27FC236}">
              <a16:creationId xmlns:a16="http://schemas.microsoft.com/office/drawing/2014/main" id="{1E56D2FF-495D-493D-8EEB-AE3E6D9A38F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7" name="TextBox 8067">
          <a:extLst>
            <a:ext uri="{FF2B5EF4-FFF2-40B4-BE49-F238E27FC236}">
              <a16:creationId xmlns:a16="http://schemas.microsoft.com/office/drawing/2014/main" id="{92598FCC-3586-4E9B-B4C9-EA799CE4A2C1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8" name="TextBox 13">
          <a:extLst>
            <a:ext uri="{FF2B5EF4-FFF2-40B4-BE49-F238E27FC236}">
              <a16:creationId xmlns:a16="http://schemas.microsoft.com/office/drawing/2014/main" id="{EFD57849-6B22-44C0-B83A-1E3343E0AB66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69" name="TextBox 14">
          <a:extLst>
            <a:ext uri="{FF2B5EF4-FFF2-40B4-BE49-F238E27FC236}">
              <a16:creationId xmlns:a16="http://schemas.microsoft.com/office/drawing/2014/main" id="{8D82F461-7D45-4C56-9E7E-AEA11AF3E90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0" name="TextBox 8070">
          <a:extLst>
            <a:ext uri="{FF2B5EF4-FFF2-40B4-BE49-F238E27FC236}">
              <a16:creationId xmlns:a16="http://schemas.microsoft.com/office/drawing/2014/main" id="{76338028-E8AB-48CF-A692-80BF79916036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1" name="TextBox 8071">
          <a:extLst>
            <a:ext uri="{FF2B5EF4-FFF2-40B4-BE49-F238E27FC236}">
              <a16:creationId xmlns:a16="http://schemas.microsoft.com/office/drawing/2014/main" id="{1AAD5CF3-7194-47D7-8790-805C764FDB7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2" name="TextBox 8072">
          <a:extLst>
            <a:ext uri="{FF2B5EF4-FFF2-40B4-BE49-F238E27FC236}">
              <a16:creationId xmlns:a16="http://schemas.microsoft.com/office/drawing/2014/main" id="{4F486278-A9BF-4F74-8B13-34D05266FBC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3" name="TextBox 8073">
          <a:extLst>
            <a:ext uri="{FF2B5EF4-FFF2-40B4-BE49-F238E27FC236}">
              <a16:creationId xmlns:a16="http://schemas.microsoft.com/office/drawing/2014/main" id="{592FBAF5-1742-40D0-A380-7DE22C5731E5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4" name="TextBox 15">
          <a:extLst>
            <a:ext uri="{FF2B5EF4-FFF2-40B4-BE49-F238E27FC236}">
              <a16:creationId xmlns:a16="http://schemas.microsoft.com/office/drawing/2014/main" id="{960597BD-04A1-419C-A334-5FDA9B4C90F8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5" name="TextBox 16">
          <a:extLst>
            <a:ext uri="{FF2B5EF4-FFF2-40B4-BE49-F238E27FC236}">
              <a16:creationId xmlns:a16="http://schemas.microsoft.com/office/drawing/2014/main" id="{E7B57D88-5F7B-4CA8-8242-EA25631B588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6" name="TextBox 17">
          <a:extLst>
            <a:ext uri="{FF2B5EF4-FFF2-40B4-BE49-F238E27FC236}">
              <a16:creationId xmlns:a16="http://schemas.microsoft.com/office/drawing/2014/main" id="{9A7D911B-E576-4122-B220-0467FEA4CC3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7" name="TextBox 18">
          <a:extLst>
            <a:ext uri="{FF2B5EF4-FFF2-40B4-BE49-F238E27FC236}">
              <a16:creationId xmlns:a16="http://schemas.microsoft.com/office/drawing/2014/main" id="{0E3E0596-6389-4398-A5DE-39A7ABE1E5BD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8" name="TextBox 8078">
          <a:extLst>
            <a:ext uri="{FF2B5EF4-FFF2-40B4-BE49-F238E27FC236}">
              <a16:creationId xmlns:a16="http://schemas.microsoft.com/office/drawing/2014/main" id="{43C28F6D-3572-4C71-8A93-15B7041D37B0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79" name="TextBox 8079">
          <a:extLst>
            <a:ext uri="{FF2B5EF4-FFF2-40B4-BE49-F238E27FC236}">
              <a16:creationId xmlns:a16="http://schemas.microsoft.com/office/drawing/2014/main" id="{78A18CA6-A644-4D40-859D-5C33D45819F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0" name="TextBox 1">
          <a:extLst>
            <a:ext uri="{FF2B5EF4-FFF2-40B4-BE49-F238E27FC236}">
              <a16:creationId xmlns:a16="http://schemas.microsoft.com/office/drawing/2014/main" id="{9AE694D3-CD5E-49CF-BA9C-666D1EE68473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1" name="TextBox 3">
          <a:extLst>
            <a:ext uri="{FF2B5EF4-FFF2-40B4-BE49-F238E27FC236}">
              <a16:creationId xmlns:a16="http://schemas.microsoft.com/office/drawing/2014/main" id="{80C9B53E-0D69-44F9-960E-DDC2C1FDC95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2" name="TextBox 8082">
          <a:extLst>
            <a:ext uri="{FF2B5EF4-FFF2-40B4-BE49-F238E27FC236}">
              <a16:creationId xmlns:a16="http://schemas.microsoft.com/office/drawing/2014/main" id="{58954A17-4628-461F-AD51-45EF5556D96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3" name="TextBox 8083">
          <a:extLst>
            <a:ext uri="{FF2B5EF4-FFF2-40B4-BE49-F238E27FC236}">
              <a16:creationId xmlns:a16="http://schemas.microsoft.com/office/drawing/2014/main" id="{2FFDB496-4BC4-4A77-9A69-F59FC68B1A7E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4" name="TextBox 8084">
          <a:extLst>
            <a:ext uri="{FF2B5EF4-FFF2-40B4-BE49-F238E27FC236}">
              <a16:creationId xmlns:a16="http://schemas.microsoft.com/office/drawing/2014/main" id="{DE782A98-5EE6-413A-880D-63BF16BB85A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5" name="TextBox 8085">
          <a:extLst>
            <a:ext uri="{FF2B5EF4-FFF2-40B4-BE49-F238E27FC236}">
              <a16:creationId xmlns:a16="http://schemas.microsoft.com/office/drawing/2014/main" id="{1D270F6B-B9D3-4012-9CD0-AC92DE15C09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6" name="TextBox 8086">
          <a:extLst>
            <a:ext uri="{FF2B5EF4-FFF2-40B4-BE49-F238E27FC236}">
              <a16:creationId xmlns:a16="http://schemas.microsoft.com/office/drawing/2014/main" id="{B7013026-AAD7-4615-9837-B49596E46146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7" name="TextBox 8087">
          <a:extLst>
            <a:ext uri="{FF2B5EF4-FFF2-40B4-BE49-F238E27FC236}">
              <a16:creationId xmlns:a16="http://schemas.microsoft.com/office/drawing/2014/main" id="{8402CB6A-6B5D-46AF-98EF-5835E1EA02A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8" name="TextBox 8088">
          <a:extLst>
            <a:ext uri="{FF2B5EF4-FFF2-40B4-BE49-F238E27FC236}">
              <a16:creationId xmlns:a16="http://schemas.microsoft.com/office/drawing/2014/main" id="{A495B5BE-8CB5-437B-8951-4CB1BDBED4E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89" name="TextBox 8089">
          <a:extLst>
            <a:ext uri="{FF2B5EF4-FFF2-40B4-BE49-F238E27FC236}">
              <a16:creationId xmlns:a16="http://schemas.microsoft.com/office/drawing/2014/main" id="{AB0EDF89-EC03-4BEE-A934-802E0C8C4AF2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0" name="TextBox 8090">
          <a:extLst>
            <a:ext uri="{FF2B5EF4-FFF2-40B4-BE49-F238E27FC236}">
              <a16:creationId xmlns:a16="http://schemas.microsoft.com/office/drawing/2014/main" id="{285AD2C1-6AC2-43CC-80E6-6C8F1964AC3C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1" name="TextBox 8091">
          <a:extLst>
            <a:ext uri="{FF2B5EF4-FFF2-40B4-BE49-F238E27FC236}">
              <a16:creationId xmlns:a16="http://schemas.microsoft.com/office/drawing/2014/main" id="{10B621B8-5898-46BC-90AC-64B6D02A3A44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2" name="TextBox 13">
          <a:extLst>
            <a:ext uri="{FF2B5EF4-FFF2-40B4-BE49-F238E27FC236}">
              <a16:creationId xmlns:a16="http://schemas.microsoft.com/office/drawing/2014/main" id="{7BDEE3D7-2031-4901-9765-7C1341A241FB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3" name="TextBox 14">
          <a:extLst>
            <a:ext uri="{FF2B5EF4-FFF2-40B4-BE49-F238E27FC236}">
              <a16:creationId xmlns:a16="http://schemas.microsoft.com/office/drawing/2014/main" id="{067DA137-C46A-4EAF-88B9-A78BAB11CD5F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4" name="TextBox 8094">
          <a:extLst>
            <a:ext uri="{FF2B5EF4-FFF2-40B4-BE49-F238E27FC236}">
              <a16:creationId xmlns:a16="http://schemas.microsoft.com/office/drawing/2014/main" id="{8FEACA72-70EA-4AF8-8663-870F35AB42F7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5" name="TextBox 8095">
          <a:extLst>
            <a:ext uri="{FF2B5EF4-FFF2-40B4-BE49-F238E27FC236}">
              <a16:creationId xmlns:a16="http://schemas.microsoft.com/office/drawing/2014/main" id="{BF5625CF-153C-47DA-9777-C4E1099D5009}"/>
            </a:ext>
          </a:extLst>
        </xdr:cNvPr>
        <xdr:cNvSpPr txBox="1"/>
      </xdr:nvSpPr>
      <xdr:spPr>
        <a:xfrm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6" name="TextBox 2">
          <a:extLst>
            <a:ext uri="{FF2B5EF4-FFF2-40B4-BE49-F238E27FC236}">
              <a16:creationId xmlns:a16="http://schemas.microsoft.com/office/drawing/2014/main" id="{707E1657-AC53-4BF8-BAB3-4CE422E402D4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7" name="TextBox 4">
          <a:extLst>
            <a:ext uri="{FF2B5EF4-FFF2-40B4-BE49-F238E27FC236}">
              <a16:creationId xmlns:a16="http://schemas.microsoft.com/office/drawing/2014/main" id="{8A0227E0-F4CC-4BD8-AF44-0DF12F09645A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8" name="TextBox 5">
          <a:extLst>
            <a:ext uri="{FF2B5EF4-FFF2-40B4-BE49-F238E27FC236}">
              <a16:creationId xmlns:a16="http://schemas.microsoft.com/office/drawing/2014/main" id="{B393690B-F5FE-42BF-B504-CE9DD464F759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699" name="TextBox 6">
          <a:extLst>
            <a:ext uri="{FF2B5EF4-FFF2-40B4-BE49-F238E27FC236}">
              <a16:creationId xmlns:a16="http://schemas.microsoft.com/office/drawing/2014/main" id="{07C32B06-D8D4-40A8-812B-EF30243BC16B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0" name="TextBox 7">
          <a:extLst>
            <a:ext uri="{FF2B5EF4-FFF2-40B4-BE49-F238E27FC236}">
              <a16:creationId xmlns:a16="http://schemas.microsoft.com/office/drawing/2014/main" id="{B640F697-D1DE-4CB1-B7ED-2E56C6BAE989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1" name="TextBox 8">
          <a:extLst>
            <a:ext uri="{FF2B5EF4-FFF2-40B4-BE49-F238E27FC236}">
              <a16:creationId xmlns:a16="http://schemas.microsoft.com/office/drawing/2014/main" id="{1BA29D23-341A-49AA-BDA3-BC4FFEB8D827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2" name="TextBox 2">
          <a:extLst>
            <a:ext uri="{FF2B5EF4-FFF2-40B4-BE49-F238E27FC236}">
              <a16:creationId xmlns:a16="http://schemas.microsoft.com/office/drawing/2014/main" id="{EFE5A75A-3A09-4D74-8543-D8F6E2B1D3F6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3" name="TextBox 4">
          <a:extLst>
            <a:ext uri="{FF2B5EF4-FFF2-40B4-BE49-F238E27FC236}">
              <a16:creationId xmlns:a16="http://schemas.microsoft.com/office/drawing/2014/main" id="{60AA8B97-572F-4F4A-9A18-39A370CCD775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4" name="TextBox 5">
          <a:extLst>
            <a:ext uri="{FF2B5EF4-FFF2-40B4-BE49-F238E27FC236}">
              <a16:creationId xmlns:a16="http://schemas.microsoft.com/office/drawing/2014/main" id="{22AF8BAF-9FBA-4C6E-A950-88829756F917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5" name="TextBox 6">
          <a:extLst>
            <a:ext uri="{FF2B5EF4-FFF2-40B4-BE49-F238E27FC236}">
              <a16:creationId xmlns:a16="http://schemas.microsoft.com/office/drawing/2014/main" id="{E87EE691-2106-4115-99DD-207A44110AF3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6" name="TextBox 7">
          <a:extLst>
            <a:ext uri="{FF2B5EF4-FFF2-40B4-BE49-F238E27FC236}">
              <a16:creationId xmlns:a16="http://schemas.microsoft.com/office/drawing/2014/main" id="{9A5BD4BB-5DB7-439B-B509-0E48A6F41B8F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7" name="TextBox 8">
          <a:extLst>
            <a:ext uri="{FF2B5EF4-FFF2-40B4-BE49-F238E27FC236}">
              <a16:creationId xmlns:a16="http://schemas.microsoft.com/office/drawing/2014/main" id="{2938971E-3CF8-49B2-8C85-6F8BE9303771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8" name="TextBox 2">
          <a:extLst>
            <a:ext uri="{FF2B5EF4-FFF2-40B4-BE49-F238E27FC236}">
              <a16:creationId xmlns:a16="http://schemas.microsoft.com/office/drawing/2014/main" id="{D72DEF42-65E8-4A33-B1E9-9C6EFC3D1755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09" name="TextBox 4">
          <a:extLst>
            <a:ext uri="{FF2B5EF4-FFF2-40B4-BE49-F238E27FC236}">
              <a16:creationId xmlns:a16="http://schemas.microsoft.com/office/drawing/2014/main" id="{8619F4F1-ACD9-46F4-8B43-61198BE136BD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0" name="TextBox 5">
          <a:extLst>
            <a:ext uri="{FF2B5EF4-FFF2-40B4-BE49-F238E27FC236}">
              <a16:creationId xmlns:a16="http://schemas.microsoft.com/office/drawing/2014/main" id="{65C6C7EE-1750-4B68-AC49-8AD2339BD023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1" name="TextBox 6">
          <a:extLst>
            <a:ext uri="{FF2B5EF4-FFF2-40B4-BE49-F238E27FC236}">
              <a16:creationId xmlns:a16="http://schemas.microsoft.com/office/drawing/2014/main" id="{3DCA7E6B-98B1-4366-B3B0-AF1D09CBD81E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2" name="TextBox 7">
          <a:extLst>
            <a:ext uri="{FF2B5EF4-FFF2-40B4-BE49-F238E27FC236}">
              <a16:creationId xmlns:a16="http://schemas.microsoft.com/office/drawing/2014/main" id="{AA3E4666-92C0-4DC0-AEA8-188096456BDA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3" name="TextBox 8">
          <a:extLst>
            <a:ext uri="{FF2B5EF4-FFF2-40B4-BE49-F238E27FC236}">
              <a16:creationId xmlns:a16="http://schemas.microsoft.com/office/drawing/2014/main" id="{C5C40EF3-B8DC-4C56-9D96-4F352E72D81C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4" name="TextBox 2">
          <a:extLst>
            <a:ext uri="{FF2B5EF4-FFF2-40B4-BE49-F238E27FC236}">
              <a16:creationId xmlns:a16="http://schemas.microsoft.com/office/drawing/2014/main" id="{E12F51AB-5A3C-41D4-B4FD-7A320354E972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5" name="TextBox 4">
          <a:extLst>
            <a:ext uri="{FF2B5EF4-FFF2-40B4-BE49-F238E27FC236}">
              <a16:creationId xmlns:a16="http://schemas.microsoft.com/office/drawing/2014/main" id="{2E59694D-DC6B-4E92-BBB3-64553AFDF256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6" name="TextBox 5">
          <a:extLst>
            <a:ext uri="{FF2B5EF4-FFF2-40B4-BE49-F238E27FC236}">
              <a16:creationId xmlns:a16="http://schemas.microsoft.com/office/drawing/2014/main" id="{C384C98C-5BEE-40F7-A622-380A6829DD31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7" name="TextBox 6">
          <a:extLst>
            <a:ext uri="{FF2B5EF4-FFF2-40B4-BE49-F238E27FC236}">
              <a16:creationId xmlns:a16="http://schemas.microsoft.com/office/drawing/2014/main" id="{4E90D80B-F42D-4023-9705-68AF140CB44D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8" name="TextBox 7">
          <a:extLst>
            <a:ext uri="{FF2B5EF4-FFF2-40B4-BE49-F238E27FC236}">
              <a16:creationId xmlns:a16="http://schemas.microsoft.com/office/drawing/2014/main" id="{3E9205A2-DF93-4708-A967-B82FFBB0D610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19" name="TextBox 8">
          <a:extLst>
            <a:ext uri="{FF2B5EF4-FFF2-40B4-BE49-F238E27FC236}">
              <a16:creationId xmlns:a16="http://schemas.microsoft.com/office/drawing/2014/main" id="{4C3EF86B-FD46-4AA9-9177-F9E736B3303D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0" name="TextBox 2">
          <a:extLst>
            <a:ext uri="{FF2B5EF4-FFF2-40B4-BE49-F238E27FC236}">
              <a16:creationId xmlns:a16="http://schemas.microsoft.com/office/drawing/2014/main" id="{B5D8BB01-D03D-45A2-916A-7D5E4B23DFE0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1" name="TextBox 4">
          <a:extLst>
            <a:ext uri="{FF2B5EF4-FFF2-40B4-BE49-F238E27FC236}">
              <a16:creationId xmlns:a16="http://schemas.microsoft.com/office/drawing/2014/main" id="{8D42621A-9C5C-4FED-B434-0E3944C39F8E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2" name="TextBox 5">
          <a:extLst>
            <a:ext uri="{FF2B5EF4-FFF2-40B4-BE49-F238E27FC236}">
              <a16:creationId xmlns:a16="http://schemas.microsoft.com/office/drawing/2014/main" id="{9437837D-CAFF-4559-9DA5-8A54B2E8C5D0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3" name="TextBox 6">
          <a:extLst>
            <a:ext uri="{FF2B5EF4-FFF2-40B4-BE49-F238E27FC236}">
              <a16:creationId xmlns:a16="http://schemas.microsoft.com/office/drawing/2014/main" id="{C655B235-2145-46F9-9DBC-9A84BD361F80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4" name="TextBox 7">
          <a:extLst>
            <a:ext uri="{FF2B5EF4-FFF2-40B4-BE49-F238E27FC236}">
              <a16:creationId xmlns:a16="http://schemas.microsoft.com/office/drawing/2014/main" id="{83759233-939C-450D-8E58-8D3048ADAB67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5" name="TextBox 8">
          <a:extLst>
            <a:ext uri="{FF2B5EF4-FFF2-40B4-BE49-F238E27FC236}">
              <a16:creationId xmlns:a16="http://schemas.microsoft.com/office/drawing/2014/main" id="{B1B3B236-2217-42FD-B081-9D22C7A0FF05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6" name="TextBox 2">
          <a:extLst>
            <a:ext uri="{FF2B5EF4-FFF2-40B4-BE49-F238E27FC236}">
              <a16:creationId xmlns:a16="http://schemas.microsoft.com/office/drawing/2014/main" id="{E230AC81-2537-4705-BCED-C0AC45976A35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7" name="TextBox 4">
          <a:extLst>
            <a:ext uri="{FF2B5EF4-FFF2-40B4-BE49-F238E27FC236}">
              <a16:creationId xmlns:a16="http://schemas.microsoft.com/office/drawing/2014/main" id="{1400B4EC-2AB7-43D9-B3AF-008C2CE79A80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8" name="TextBox 5">
          <a:extLst>
            <a:ext uri="{FF2B5EF4-FFF2-40B4-BE49-F238E27FC236}">
              <a16:creationId xmlns:a16="http://schemas.microsoft.com/office/drawing/2014/main" id="{4051FE98-8A05-4876-8B51-22FF6BABA67B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29" name="TextBox 6">
          <a:extLst>
            <a:ext uri="{FF2B5EF4-FFF2-40B4-BE49-F238E27FC236}">
              <a16:creationId xmlns:a16="http://schemas.microsoft.com/office/drawing/2014/main" id="{AF6EF18B-F5C1-4A25-9271-56AF50583F10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0" name="TextBox 7">
          <a:extLst>
            <a:ext uri="{FF2B5EF4-FFF2-40B4-BE49-F238E27FC236}">
              <a16:creationId xmlns:a16="http://schemas.microsoft.com/office/drawing/2014/main" id="{6BD3B7FB-1B86-4198-9FA0-B26AC1F22AEA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1" name="TextBox 8">
          <a:extLst>
            <a:ext uri="{FF2B5EF4-FFF2-40B4-BE49-F238E27FC236}">
              <a16:creationId xmlns:a16="http://schemas.microsoft.com/office/drawing/2014/main" id="{1B3A89A2-B06D-4298-AA74-F7CCF61D6DCB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2" name="TextBox 2">
          <a:extLst>
            <a:ext uri="{FF2B5EF4-FFF2-40B4-BE49-F238E27FC236}">
              <a16:creationId xmlns:a16="http://schemas.microsoft.com/office/drawing/2014/main" id="{73754BBD-1328-4F8B-88B4-5D6F23B9EDE1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3" name="TextBox 4">
          <a:extLst>
            <a:ext uri="{FF2B5EF4-FFF2-40B4-BE49-F238E27FC236}">
              <a16:creationId xmlns:a16="http://schemas.microsoft.com/office/drawing/2014/main" id="{8496A73A-C8B8-4911-A4DA-63F5AD7E210B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4" name="TextBox 5">
          <a:extLst>
            <a:ext uri="{FF2B5EF4-FFF2-40B4-BE49-F238E27FC236}">
              <a16:creationId xmlns:a16="http://schemas.microsoft.com/office/drawing/2014/main" id="{626A8608-AD59-4690-B864-4EBFF8EE087D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5" name="TextBox 6">
          <a:extLst>
            <a:ext uri="{FF2B5EF4-FFF2-40B4-BE49-F238E27FC236}">
              <a16:creationId xmlns:a16="http://schemas.microsoft.com/office/drawing/2014/main" id="{8984DD37-7158-4E4E-8A22-D278C2AE6CF1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6" name="TextBox 7">
          <a:extLst>
            <a:ext uri="{FF2B5EF4-FFF2-40B4-BE49-F238E27FC236}">
              <a16:creationId xmlns:a16="http://schemas.microsoft.com/office/drawing/2014/main" id="{778B8E16-69EF-40E8-B471-207B2EC9C457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7" name="TextBox 8">
          <a:extLst>
            <a:ext uri="{FF2B5EF4-FFF2-40B4-BE49-F238E27FC236}">
              <a16:creationId xmlns:a16="http://schemas.microsoft.com/office/drawing/2014/main" id="{661344D4-D36F-4417-9A67-0B2A84F39EAC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8" name="TextBox 2">
          <a:extLst>
            <a:ext uri="{FF2B5EF4-FFF2-40B4-BE49-F238E27FC236}">
              <a16:creationId xmlns:a16="http://schemas.microsoft.com/office/drawing/2014/main" id="{BFBB91A6-32E8-47CD-8528-D9EA4E2880DC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39" name="TextBox 4">
          <a:extLst>
            <a:ext uri="{FF2B5EF4-FFF2-40B4-BE49-F238E27FC236}">
              <a16:creationId xmlns:a16="http://schemas.microsoft.com/office/drawing/2014/main" id="{FB114A1A-CD05-41D5-9FF1-E8B3D1F155B1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0" name="TextBox 5">
          <a:extLst>
            <a:ext uri="{FF2B5EF4-FFF2-40B4-BE49-F238E27FC236}">
              <a16:creationId xmlns:a16="http://schemas.microsoft.com/office/drawing/2014/main" id="{54E535C9-1479-4B11-A3D8-E05BD9A67CC6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1" name="TextBox 6">
          <a:extLst>
            <a:ext uri="{FF2B5EF4-FFF2-40B4-BE49-F238E27FC236}">
              <a16:creationId xmlns:a16="http://schemas.microsoft.com/office/drawing/2014/main" id="{D4F0DFAC-2C62-421D-93D7-4E5CB71475B9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2" name="TextBox 7">
          <a:extLst>
            <a:ext uri="{FF2B5EF4-FFF2-40B4-BE49-F238E27FC236}">
              <a16:creationId xmlns:a16="http://schemas.microsoft.com/office/drawing/2014/main" id="{43F5EF19-9D0B-44AF-901B-0B4DC14D5506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3" name="TextBox 8">
          <a:extLst>
            <a:ext uri="{FF2B5EF4-FFF2-40B4-BE49-F238E27FC236}">
              <a16:creationId xmlns:a16="http://schemas.microsoft.com/office/drawing/2014/main" id="{B31015D2-73E7-4133-AEFD-625300325C46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4" name="TextBox 2">
          <a:extLst>
            <a:ext uri="{FF2B5EF4-FFF2-40B4-BE49-F238E27FC236}">
              <a16:creationId xmlns:a16="http://schemas.microsoft.com/office/drawing/2014/main" id="{83D05653-91EB-41F0-8090-1ED2397F0BCD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5" name="TextBox 4">
          <a:extLst>
            <a:ext uri="{FF2B5EF4-FFF2-40B4-BE49-F238E27FC236}">
              <a16:creationId xmlns:a16="http://schemas.microsoft.com/office/drawing/2014/main" id="{13515F1C-4441-4F89-8B7C-403F605F6EF5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6" name="TextBox 5">
          <a:extLst>
            <a:ext uri="{FF2B5EF4-FFF2-40B4-BE49-F238E27FC236}">
              <a16:creationId xmlns:a16="http://schemas.microsoft.com/office/drawing/2014/main" id="{F617581C-C549-4B2F-A6A4-0B7C37E6CFD1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7" name="TextBox 6">
          <a:extLst>
            <a:ext uri="{FF2B5EF4-FFF2-40B4-BE49-F238E27FC236}">
              <a16:creationId xmlns:a16="http://schemas.microsoft.com/office/drawing/2014/main" id="{FD7AA728-4D56-405E-9015-96334089B8A3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8" name="TextBox 7">
          <a:extLst>
            <a:ext uri="{FF2B5EF4-FFF2-40B4-BE49-F238E27FC236}">
              <a16:creationId xmlns:a16="http://schemas.microsoft.com/office/drawing/2014/main" id="{BF419D59-D714-4A8C-91DB-58E35A971166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49" name="TextBox 8">
          <a:extLst>
            <a:ext uri="{FF2B5EF4-FFF2-40B4-BE49-F238E27FC236}">
              <a16:creationId xmlns:a16="http://schemas.microsoft.com/office/drawing/2014/main" id="{633248E7-2847-49CA-93CC-E1260E70F837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0" name="TextBox 2">
          <a:extLst>
            <a:ext uri="{FF2B5EF4-FFF2-40B4-BE49-F238E27FC236}">
              <a16:creationId xmlns:a16="http://schemas.microsoft.com/office/drawing/2014/main" id="{D840A238-96CA-48B3-9C31-25A26468A3F1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1" name="TextBox 4">
          <a:extLst>
            <a:ext uri="{FF2B5EF4-FFF2-40B4-BE49-F238E27FC236}">
              <a16:creationId xmlns:a16="http://schemas.microsoft.com/office/drawing/2014/main" id="{940E3925-A617-4BEF-B926-E9752C36FF92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2" name="TextBox 5">
          <a:extLst>
            <a:ext uri="{FF2B5EF4-FFF2-40B4-BE49-F238E27FC236}">
              <a16:creationId xmlns:a16="http://schemas.microsoft.com/office/drawing/2014/main" id="{73840F53-E4CC-47EE-93EE-3D75D844766F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3" name="TextBox 6">
          <a:extLst>
            <a:ext uri="{FF2B5EF4-FFF2-40B4-BE49-F238E27FC236}">
              <a16:creationId xmlns:a16="http://schemas.microsoft.com/office/drawing/2014/main" id="{54ADD2EC-755C-486E-B60F-3A6837D516E9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4" name="TextBox 7">
          <a:extLst>
            <a:ext uri="{FF2B5EF4-FFF2-40B4-BE49-F238E27FC236}">
              <a16:creationId xmlns:a16="http://schemas.microsoft.com/office/drawing/2014/main" id="{51A91A3C-B298-4098-882A-1A5254803751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5" name="TextBox 8">
          <a:extLst>
            <a:ext uri="{FF2B5EF4-FFF2-40B4-BE49-F238E27FC236}">
              <a16:creationId xmlns:a16="http://schemas.microsoft.com/office/drawing/2014/main" id="{2A65031F-AD48-451E-98CA-53EDDD4A9F51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6" name="TextBox 2">
          <a:extLst>
            <a:ext uri="{FF2B5EF4-FFF2-40B4-BE49-F238E27FC236}">
              <a16:creationId xmlns:a16="http://schemas.microsoft.com/office/drawing/2014/main" id="{FDCA4AE0-8B70-4DC3-A628-5942E8C47C79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7" name="TextBox 4">
          <a:extLst>
            <a:ext uri="{FF2B5EF4-FFF2-40B4-BE49-F238E27FC236}">
              <a16:creationId xmlns:a16="http://schemas.microsoft.com/office/drawing/2014/main" id="{587B0959-FF80-4D52-95C5-1543FA66B57F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8" name="TextBox 5">
          <a:extLst>
            <a:ext uri="{FF2B5EF4-FFF2-40B4-BE49-F238E27FC236}">
              <a16:creationId xmlns:a16="http://schemas.microsoft.com/office/drawing/2014/main" id="{5A32E96E-0E70-45BB-B6AC-18E3F3D5EF4F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59" name="TextBox 6">
          <a:extLst>
            <a:ext uri="{FF2B5EF4-FFF2-40B4-BE49-F238E27FC236}">
              <a16:creationId xmlns:a16="http://schemas.microsoft.com/office/drawing/2014/main" id="{2E9F7684-809C-4EE9-BDA4-1058B2AC8103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0" name="TextBox 7">
          <a:extLst>
            <a:ext uri="{FF2B5EF4-FFF2-40B4-BE49-F238E27FC236}">
              <a16:creationId xmlns:a16="http://schemas.microsoft.com/office/drawing/2014/main" id="{7965785A-26BB-42C2-8CE9-A6DAF6B1ABE4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1" name="TextBox 8">
          <a:extLst>
            <a:ext uri="{FF2B5EF4-FFF2-40B4-BE49-F238E27FC236}">
              <a16:creationId xmlns:a16="http://schemas.microsoft.com/office/drawing/2014/main" id="{96D36AFF-2700-4675-9B8E-8716878FF198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2" name="TextBox 2">
          <a:extLst>
            <a:ext uri="{FF2B5EF4-FFF2-40B4-BE49-F238E27FC236}">
              <a16:creationId xmlns:a16="http://schemas.microsoft.com/office/drawing/2014/main" id="{CB7B1920-50A0-48C2-BF7A-759414B15518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3" name="TextBox 4">
          <a:extLst>
            <a:ext uri="{FF2B5EF4-FFF2-40B4-BE49-F238E27FC236}">
              <a16:creationId xmlns:a16="http://schemas.microsoft.com/office/drawing/2014/main" id="{52241F4C-EB9A-4F58-BDFF-E4F155FB4E4E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4" name="TextBox 5">
          <a:extLst>
            <a:ext uri="{FF2B5EF4-FFF2-40B4-BE49-F238E27FC236}">
              <a16:creationId xmlns:a16="http://schemas.microsoft.com/office/drawing/2014/main" id="{375D9C00-25ED-438B-B8E5-8A2AEAC8A659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5" name="TextBox 6">
          <a:extLst>
            <a:ext uri="{FF2B5EF4-FFF2-40B4-BE49-F238E27FC236}">
              <a16:creationId xmlns:a16="http://schemas.microsoft.com/office/drawing/2014/main" id="{8E9F33FF-57CB-426D-920E-484904761712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6" name="TextBox 7">
          <a:extLst>
            <a:ext uri="{FF2B5EF4-FFF2-40B4-BE49-F238E27FC236}">
              <a16:creationId xmlns:a16="http://schemas.microsoft.com/office/drawing/2014/main" id="{0F39D7D4-4E97-4801-927C-83E8D831C53B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7" name="TextBox 8">
          <a:extLst>
            <a:ext uri="{FF2B5EF4-FFF2-40B4-BE49-F238E27FC236}">
              <a16:creationId xmlns:a16="http://schemas.microsoft.com/office/drawing/2014/main" id="{8DD82075-5F11-4CFA-B0A1-93C33A312448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8" name="TextBox 2">
          <a:extLst>
            <a:ext uri="{FF2B5EF4-FFF2-40B4-BE49-F238E27FC236}">
              <a16:creationId xmlns:a16="http://schemas.microsoft.com/office/drawing/2014/main" id="{0F36A2FE-AEB8-4883-AD5A-F9867FE9A8CD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69" name="TextBox 4">
          <a:extLst>
            <a:ext uri="{FF2B5EF4-FFF2-40B4-BE49-F238E27FC236}">
              <a16:creationId xmlns:a16="http://schemas.microsoft.com/office/drawing/2014/main" id="{5559B399-9D56-4E51-A2FC-DA10D73896ED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0" name="TextBox 5">
          <a:extLst>
            <a:ext uri="{FF2B5EF4-FFF2-40B4-BE49-F238E27FC236}">
              <a16:creationId xmlns:a16="http://schemas.microsoft.com/office/drawing/2014/main" id="{CC790061-4CD8-45A5-989F-1F24D9928950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1" name="TextBox 6">
          <a:extLst>
            <a:ext uri="{FF2B5EF4-FFF2-40B4-BE49-F238E27FC236}">
              <a16:creationId xmlns:a16="http://schemas.microsoft.com/office/drawing/2014/main" id="{CD22D726-9AA6-49B9-9B0E-A3F38AECEDC6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2" name="TextBox 7">
          <a:extLst>
            <a:ext uri="{FF2B5EF4-FFF2-40B4-BE49-F238E27FC236}">
              <a16:creationId xmlns:a16="http://schemas.microsoft.com/office/drawing/2014/main" id="{AD059E6E-C584-4D28-B725-619870EC7ECF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3" name="TextBox 8">
          <a:extLst>
            <a:ext uri="{FF2B5EF4-FFF2-40B4-BE49-F238E27FC236}">
              <a16:creationId xmlns:a16="http://schemas.microsoft.com/office/drawing/2014/main" id="{1D2CA385-4F73-488A-904C-5D86C9382D86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4" name="TextBox 2">
          <a:extLst>
            <a:ext uri="{FF2B5EF4-FFF2-40B4-BE49-F238E27FC236}">
              <a16:creationId xmlns:a16="http://schemas.microsoft.com/office/drawing/2014/main" id="{86173BE2-47B3-4068-A299-B2A9C8C117B2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5" name="TextBox 4">
          <a:extLst>
            <a:ext uri="{FF2B5EF4-FFF2-40B4-BE49-F238E27FC236}">
              <a16:creationId xmlns:a16="http://schemas.microsoft.com/office/drawing/2014/main" id="{EB912593-6360-4E95-B2A9-CAA18ADCC091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6" name="TextBox 5">
          <a:extLst>
            <a:ext uri="{FF2B5EF4-FFF2-40B4-BE49-F238E27FC236}">
              <a16:creationId xmlns:a16="http://schemas.microsoft.com/office/drawing/2014/main" id="{FFF1B1DF-7C55-4A64-A305-1DD1F37D6440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7" name="TextBox 6">
          <a:extLst>
            <a:ext uri="{FF2B5EF4-FFF2-40B4-BE49-F238E27FC236}">
              <a16:creationId xmlns:a16="http://schemas.microsoft.com/office/drawing/2014/main" id="{6A4393BB-2685-44C2-8D74-93076CE6E28B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8" name="TextBox 7">
          <a:extLst>
            <a:ext uri="{FF2B5EF4-FFF2-40B4-BE49-F238E27FC236}">
              <a16:creationId xmlns:a16="http://schemas.microsoft.com/office/drawing/2014/main" id="{606A1618-29B8-461B-9626-3EB641B02CE3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79" name="TextBox 8">
          <a:extLst>
            <a:ext uri="{FF2B5EF4-FFF2-40B4-BE49-F238E27FC236}">
              <a16:creationId xmlns:a16="http://schemas.microsoft.com/office/drawing/2014/main" id="{7364944C-75E2-47E6-9C40-71796BBDD07A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0" name="TextBox 2">
          <a:extLst>
            <a:ext uri="{FF2B5EF4-FFF2-40B4-BE49-F238E27FC236}">
              <a16:creationId xmlns:a16="http://schemas.microsoft.com/office/drawing/2014/main" id="{C773D447-BAA1-4183-AF52-C4D0A60A053E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1" name="TextBox 4">
          <a:extLst>
            <a:ext uri="{FF2B5EF4-FFF2-40B4-BE49-F238E27FC236}">
              <a16:creationId xmlns:a16="http://schemas.microsoft.com/office/drawing/2014/main" id="{2626E4AF-C6AD-4B8E-9DDA-B2DA923C2792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2" name="TextBox 5">
          <a:extLst>
            <a:ext uri="{FF2B5EF4-FFF2-40B4-BE49-F238E27FC236}">
              <a16:creationId xmlns:a16="http://schemas.microsoft.com/office/drawing/2014/main" id="{28A7B03A-93A6-4E4D-860D-C4E805D430F5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3" name="TextBox 6">
          <a:extLst>
            <a:ext uri="{FF2B5EF4-FFF2-40B4-BE49-F238E27FC236}">
              <a16:creationId xmlns:a16="http://schemas.microsoft.com/office/drawing/2014/main" id="{DAE7D61B-1044-45BC-8E1C-EC5BCC022916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4" name="TextBox 7">
          <a:extLst>
            <a:ext uri="{FF2B5EF4-FFF2-40B4-BE49-F238E27FC236}">
              <a16:creationId xmlns:a16="http://schemas.microsoft.com/office/drawing/2014/main" id="{F9A6C9B6-D210-4BD9-89F0-E182F2B5A893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5" name="TextBox 8">
          <a:extLst>
            <a:ext uri="{FF2B5EF4-FFF2-40B4-BE49-F238E27FC236}">
              <a16:creationId xmlns:a16="http://schemas.microsoft.com/office/drawing/2014/main" id="{3BC3D31D-FB96-4091-9B3F-10F255EFF8F7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6" name="TextBox 2">
          <a:extLst>
            <a:ext uri="{FF2B5EF4-FFF2-40B4-BE49-F238E27FC236}">
              <a16:creationId xmlns:a16="http://schemas.microsoft.com/office/drawing/2014/main" id="{C0062A12-BC55-41BC-98C3-93F2D066CB77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7" name="TextBox 4">
          <a:extLst>
            <a:ext uri="{FF2B5EF4-FFF2-40B4-BE49-F238E27FC236}">
              <a16:creationId xmlns:a16="http://schemas.microsoft.com/office/drawing/2014/main" id="{E687021A-CA17-46A7-A59B-BD377C82AF0F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8" name="TextBox 5">
          <a:extLst>
            <a:ext uri="{FF2B5EF4-FFF2-40B4-BE49-F238E27FC236}">
              <a16:creationId xmlns:a16="http://schemas.microsoft.com/office/drawing/2014/main" id="{CE567F36-0051-48FE-A4CF-6C78444BBCB1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89" name="TextBox 6">
          <a:extLst>
            <a:ext uri="{FF2B5EF4-FFF2-40B4-BE49-F238E27FC236}">
              <a16:creationId xmlns:a16="http://schemas.microsoft.com/office/drawing/2014/main" id="{699545AB-2697-4BE9-80EC-0BDC2BA557B4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0" name="TextBox 7">
          <a:extLst>
            <a:ext uri="{FF2B5EF4-FFF2-40B4-BE49-F238E27FC236}">
              <a16:creationId xmlns:a16="http://schemas.microsoft.com/office/drawing/2014/main" id="{F46FF2BA-A966-41C4-9725-E79D1A0FCD28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1" name="TextBox 8">
          <a:extLst>
            <a:ext uri="{FF2B5EF4-FFF2-40B4-BE49-F238E27FC236}">
              <a16:creationId xmlns:a16="http://schemas.microsoft.com/office/drawing/2014/main" id="{1024920E-A999-4E4E-AD83-B83D96ADD0B9}"/>
            </a:ext>
          </a:extLst>
        </xdr:cNvPr>
        <xdr:cNvSpPr txBox="1"/>
      </xdr:nvSpPr>
      <xdr:spPr>
        <a:xfrm flipH="1">
          <a:off x="1909762" y="389953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2" name="TextBox 2">
          <a:extLst>
            <a:ext uri="{FF2B5EF4-FFF2-40B4-BE49-F238E27FC236}">
              <a16:creationId xmlns:a16="http://schemas.microsoft.com/office/drawing/2014/main" id="{0F978E45-10B9-48F2-B738-43625B7F9215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3" name="TextBox 4">
          <a:extLst>
            <a:ext uri="{FF2B5EF4-FFF2-40B4-BE49-F238E27FC236}">
              <a16:creationId xmlns:a16="http://schemas.microsoft.com/office/drawing/2014/main" id="{5040FF31-EBD6-487F-A274-9408BC25F17E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4" name="TextBox 5">
          <a:extLst>
            <a:ext uri="{FF2B5EF4-FFF2-40B4-BE49-F238E27FC236}">
              <a16:creationId xmlns:a16="http://schemas.microsoft.com/office/drawing/2014/main" id="{93FFC945-0805-4EB4-892C-F7E9EAFCCDCC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5" name="TextBox 6">
          <a:extLst>
            <a:ext uri="{FF2B5EF4-FFF2-40B4-BE49-F238E27FC236}">
              <a16:creationId xmlns:a16="http://schemas.microsoft.com/office/drawing/2014/main" id="{6CE90CF1-D033-41CC-A05A-5B4D3DFA0A12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6" name="TextBox 7">
          <a:extLst>
            <a:ext uri="{FF2B5EF4-FFF2-40B4-BE49-F238E27FC236}">
              <a16:creationId xmlns:a16="http://schemas.microsoft.com/office/drawing/2014/main" id="{B067EFE5-7934-4636-BE57-3AF215DB35AA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7" name="TextBox 8">
          <a:extLst>
            <a:ext uri="{FF2B5EF4-FFF2-40B4-BE49-F238E27FC236}">
              <a16:creationId xmlns:a16="http://schemas.microsoft.com/office/drawing/2014/main" id="{009A24CC-A7A6-459C-AF21-FA2765E7BBFE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8" name="TextBox 2">
          <a:extLst>
            <a:ext uri="{FF2B5EF4-FFF2-40B4-BE49-F238E27FC236}">
              <a16:creationId xmlns:a16="http://schemas.microsoft.com/office/drawing/2014/main" id="{6461C2B5-1584-4451-9575-AF43175B89BD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799" name="TextBox 4">
          <a:extLst>
            <a:ext uri="{FF2B5EF4-FFF2-40B4-BE49-F238E27FC236}">
              <a16:creationId xmlns:a16="http://schemas.microsoft.com/office/drawing/2014/main" id="{5F43C439-FABE-47ED-8C18-2E418A3CDFDC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0" name="TextBox 5">
          <a:extLst>
            <a:ext uri="{FF2B5EF4-FFF2-40B4-BE49-F238E27FC236}">
              <a16:creationId xmlns:a16="http://schemas.microsoft.com/office/drawing/2014/main" id="{84C05F7A-3562-4B69-87AB-410DC3562FAB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1" name="TextBox 6">
          <a:extLst>
            <a:ext uri="{FF2B5EF4-FFF2-40B4-BE49-F238E27FC236}">
              <a16:creationId xmlns:a16="http://schemas.microsoft.com/office/drawing/2014/main" id="{8EF34AD0-519D-4FF9-B125-80EC71A8D9C3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2" name="TextBox 7">
          <a:extLst>
            <a:ext uri="{FF2B5EF4-FFF2-40B4-BE49-F238E27FC236}">
              <a16:creationId xmlns:a16="http://schemas.microsoft.com/office/drawing/2014/main" id="{0CB18A55-63D7-422F-AB5D-5293FBC4263B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3" name="TextBox 8">
          <a:extLst>
            <a:ext uri="{FF2B5EF4-FFF2-40B4-BE49-F238E27FC236}">
              <a16:creationId xmlns:a16="http://schemas.microsoft.com/office/drawing/2014/main" id="{C62D0853-3568-4C51-8697-6BDF97FC6E0E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4" name="TextBox 2">
          <a:extLst>
            <a:ext uri="{FF2B5EF4-FFF2-40B4-BE49-F238E27FC236}">
              <a16:creationId xmlns:a16="http://schemas.microsoft.com/office/drawing/2014/main" id="{08AB7882-F925-47F9-B3DB-74CA05913EC8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5" name="TextBox 4">
          <a:extLst>
            <a:ext uri="{FF2B5EF4-FFF2-40B4-BE49-F238E27FC236}">
              <a16:creationId xmlns:a16="http://schemas.microsoft.com/office/drawing/2014/main" id="{503FDED5-36C8-439E-94BD-B27CD9DB2C5F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6" name="TextBox 5">
          <a:extLst>
            <a:ext uri="{FF2B5EF4-FFF2-40B4-BE49-F238E27FC236}">
              <a16:creationId xmlns:a16="http://schemas.microsoft.com/office/drawing/2014/main" id="{D05C46B6-63D4-49EF-B142-8942AA4C3825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7" name="TextBox 6">
          <a:extLst>
            <a:ext uri="{FF2B5EF4-FFF2-40B4-BE49-F238E27FC236}">
              <a16:creationId xmlns:a16="http://schemas.microsoft.com/office/drawing/2014/main" id="{D191C50C-067F-4FEC-8A9B-3699C6FF290E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8" name="TextBox 7">
          <a:extLst>
            <a:ext uri="{FF2B5EF4-FFF2-40B4-BE49-F238E27FC236}">
              <a16:creationId xmlns:a16="http://schemas.microsoft.com/office/drawing/2014/main" id="{193BF5E7-5463-45B7-A809-B6F6885E20DA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09" name="TextBox 8">
          <a:extLst>
            <a:ext uri="{FF2B5EF4-FFF2-40B4-BE49-F238E27FC236}">
              <a16:creationId xmlns:a16="http://schemas.microsoft.com/office/drawing/2014/main" id="{52FCA720-23D4-483D-A6E8-8323540897A9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0" name="TextBox 2">
          <a:extLst>
            <a:ext uri="{FF2B5EF4-FFF2-40B4-BE49-F238E27FC236}">
              <a16:creationId xmlns:a16="http://schemas.microsoft.com/office/drawing/2014/main" id="{1CF6FEE5-44EB-4B6D-BF70-4E100B4C93CD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1" name="TextBox 4">
          <a:extLst>
            <a:ext uri="{FF2B5EF4-FFF2-40B4-BE49-F238E27FC236}">
              <a16:creationId xmlns:a16="http://schemas.microsoft.com/office/drawing/2014/main" id="{57E19D49-5D63-42CF-A312-394B47B5D8C2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2" name="TextBox 5">
          <a:extLst>
            <a:ext uri="{FF2B5EF4-FFF2-40B4-BE49-F238E27FC236}">
              <a16:creationId xmlns:a16="http://schemas.microsoft.com/office/drawing/2014/main" id="{BE5A0767-DA44-42EC-A769-EE4F93C87691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3" name="TextBox 6">
          <a:extLst>
            <a:ext uri="{FF2B5EF4-FFF2-40B4-BE49-F238E27FC236}">
              <a16:creationId xmlns:a16="http://schemas.microsoft.com/office/drawing/2014/main" id="{F5FB87FA-0D30-4EC3-ABD9-D69029C94E8E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4" name="TextBox 7">
          <a:extLst>
            <a:ext uri="{FF2B5EF4-FFF2-40B4-BE49-F238E27FC236}">
              <a16:creationId xmlns:a16="http://schemas.microsoft.com/office/drawing/2014/main" id="{476B8512-EBFB-4D31-91D3-D80C73151858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5" name="TextBox 8">
          <a:extLst>
            <a:ext uri="{FF2B5EF4-FFF2-40B4-BE49-F238E27FC236}">
              <a16:creationId xmlns:a16="http://schemas.microsoft.com/office/drawing/2014/main" id="{B86BFD30-D322-459F-9964-2D07B5CAC96A}"/>
            </a:ext>
          </a:extLst>
        </xdr:cNvPr>
        <xdr:cNvSpPr txBox="1"/>
      </xdr:nvSpPr>
      <xdr:spPr>
        <a:xfrm flipH="1">
          <a:off x="1909762" y="393858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6" name="TextBox 2">
          <a:extLst>
            <a:ext uri="{FF2B5EF4-FFF2-40B4-BE49-F238E27FC236}">
              <a16:creationId xmlns:a16="http://schemas.microsoft.com/office/drawing/2014/main" id="{4FF7CA00-E523-46EB-AB22-859E4649F64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7" name="TextBox 4">
          <a:extLst>
            <a:ext uri="{FF2B5EF4-FFF2-40B4-BE49-F238E27FC236}">
              <a16:creationId xmlns:a16="http://schemas.microsoft.com/office/drawing/2014/main" id="{A47F38E1-E280-4BFC-A43B-D362E5560003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8" name="TextBox 5">
          <a:extLst>
            <a:ext uri="{FF2B5EF4-FFF2-40B4-BE49-F238E27FC236}">
              <a16:creationId xmlns:a16="http://schemas.microsoft.com/office/drawing/2014/main" id="{80A84CD0-4084-42C2-AD74-BE165B3055D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19" name="TextBox 6">
          <a:extLst>
            <a:ext uri="{FF2B5EF4-FFF2-40B4-BE49-F238E27FC236}">
              <a16:creationId xmlns:a16="http://schemas.microsoft.com/office/drawing/2014/main" id="{17AE89B0-3040-432F-BF4E-3237DA19200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0" name="TextBox 7">
          <a:extLst>
            <a:ext uri="{FF2B5EF4-FFF2-40B4-BE49-F238E27FC236}">
              <a16:creationId xmlns:a16="http://schemas.microsoft.com/office/drawing/2014/main" id="{9C70C471-8300-4302-B2B0-B2C930760B2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1" name="TextBox 8">
          <a:extLst>
            <a:ext uri="{FF2B5EF4-FFF2-40B4-BE49-F238E27FC236}">
              <a16:creationId xmlns:a16="http://schemas.microsoft.com/office/drawing/2014/main" id="{D2FD5B20-829A-4C73-812E-C94FEEED014C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2" name="TextBox 2">
          <a:extLst>
            <a:ext uri="{FF2B5EF4-FFF2-40B4-BE49-F238E27FC236}">
              <a16:creationId xmlns:a16="http://schemas.microsoft.com/office/drawing/2014/main" id="{B8CB5840-5BA6-4944-942E-76A499DF8AF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3" name="TextBox 4">
          <a:extLst>
            <a:ext uri="{FF2B5EF4-FFF2-40B4-BE49-F238E27FC236}">
              <a16:creationId xmlns:a16="http://schemas.microsoft.com/office/drawing/2014/main" id="{1152B211-D68E-4D86-857A-414F4F71F18A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4" name="TextBox 5">
          <a:extLst>
            <a:ext uri="{FF2B5EF4-FFF2-40B4-BE49-F238E27FC236}">
              <a16:creationId xmlns:a16="http://schemas.microsoft.com/office/drawing/2014/main" id="{9D59FE78-5840-4240-94AD-DACF3488248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5" name="TextBox 6">
          <a:extLst>
            <a:ext uri="{FF2B5EF4-FFF2-40B4-BE49-F238E27FC236}">
              <a16:creationId xmlns:a16="http://schemas.microsoft.com/office/drawing/2014/main" id="{2668B0D6-C3CE-431E-BE3F-5740FE24A821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6" name="TextBox 7">
          <a:extLst>
            <a:ext uri="{FF2B5EF4-FFF2-40B4-BE49-F238E27FC236}">
              <a16:creationId xmlns:a16="http://schemas.microsoft.com/office/drawing/2014/main" id="{C26BD3D0-9559-4EDB-9DDA-D3DB2656B330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7" name="TextBox 8">
          <a:extLst>
            <a:ext uri="{FF2B5EF4-FFF2-40B4-BE49-F238E27FC236}">
              <a16:creationId xmlns:a16="http://schemas.microsoft.com/office/drawing/2014/main" id="{A08EDAE9-FDEA-4BD2-8457-33505EECB706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8" name="TextBox 2">
          <a:extLst>
            <a:ext uri="{FF2B5EF4-FFF2-40B4-BE49-F238E27FC236}">
              <a16:creationId xmlns:a16="http://schemas.microsoft.com/office/drawing/2014/main" id="{0A2C7E1F-3D29-4050-93F4-D398E5EF070C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29" name="TextBox 4">
          <a:extLst>
            <a:ext uri="{FF2B5EF4-FFF2-40B4-BE49-F238E27FC236}">
              <a16:creationId xmlns:a16="http://schemas.microsoft.com/office/drawing/2014/main" id="{6955FCCD-CAFE-4DC6-83CD-DF8DF178D8A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0" name="TextBox 5">
          <a:extLst>
            <a:ext uri="{FF2B5EF4-FFF2-40B4-BE49-F238E27FC236}">
              <a16:creationId xmlns:a16="http://schemas.microsoft.com/office/drawing/2014/main" id="{8373742E-B611-4A32-AF68-872B763FAD93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1" name="TextBox 6">
          <a:extLst>
            <a:ext uri="{FF2B5EF4-FFF2-40B4-BE49-F238E27FC236}">
              <a16:creationId xmlns:a16="http://schemas.microsoft.com/office/drawing/2014/main" id="{108C586C-8506-4939-8AF4-DBBA9259A294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2" name="TextBox 7">
          <a:extLst>
            <a:ext uri="{FF2B5EF4-FFF2-40B4-BE49-F238E27FC236}">
              <a16:creationId xmlns:a16="http://schemas.microsoft.com/office/drawing/2014/main" id="{F4AD263A-0D97-402C-B401-05FF08EE71B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3" name="TextBox 8">
          <a:extLst>
            <a:ext uri="{FF2B5EF4-FFF2-40B4-BE49-F238E27FC236}">
              <a16:creationId xmlns:a16="http://schemas.microsoft.com/office/drawing/2014/main" id="{40CB18DF-E8F5-45BE-B25C-65FA01B7865D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4" name="TextBox 2">
          <a:extLst>
            <a:ext uri="{FF2B5EF4-FFF2-40B4-BE49-F238E27FC236}">
              <a16:creationId xmlns:a16="http://schemas.microsoft.com/office/drawing/2014/main" id="{0C20BEAA-E208-4FB3-B692-9326BEC75CF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5" name="TextBox 4">
          <a:extLst>
            <a:ext uri="{FF2B5EF4-FFF2-40B4-BE49-F238E27FC236}">
              <a16:creationId xmlns:a16="http://schemas.microsoft.com/office/drawing/2014/main" id="{67E6FBC5-97FD-4B79-9F51-27B8A8184D2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6" name="TextBox 5">
          <a:extLst>
            <a:ext uri="{FF2B5EF4-FFF2-40B4-BE49-F238E27FC236}">
              <a16:creationId xmlns:a16="http://schemas.microsoft.com/office/drawing/2014/main" id="{E5A4A922-E0C5-4E7B-BFAD-ADF2D17CC57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7" name="TextBox 6">
          <a:extLst>
            <a:ext uri="{FF2B5EF4-FFF2-40B4-BE49-F238E27FC236}">
              <a16:creationId xmlns:a16="http://schemas.microsoft.com/office/drawing/2014/main" id="{D35C8699-2506-442A-AD8F-AB94FC27E4D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8" name="TextBox 7">
          <a:extLst>
            <a:ext uri="{FF2B5EF4-FFF2-40B4-BE49-F238E27FC236}">
              <a16:creationId xmlns:a16="http://schemas.microsoft.com/office/drawing/2014/main" id="{98942C56-EFD8-4B4F-8483-BABC32286B7F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39" name="TextBox 8">
          <a:extLst>
            <a:ext uri="{FF2B5EF4-FFF2-40B4-BE49-F238E27FC236}">
              <a16:creationId xmlns:a16="http://schemas.microsoft.com/office/drawing/2014/main" id="{4ED35654-25E2-4792-AE2E-8D4968AF7397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0" name="TextBox 2">
          <a:extLst>
            <a:ext uri="{FF2B5EF4-FFF2-40B4-BE49-F238E27FC236}">
              <a16:creationId xmlns:a16="http://schemas.microsoft.com/office/drawing/2014/main" id="{ED6CEEE4-16C7-42F8-AE92-9E09B2ADE25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1" name="TextBox 4">
          <a:extLst>
            <a:ext uri="{FF2B5EF4-FFF2-40B4-BE49-F238E27FC236}">
              <a16:creationId xmlns:a16="http://schemas.microsoft.com/office/drawing/2014/main" id="{529BBBA7-64F0-481B-8D0A-FB33DBCE1B7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2" name="TextBox 5">
          <a:extLst>
            <a:ext uri="{FF2B5EF4-FFF2-40B4-BE49-F238E27FC236}">
              <a16:creationId xmlns:a16="http://schemas.microsoft.com/office/drawing/2014/main" id="{63B78E80-22E4-4F92-931E-B7566F3EE0C7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3" name="TextBox 6">
          <a:extLst>
            <a:ext uri="{FF2B5EF4-FFF2-40B4-BE49-F238E27FC236}">
              <a16:creationId xmlns:a16="http://schemas.microsoft.com/office/drawing/2014/main" id="{2F3DA45B-0A1A-4E8B-9286-AD64F2EB92C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4" name="TextBox 7">
          <a:extLst>
            <a:ext uri="{FF2B5EF4-FFF2-40B4-BE49-F238E27FC236}">
              <a16:creationId xmlns:a16="http://schemas.microsoft.com/office/drawing/2014/main" id="{CB84AA94-2311-4A31-9B9E-3C0D4AAA1000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5" name="TextBox 8">
          <a:extLst>
            <a:ext uri="{FF2B5EF4-FFF2-40B4-BE49-F238E27FC236}">
              <a16:creationId xmlns:a16="http://schemas.microsoft.com/office/drawing/2014/main" id="{06BCA5A0-179E-47BD-99F5-6A5B59437405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6" name="TextBox 2">
          <a:extLst>
            <a:ext uri="{FF2B5EF4-FFF2-40B4-BE49-F238E27FC236}">
              <a16:creationId xmlns:a16="http://schemas.microsoft.com/office/drawing/2014/main" id="{ED37CC4B-E8EC-4F83-8E36-1E875B8F894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7" name="TextBox 4">
          <a:extLst>
            <a:ext uri="{FF2B5EF4-FFF2-40B4-BE49-F238E27FC236}">
              <a16:creationId xmlns:a16="http://schemas.microsoft.com/office/drawing/2014/main" id="{74C9F451-63B0-47EB-8635-EF01BB2C067A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8" name="TextBox 5">
          <a:extLst>
            <a:ext uri="{FF2B5EF4-FFF2-40B4-BE49-F238E27FC236}">
              <a16:creationId xmlns:a16="http://schemas.microsoft.com/office/drawing/2014/main" id="{C787ED56-9E7A-4F9D-83B5-58297890E400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49" name="TextBox 6">
          <a:extLst>
            <a:ext uri="{FF2B5EF4-FFF2-40B4-BE49-F238E27FC236}">
              <a16:creationId xmlns:a16="http://schemas.microsoft.com/office/drawing/2014/main" id="{224FBC03-90F0-4DF1-83C6-084C4EE7C103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0" name="TextBox 7">
          <a:extLst>
            <a:ext uri="{FF2B5EF4-FFF2-40B4-BE49-F238E27FC236}">
              <a16:creationId xmlns:a16="http://schemas.microsoft.com/office/drawing/2014/main" id="{421E020C-E394-4E87-A6CC-FFFC2A2E9D5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1" name="TextBox 8">
          <a:extLst>
            <a:ext uri="{FF2B5EF4-FFF2-40B4-BE49-F238E27FC236}">
              <a16:creationId xmlns:a16="http://schemas.microsoft.com/office/drawing/2014/main" id="{8A1E8D0E-279C-4DB5-9983-7457E65F6584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2" name="TextBox 2">
          <a:extLst>
            <a:ext uri="{FF2B5EF4-FFF2-40B4-BE49-F238E27FC236}">
              <a16:creationId xmlns:a16="http://schemas.microsoft.com/office/drawing/2014/main" id="{D83FA3AF-D7E1-4909-B533-5C765C1D433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3" name="TextBox 4">
          <a:extLst>
            <a:ext uri="{FF2B5EF4-FFF2-40B4-BE49-F238E27FC236}">
              <a16:creationId xmlns:a16="http://schemas.microsoft.com/office/drawing/2014/main" id="{5CE40517-0EE4-49DE-978B-57F1DE585D73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4" name="TextBox 5">
          <a:extLst>
            <a:ext uri="{FF2B5EF4-FFF2-40B4-BE49-F238E27FC236}">
              <a16:creationId xmlns:a16="http://schemas.microsoft.com/office/drawing/2014/main" id="{964E51D5-0988-4CF0-95F8-54205D148B0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5" name="TextBox 6">
          <a:extLst>
            <a:ext uri="{FF2B5EF4-FFF2-40B4-BE49-F238E27FC236}">
              <a16:creationId xmlns:a16="http://schemas.microsoft.com/office/drawing/2014/main" id="{DDAB423D-F4DE-4BA8-A51F-C2F776F4462E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6" name="TextBox 7">
          <a:extLst>
            <a:ext uri="{FF2B5EF4-FFF2-40B4-BE49-F238E27FC236}">
              <a16:creationId xmlns:a16="http://schemas.microsoft.com/office/drawing/2014/main" id="{9F107F53-00AA-41D3-8446-79B140C47F6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7" name="TextBox 8">
          <a:extLst>
            <a:ext uri="{FF2B5EF4-FFF2-40B4-BE49-F238E27FC236}">
              <a16:creationId xmlns:a16="http://schemas.microsoft.com/office/drawing/2014/main" id="{F2C6C6D8-55E8-4019-82DF-1F69126A3C50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8" name="TextBox 2">
          <a:extLst>
            <a:ext uri="{FF2B5EF4-FFF2-40B4-BE49-F238E27FC236}">
              <a16:creationId xmlns:a16="http://schemas.microsoft.com/office/drawing/2014/main" id="{0AA67EEF-7A2C-4F31-A609-45ED6022F7ED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59" name="TextBox 4">
          <a:extLst>
            <a:ext uri="{FF2B5EF4-FFF2-40B4-BE49-F238E27FC236}">
              <a16:creationId xmlns:a16="http://schemas.microsoft.com/office/drawing/2014/main" id="{459452AB-9369-4338-BF87-6695455C32C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0" name="TextBox 5">
          <a:extLst>
            <a:ext uri="{FF2B5EF4-FFF2-40B4-BE49-F238E27FC236}">
              <a16:creationId xmlns:a16="http://schemas.microsoft.com/office/drawing/2014/main" id="{B5EEC0A0-4EA0-474B-A0BD-6E565FD914BA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1" name="TextBox 6">
          <a:extLst>
            <a:ext uri="{FF2B5EF4-FFF2-40B4-BE49-F238E27FC236}">
              <a16:creationId xmlns:a16="http://schemas.microsoft.com/office/drawing/2014/main" id="{9769994B-5A14-4C7A-B9A3-E7FBE891626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2" name="TextBox 7">
          <a:extLst>
            <a:ext uri="{FF2B5EF4-FFF2-40B4-BE49-F238E27FC236}">
              <a16:creationId xmlns:a16="http://schemas.microsoft.com/office/drawing/2014/main" id="{E3AEA094-B40F-48D1-A85C-2011F05598E6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3" name="TextBox 8">
          <a:extLst>
            <a:ext uri="{FF2B5EF4-FFF2-40B4-BE49-F238E27FC236}">
              <a16:creationId xmlns:a16="http://schemas.microsoft.com/office/drawing/2014/main" id="{007847C2-6227-4803-89F1-944CCE344D3F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4" name="TextBox 2">
          <a:extLst>
            <a:ext uri="{FF2B5EF4-FFF2-40B4-BE49-F238E27FC236}">
              <a16:creationId xmlns:a16="http://schemas.microsoft.com/office/drawing/2014/main" id="{B415D57C-0B6F-43DE-980A-3C8551724B0C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5" name="TextBox 4">
          <a:extLst>
            <a:ext uri="{FF2B5EF4-FFF2-40B4-BE49-F238E27FC236}">
              <a16:creationId xmlns:a16="http://schemas.microsoft.com/office/drawing/2014/main" id="{9BA38144-08C1-4F72-B3E1-EF3DC05152C7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6" name="TextBox 5">
          <a:extLst>
            <a:ext uri="{FF2B5EF4-FFF2-40B4-BE49-F238E27FC236}">
              <a16:creationId xmlns:a16="http://schemas.microsoft.com/office/drawing/2014/main" id="{D592B07D-4203-4491-A81F-17CD39687F63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7" name="TextBox 6">
          <a:extLst>
            <a:ext uri="{FF2B5EF4-FFF2-40B4-BE49-F238E27FC236}">
              <a16:creationId xmlns:a16="http://schemas.microsoft.com/office/drawing/2014/main" id="{0C1DAC25-5301-4627-9262-D3EF082718D6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8" name="TextBox 7">
          <a:extLst>
            <a:ext uri="{FF2B5EF4-FFF2-40B4-BE49-F238E27FC236}">
              <a16:creationId xmlns:a16="http://schemas.microsoft.com/office/drawing/2014/main" id="{6CD4296D-4F3A-455D-85F9-F43123C0E8BC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69" name="TextBox 8">
          <a:extLst>
            <a:ext uri="{FF2B5EF4-FFF2-40B4-BE49-F238E27FC236}">
              <a16:creationId xmlns:a16="http://schemas.microsoft.com/office/drawing/2014/main" id="{54C5642A-5C48-4749-8AA2-E57B90E6CF8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0" name="TextBox 2">
          <a:extLst>
            <a:ext uri="{FF2B5EF4-FFF2-40B4-BE49-F238E27FC236}">
              <a16:creationId xmlns:a16="http://schemas.microsoft.com/office/drawing/2014/main" id="{C0081A8A-0A67-41F4-BE7D-0D83896C467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1" name="TextBox 4">
          <a:extLst>
            <a:ext uri="{FF2B5EF4-FFF2-40B4-BE49-F238E27FC236}">
              <a16:creationId xmlns:a16="http://schemas.microsoft.com/office/drawing/2014/main" id="{6F853E1D-DA63-4939-A3C4-1C7B8D12CF21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2" name="TextBox 5">
          <a:extLst>
            <a:ext uri="{FF2B5EF4-FFF2-40B4-BE49-F238E27FC236}">
              <a16:creationId xmlns:a16="http://schemas.microsoft.com/office/drawing/2014/main" id="{C23D84B1-9C2C-4371-BA9D-2CFEA6AC6E16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3" name="TextBox 6">
          <a:extLst>
            <a:ext uri="{FF2B5EF4-FFF2-40B4-BE49-F238E27FC236}">
              <a16:creationId xmlns:a16="http://schemas.microsoft.com/office/drawing/2014/main" id="{BBDEBF27-6C4D-4242-886E-7FE7098E6CC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4" name="TextBox 7">
          <a:extLst>
            <a:ext uri="{FF2B5EF4-FFF2-40B4-BE49-F238E27FC236}">
              <a16:creationId xmlns:a16="http://schemas.microsoft.com/office/drawing/2014/main" id="{71E3CA27-D336-4478-A364-2A619F208E30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5" name="TextBox 8">
          <a:extLst>
            <a:ext uri="{FF2B5EF4-FFF2-40B4-BE49-F238E27FC236}">
              <a16:creationId xmlns:a16="http://schemas.microsoft.com/office/drawing/2014/main" id="{0DB259D6-1276-46E5-8AE4-1B8CBC8EF9C4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6" name="TextBox 2">
          <a:extLst>
            <a:ext uri="{FF2B5EF4-FFF2-40B4-BE49-F238E27FC236}">
              <a16:creationId xmlns:a16="http://schemas.microsoft.com/office/drawing/2014/main" id="{EB07A533-5036-4E72-85BC-A43EFAEE789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7" name="TextBox 4">
          <a:extLst>
            <a:ext uri="{FF2B5EF4-FFF2-40B4-BE49-F238E27FC236}">
              <a16:creationId xmlns:a16="http://schemas.microsoft.com/office/drawing/2014/main" id="{DBED6832-715A-46E0-B68E-CAC1DFD6D7DD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8" name="TextBox 5">
          <a:extLst>
            <a:ext uri="{FF2B5EF4-FFF2-40B4-BE49-F238E27FC236}">
              <a16:creationId xmlns:a16="http://schemas.microsoft.com/office/drawing/2014/main" id="{DB9752BA-578A-4222-A807-4727F2904C2D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79" name="TextBox 6">
          <a:extLst>
            <a:ext uri="{FF2B5EF4-FFF2-40B4-BE49-F238E27FC236}">
              <a16:creationId xmlns:a16="http://schemas.microsoft.com/office/drawing/2014/main" id="{02D24537-50E6-48F0-9C6E-A94CB89190A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0" name="TextBox 7">
          <a:extLst>
            <a:ext uri="{FF2B5EF4-FFF2-40B4-BE49-F238E27FC236}">
              <a16:creationId xmlns:a16="http://schemas.microsoft.com/office/drawing/2014/main" id="{3F49F5B0-61E9-41EF-B7D1-552FA0391601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1" name="TextBox 8">
          <a:extLst>
            <a:ext uri="{FF2B5EF4-FFF2-40B4-BE49-F238E27FC236}">
              <a16:creationId xmlns:a16="http://schemas.microsoft.com/office/drawing/2014/main" id="{17A0AE6E-A27D-4DCF-8912-C47E90710B7D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2" name="TextBox 2">
          <a:extLst>
            <a:ext uri="{FF2B5EF4-FFF2-40B4-BE49-F238E27FC236}">
              <a16:creationId xmlns:a16="http://schemas.microsoft.com/office/drawing/2014/main" id="{8D8DA635-04FD-4968-AC0F-C833CA97B91C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3" name="TextBox 4">
          <a:extLst>
            <a:ext uri="{FF2B5EF4-FFF2-40B4-BE49-F238E27FC236}">
              <a16:creationId xmlns:a16="http://schemas.microsoft.com/office/drawing/2014/main" id="{3C179638-E782-4063-A9AF-25C8846D7F39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4" name="TextBox 5">
          <a:extLst>
            <a:ext uri="{FF2B5EF4-FFF2-40B4-BE49-F238E27FC236}">
              <a16:creationId xmlns:a16="http://schemas.microsoft.com/office/drawing/2014/main" id="{98A4FBFF-4C80-4452-8F5C-7D5615F7CA7E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5" name="TextBox 6">
          <a:extLst>
            <a:ext uri="{FF2B5EF4-FFF2-40B4-BE49-F238E27FC236}">
              <a16:creationId xmlns:a16="http://schemas.microsoft.com/office/drawing/2014/main" id="{1AC44A44-8AF8-4369-B13E-C1D14E678F7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6" name="TextBox 7">
          <a:extLst>
            <a:ext uri="{FF2B5EF4-FFF2-40B4-BE49-F238E27FC236}">
              <a16:creationId xmlns:a16="http://schemas.microsoft.com/office/drawing/2014/main" id="{F8443871-C1E3-4C73-8FE9-DBDF94EA9D00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7" name="TextBox 8">
          <a:extLst>
            <a:ext uri="{FF2B5EF4-FFF2-40B4-BE49-F238E27FC236}">
              <a16:creationId xmlns:a16="http://schemas.microsoft.com/office/drawing/2014/main" id="{596AF362-12BF-4DBC-95B6-639542AD352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8" name="TextBox 2">
          <a:extLst>
            <a:ext uri="{FF2B5EF4-FFF2-40B4-BE49-F238E27FC236}">
              <a16:creationId xmlns:a16="http://schemas.microsoft.com/office/drawing/2014/main" id="{D4E105A3-A53B-4A8C-A1A8-94FF9E080CF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89" name="TextBox 4">
          <a:extLst>
            <a:ext uri="{FF2B5EF4-FFF2-40B4-BE49-F238E27FC236}">
              <a16:creationId xmlns:a16="http://schemas.microsoft.com/office/drawing/2014/main" id="{96ACE7B7-BD68-40C5-809D-0219F6A236F4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0" name="TextBox 5">
          <a:extLst>
            <a:ext uri="{FF2B5EF4-FFF2-40B4-BE49-F238E27FC236}">
              <a16:creationId xmlns:a16="http://schemas.microsoft.com/office/drawing/2014/main" id="{CDC24F5C-A2FD-4F6F-8B03-A8FECAA8726F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1" name="TextBox 6">
          <a:extLst>
            <a:ext uri="{FF2B5EF4-FFF2-40B4-BE49-F238E27FC236}">
              <a16:creationId xmlns:a16="http://schemas.microsoft.com/office/drawing/2014/main" id="{B34976D0-CAF9-4675-BFB9-0FDE74378E27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2" name="TextBox 7">
          <a:extLst>
            <a:ext uri="{FF2B5EF4-FFF2-40B4-BE49-F238E27FC236}">
              <a16:creationId xmlns:a16="http://schemas.microsoft.com/office/drawing/2014/main" id="{040D8146-AA8E-4F4C-9ADD-EFD2E20B73C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3" name="TextBox 8">
          <a:extLst>
            <a:ext uri="{FF2B5EF4-FFF2-40B4-BE49-F238E27FC236}">
              <a16:creationId xmlns:a16="http://schemas.microsoft.com/office/drawing/2014/main" id="{06826A2A-AAF1-4620-BAEC-69B39E55BA82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4" name="TextBox 2">
          <a:extLst>
            <a:ext uri="{FF2B5EF4-FFF2-40B4-BE49-F238E27FC236}">
              <a16:creationId xmlns:a16="http://schemas.microsoft.com/office/drawing/2014/main" id="{C258F52D-6137-430D-B9C5-CBE7158D6456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5" name="TextBox 4">
          <a:extLst>
            <a:ext uri="{FF2B5EF4-FFF2-40B4-BE49-F238E27FC236}">
              <a16:creationId xmlns:a16="http://schemas.microsoft.com/office/drawing/2014/main" id="{48B09B63-C7F2-41C8-811D-6A392A48214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6" name="TextBox 5">
          <a:extLst>
            <a:ext uri="{FF2B5EF4-FFF2-40B4-BE49-F238E27FC236}">
              <a16:creationId xmlns:a16="http://schemas.microsoft.com/office/drawing/2014/main" id="{6F980C9E-B2D5-474E-A2FA-02FC15F33A6F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7" name="TextBox 6">
          <a:extLst>
            <a:ext uri="{FF2B5EF4-FFF2-40B4-BE49-F238E27FC236}">
              <a16:creationId xmlns:a16="http://schemas.microsoft.com/office/drawing/2014/main" id="{F9BB4CD9-D496-4078-83BE-4CB8BFCF5AE6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8" name="TextBox 7">
          <a:extLst>
            <a:ext uri="{FF2B5EF4-FFF2-40B4-BE49-F238E27FC236}">
              <a16:creationId xmlns:a16="http://schemas.microsoft.com/office/drawing/2014/main" id="{E2C9CF4A-7E89-495B-B264-81BDB23C5FBB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899" name="TextBox 8">
          <a:extLst>
            <a:ext uri="{FF2B5EF4-FFF2-40B4-BE49-F238E27FC236}">
              <a16:creationId xmlns:a16="http://schemas.microsoft.com/office/drawing/2014/main" id="{BD0CFE1A-60B8-4456-9C0B-8A49DD98AE3D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0" name="TextBox 2">
          <a:extLst>
            <a:ext uri="{FF2B5EF4-FFF2-40B4-BE49-F238E27FC236}">
              <a16:creationId xmlns:a16="http://schemas.microsoft.com/office/drawing/2014/main" id="{DA5465DF-454A-4A1D-9E9A-6EDDEDC85895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1" name="TextBox 4">
          <a:extLst>
            <a:ext uri="{FF2B5EF4-FFF2-40B4-BE49-F238E27FC236}">
              <a16:creationId xmlns:a16="http://schemas.microsoft.com/office/drawing/2014/main" id="{97D809B9-53CD-4C2F-B9E5-E8ACDC1C0D65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2" name="TextBox 5">
          <a:extLst>
            <a:ext uri="{FF2B5EF4-FFF2-40B4-BE49-F238E27FC236}">
              <a16:creationId xmlns:a16="http://schemas.microsoft.com/office/drawing/2014/main" id="{6738447C-4839-438F-AB2C-072294BB586C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3" name="TextBox 6">
          <a:extLst>
            <a:ext uri="{FF2B5EF4-FFF2-40B4-BE49-F238E27FC236}">
              <a16:creationId xmlns:a16="http://schemas.microsoft.com/office/drawing/2014/main" id="{41A45D78-7D89-44BF-A9E3-C2A524FB1FE1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4" name="TextBox 7">
          <a:extLst>
            <a:ext uri="{FF2B5EF4-FFF2-40B4-BE49-F238E27FC236}">
              <a16:creationId xmlns:a16="http://schemas.microsoft.com/office/drawing/2014/main" id="{FCFDC62D-7726-4C1D-A074-C63D9ACC65C7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5" name="TextBox 8">
          <a:extLst>
            <a:ext uri="{FF2B5EF4-FFF2-40B4-BE49-F238E27FC236}">
              <a16:creationId xmlns:a16="http://schemas.microsoft.com/office/drawing/2014/main" id="{08130782-DA9F-46BA-A53C-B68ABC4360A8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6" name="TextBox 2">
          <a:extLst>
            <a:ext uri="{FF2B5EF4-FFF2-40B4-BE49-F238E27FC236}">
              <a16:creationId xmlns:a16="http://schemas.microsoft.com/office/drawing/2014/main" id="{B0280005-0716-48EF-886C-F46CA4B0267F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7" name="TextBox 4">
          <a:extLst>
            <a:ext uri="{FF2B5EF4-FFF2-40B4-BE49-F238E27FC236}">
              <a16:creationId xmlns:a16="http://schemas.microsoft.com/office/drawing/2014/main" id="{A4104D2B-A0B1-45C3-BF9D-E091601612C7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8" name="TextBox 5">
          <a:extLst>
            <a:ext uri="{FF2B5EF4-FFF2-40B4-BE49-F238E27FC236}">
              <a16:creationId xmlns:a16="http://schemas.microsoft.com/office/drawing/2014/main" id="{5AFB6C71-FA4F-454C-AE4A-860392D9A885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09" name="TextBox 6">
          <a:extLst>
            <a:ext uri="{FF2B5EF4-FFF2-40B4-BE49-F238E27FC236}">
              <a16:creationId xmlns:a16="http://schemas.microsoft.com/office/drawing/2014/main" id="{FC103B62-B5B1-4AC7-BBC9-E9DA111A474A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0" name="TextBox 7">
          <a:extLst>
            <a:ext uri="{FF2B5EF4-FFF2-40B4-BE49-F238E27FC236}">
              <a16:creationId xmlns:a16="http://schemas.microsoft.com/office/drawing/2014/main" id="{B12856FF-DDB8-4769-B977-8CB616F64575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1" name="TextBox 8">
          <a:extLst>
            <a:ext uri="{FF2B5EF4-FFF2-40B4-BE49-F238E27FC236}">
              <a16:creationId xmlns:a16="http://schemas.microsoft.com/office/drawing/2014/main" id="{A8462023-F353-4E5E-AC2B-2E07373A6AC6}"/>
            </a:ext>
          </a:extLst>
        </xdr:cNvPr>
        <xdr:cNvSpPr txBox="1"/>
      </xdr:nvSpPr>
      <xdr:spPr>
        <a:xfrm flipH="1">
          <a:off x="1909762" y="397764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2" name="TextBox 2">
          <a:extLst>
            <a:ext uri="{FF2B5EF4-FFF2-40B4-BE49-F238E27FC236}">
              <a16:creationId xmlns:a16="http://schemas.microsoft.com/office/drawing/2014/main" id="{C6434C64-F821-46CD-873D-8073FD58DD58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3" name="TextBox 4">
          <a:extLst>
            <a:ext uri="{FF2B5EF4-FFF2-40B4-BE49-F238E27FC236}">
              <a16:creationId xmlns:a16="http://schemas.microsoft.com/office/drawing/2014/main" id="{8FACC39E-AC59-45D8-A533-3D0E2031BD28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4" name="TextBox 5">
          <a:extLst>
            <a:ext uri="{FF2B5EF4-FFF2-40B4-BE49-F238E27FC236}">
              <a16:creationId xmlns:a16="http://schemas.microsoft.com/office/drawing/2014/main" id="{F8BB1F9D-E0FC-42C1-B114-0BF5655E2AE3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5" name="TextBox 6">
          <a:extLst>
            <a:ext uri="{FF2B5EF4-FFF2-40B4-BE49-F238E27FC236}">
              <a16:creationId xmlns:a16="http://schemas.microsoft.com/office/drawing/2014/main" id="{69D52A0C-BF04-47B5-85D5-AED8A31C0A9B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6" name="TextBox 7">
          <a:extLst>
            <a:ext uri="{FF2B5EF4-FFF2-40B4-BE49-F238E27FC236}">
              <a16:creationId xmlns:a16="http://schemas.microsoft.com/office/drawing/2014/main" id="{A939703D-0DA7-4E72-817E-C01C78822F07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7" name="TextBox 8">
          <a:extLst>
            <a:ext uri="{FF2B5EF4-FFF2-40B4-BE49-F238E27FC236}">
              <a16:creationId xmlns:a16="http://schemas.microsoft.com/office/drawing/2014/main" id="{5C4DFF6E-88F6-40D6-92C9-FDEEB9EBB393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8" name="TextBox 2">
          <a:extLst>
            <a:ext uri="{FF2B5EF4-FFF2-40B4-BE49-F238E27FC236}">
              <a16:creationId xmlns:a16="http://schemas.microsoft.com/office/drawing/2014/main" id="{DFB43F39-7105-44BE-B072-58E0776D41C6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19" name="TextBox 4">
          <a:extLst>
            <a:ext uri="{FF2B5EF4-FFF2-40B4-BE49-F238E27FC236}">
              <a16:creationId xmlns:a16="http://schemas.microsoft.com/office/drawing/2014/main" id="{04CC21CD-35F5-4F50-A103-A6D9140851AC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0" name="TextBox 5">
          <a:extLst>
            <a:ext uri="{FF2B5EF4-FFF2-40B4-BE49-F238E27FC236}">
              <a16:creationId xmlns:a16="http://schemas.microsoft.com/office/drawing/2014/main" id="{EB347DD8-ED7B-44B1-B5E4-52634DC01252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1" name="TextBox 6">
          <a:extLst>
            <a:ext uri="{FF2B5EF4-FFF2-40B4-BE49-F238E27FC236}">
              <a16:creationId xmlns:a16="http://schemas.microsoft.com/office/drawing/2014/main" id="{6FD2C92F-71E9-444D-8F6A-063C5D067C16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2" name="TextBox 7">
          <a:extLst>
            <a:ext uri="{FF2B5EF4-FFF2-40B4-BE49-F238E27FC236}">
              <a16:creationId xmlns:a16="http://schemas.microsoft.com/office/drawing/2014/main" id="{3D0DDE37-49AF-4F41-ADAB-0C026FDE2156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3" name="TextBox 8">
          <a:extLst>
            <a:ext uri="{FF2B5EF4-FFF2-40B4-BE49-F238E27FC236}">
              <a16:creationId xmlns:a16="http://schemas.microsoft.com/office/drawing/2014/main" id="{78407A1D-03EF-4757-877D-0AB4FA701B54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4" name="TextBox 2">
          <a:extLst>
            <a:ext uri="{FF2B5EF4-FFF2-40B4-BE49-F238E27FC236}">
              <a16:creationId xmlns:a16="http://schemas.microsoft.com/office/drawing/2014/main" id="{66DB0F31-AC56-477C-8ED2-FD39B72C52F7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5" name="TextBox 4">
          <a:extLst>
            <a:ext uri="{FF2B5EF4-FFF2-40B4-BE49-F238E27FC236}">
              <a16:creationId xmlns:a16="http://schemas.microsoft.com/office/drawing/2014/main" id="{1F59A014-99BC-46E3-9B8F-CAD14FF1B889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6" name="TextBox 5">
          <a:extLst>
            <a:ext uri="{FF2B5EF4-FFF2-40B4-BE49-F238E27FC236}">
              <a16:creationId xmlns:a16="http://schemas.microsoft.com/office/drawing/2014/main" id="{06BC1057-57A7-44DF-B3F9-4BDDC59D04E1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7" name="TextBox 6">
          <a:extLst>
            <a:ext uri="{FF2B5EF4-FFF2-40B4-BE49-F238E27FC236}">
              <a16:creationId xmlns:a16="http://schemas.microsoft.com/office/drawing/2014/main" id="{FAA56DB1-BF7A-4118-AA13-477DB5848988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8" name="TextBox 7">
          <a:extLst>
            <a:ext uri="{FF2B5EF4-FFF2-40B4-BE49-F238E27FC236}">
              <a16:creationId xmlns:a16="http://schemas.microsoft.com/office/drawing/2014/main" id="{7827F576-04C5-4A21-B687-AE29FF398DB1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29" name="TextBox 8">
          <a:extLst>
            <a:ext uri="{FF2B5EF4-FFF2-40B4-BE49-F238E27FC236}">
              <a16:creationId xmlns:a16="http://schemas.microsoft.com/office/drawing/2014/main" id="{751003C7-3B64-4EB4-9487-B1D89C5EE7B0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0" name="TextBox 2">
          <a:extLst>
            <a:ext uri="{FF2B5EF4-FFF2-40B4-BE49-F238E27FC236}">
              <a16:creationId xmlns:a16="http://schemas.microsoft.com/office/drawing/2014/main" id="{AD4FD062-7DB8-4139-9474-6661020EC8EB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1" name="TextBox 4">
          <a:extLst>
            <a:ext uri="{FF2B5EF4-FFF2-40B4-BE49-F238E27FC236}">
              <a16:creationId xmlns:a16="http://schemas.microsoft.com/office/drawing/2014/main" id="{26505914-D634-4145-8FC4-45E6E2EC550C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2" name="TextBox 5">
          <a:extLst>
            <a:ext uri="{FF2B5EF4-FFF2-40B4-BE49-F238E27FC236}">
              <a16:creationId xmlns:a16="http://schemas.microsoft.com/office/drawing/2014/main" id="{A712601D-4BDB-4A84-BA48-9DAF36254824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3" name="TextBox 6">
          <a:extLst>
            <a:ext uri="{FF2B5EF4-FFF2-40B4-BE49-F238E27FC236}">
              <a16:creationId xmlns:a16="http://schemas.microsoft.com/office/drawing/2014/main" id="{07532102-2950-4E17-B608-C4EF9D1034C3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4" name="TextBox 7">
          <a:extLst>
            <a:ext uri="{FF2B5EF4-FFF2-40B4-BE49-F238E27FC236}">
              <a16:creationId xmlns:a16="http://schemas.microsoft.com/office/drawing/2014/main" id="{C5BAB844-FBA7-4BDF-8610-EF45D096BAC7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5" name="TextBox 8">
          <a:extLst>
            <a:ext uri="{FF2B5EF4-FFF2-40B4-BE49-F238E27FC236}">
              <a16:creationId xmlns:a16="http://schemas.microsoft.com/office/drawing/2014/main" id="{A8519469-FB2B-4F86-B721-EA65247D968B}"/>
            </a:ext>
          </a:extLst>
        </xdr:cNvPr>
        <xdr:cNvSpPr txBox="1"/>
      </xdr:nvSpPr>
      <xdr:spPr>
        <a:xfrm flipH="1">
          <a:off x="1909762" y="417290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6" name="TextBox 2">
          <a:extLst>
            <a:ext uri="{FF2B5EF4-FFF2-40B4-BE49-F238E27FC236}">
              <a16:creationId xmlns:a16="http://schemas.microsoft.com/office/drawing/2014/main" id="{9C2CAE6E-39D5-43B2-A1F5-69AAA53AC386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7" name="TextBox 4">
          <a:extLst>
            <a:ext uri="{FF2B5EF4-FFF2-40B4-BE49-F238E27FC236}">
              <a16:creationId xmlns:a16="http://schemas.microsoft.com/office/drawing/2014/main" id="{6FA42646-8449-4F5D-BDD4-78094BFC0A5E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8" name="TextBox 5">
          <a:extLst>
            <a:ext uri="{FF2B5EF4-FFF2-40B4-BE49-F238E27FC236}">
              <a16:creationId xmlns:a16="http://schemas.microsoft.com/office/drawing/2014/main" id="{7EC034EA-2CB0-4E6D-B92A-B09A0D03030D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39" name="TextBox 6">
          <a:extLst>
            <a:ext uri="{FF2B5EF4-FFF2-40B4-BE49-F238E27FC236}">
              <a16:creationId xmlns:a16="http://schemas.microsoft.com/office/drawing/2014/main" id="{D06C41F9-55A9-4E45-927B-3F280AC1E110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0" name="TextBox 7">
          <a:extLst>
            <a:ext uri="{FF2B5EF4-FFF2-40B4-BE49-F238E27FC236}">
              <a16:creationId xmlns:a16="http://schemas.microsoft.com/office/drawing/2014/main" id="{BE747004-02A5-454F-A741-0B3AE222E52F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1" name="TextBox 8">
          <a:extLst>
            <a:ext uri="{FF2B5EF4-FFF2-40B4-BE49-F238E27FC236}">
              <a16:creationId xmlns:a16="http://schemas.microsoft.com/office/drawing/2014/main" id="{CBD487DA-0E40-4882-AE76-A34B387D3627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2" name="TextBox 2">
          <a:extLst>
            <a:ext uri="{FF2B5EF4-FFF2-40B4-BE49-F238E27FC236}">
              <a16:creationId xmlns:a16="http://schemas.microsoft.com/office/drawing/2014/main" id="{F05D99C3-A9CC-4768-8CDB-7372BD4733C7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3" name="TextBox 4">
          <a:extLst>
            <a:ext uri="{FF2B5EF4-FFF2-40B4-BE49-F238E27FC236}">
              <a16:creationId xmlns:a16="http://schemas.microsoft.com/office/drawing/2014/main" id="{01DA5B8D-DD1A-4B6D-A9F6-E2CBE58B3065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4" name="TextBox 5">
          <a:extLst>
            <a:ext uri="{FF2B5EF4-FFF2-40B4-BE49-F238E27FC236}">
              <a16:creationId xmlns:a16="http://schemas.microsoft.com/office/drawing/2014/main" id="{F9C93E1A-68E4-40A4-B1C8-7F8AE2588A12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5" name="TextBox 6">
          <a:extLst>
            <a:ext uri="{FF2B5EF4-FFF2-40B4-BE49-F238E27FC236}">
              <a16:creationId xmlns:a16="http://schemas.microsoft.com/office/drawing/2014/main" id="{5E7F0B73-A4BD-4022-A059-5374696B4ED3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6" name="TextBox 7">
          <a:extLst>
            <a:ext uri="{FF2B5EF4-FFF2-40B4-BE49-F238E27FC236}">
              <a16:creationId xmlns:a16="http://schemas.microsoft.com/office/drawing/2014/main" id="{56EE5FD3-42D6-4BBA-8C96-5CB685B902A3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7" name="TextBox 8">
          <a:extLst>
            <a:ext uri="{FF2B5EF4-FFF2-40B4-BE49-F238E27FC236}">
              <a16:creationId xmlns:a16="http://schemas.microsoft.com/office/drawing/2014/main" id="{63ECF387-B1CE-4496-A016-497AF674374C}"/>
            </a:ext>
          </a:extLst>
        </xdr:cNvPr>
        <xdr:cNvSpPr txBox="1"/>
      </xdr:nvSpPr>
      <xdr:spPr>
        <a:xfrm flipH="1">
          <a:off x="1909762" y="4251007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8" name="TextBox 2">
          <a:extLst>
            <a:ext uri="{FF2B5EF4-FFF2-40B4-BE49-F238E27FC236}">
              <a16:creationId xmlns:a16="http://schemas.microsoft.com/office/drawing/2014/main" id="{7ED99490-AEF6-419B-A26A-46547DF65F61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49" name="TextBox 4">
          <a:extLst>
            <a:ext uri="{FF2B5EF4-FFF2-40B4-BE49-F238E27FC236}">
              <a16:creationId xmlns:a16="http://schemas.microsoft.com/office/drawing/2014/main" id="{782ABF3B-FA3F-49BE-96D2-715CFECE6668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0" name="TextBox 5">
          <a:extLst>
            <a:ext uri="{FF2B5EF4-FFF2-40B4-BE49-F238E27FC236}">
              <a16:creationId xmlns:a16="http://schemas.microsoft.com/office/drawing/2014/main" id="{E67D9910-5CB4-40A5-BEF4-B0524764D299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1" name="TextBox 6">
          <a:extLst>
            <a:ext uri="{FF2B5EF4-FFF2-40B4-BE49-F238E27FC236}">
              <a16:creationId xmlns:a16="http://schemas.microsoft.com/office/drawing/2014/main" id="{830A6EB1-FAFD-4E6F-93E8-2AA9F225B716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2" name="TextBox 7">
          <a:extLst>
            <a:ext uri="{FF2B5EF4-FFF2-40B4-BE49-F238E27FC236}">
              <a16:creationId xmlns:a16="http://schemas.microsoft.com/office/drawing/2014/main" id="{B094E4F7-AD18-4D12-ABE5-AF90B07ECD44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3" name="TextBox 8">
          <a:extLst>
            <a:ext uri="{FF2B5EF4-FFF2-40B4-BE49-F238E27FC236}">
              <a16:creationId xmlns:a16="http://schemas.microsoft.com/office/drawing/2014/main" id="{6D7CB29D-D921-4532-8944-11B20BDB7D04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4" name="TextBox 2">
          <a:extLst>
            <a:ext uri="{FF2B5EF4-FFF2-40B4-BE49-F238E27FC236}">
              <a16:creationId xmlns:a16="http://schemas.microsoft.com/office/drawing/2014/main" id="{1E18ECD1-7ED9-48A2-95A4-A5D0D8DE6073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5" name="TextBox 4">
          <a:extLst>
            <a:ext uri="{FF2B5EF4-FFF2-40B4-BE49-F238E27FC236}">
              <a16:creationId xmlns:a16="http://schemas.microsoft.com/office/drawing/2014/main" id="{BE44DCBF-D11D-4C89-A360-56C2DB3F63F5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6" name="TextBox 5">
          <a:extLst>
            <a:ext uri="{FF2B5EF4-FFF2-40B4-BE49-F238E27FC236}">
              <a16:creationId xmlns:a16="http://schemas.microsoft.com/office/drawing/2014/main" id="{E21DD775-AE99-4E28-957E-992945D4FBA2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7" name="TextBox 6">
          <a:extLst>
            <a:ext uri="{FF2B5EF4-FFF2-40B4-BE49-F238E27FC236}">
              <a16:creationId xmlns:a16="http://schemas.microsoft.com/office/drawing/2014/main" id="{8D4DD8B3-6932-4222-B0EA-E03CC86E93EC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8" name="TextBox 7">
          <a:extLst>
            <a:ext uri="{FF2B5EF4-FFF2-40B4-BE49-F238E27FC236}">
              <a16:creationId xmlns:a16="http://schemas.microsoft.com/office/drawing/2014/main" id="{6CFB2498-025D-446F-96E0-5E7A49D1D4A5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59" name="TextBox 8">
          <a:extLst>
            <a:ext uri="{FF2B5EF4-FFF2-40B4-BE49-F238E27FC236}">
              <a16:creationId xmlns:a16="http://schemas.microsoft.com/office/drawing/2014/main" id="{4E49A849-10E3-40F1-A9FF-2A7B57B5CC2A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0" name="TextBox 2">
          <a:extLst>
            <a:ext uri="{FF2B5EF4-FFF2-40B4-BE49-F238E27FC236}">
              <a16:creationId xmlns:a16="http://schemas.microsoft.com/office/drawing/2014/main" id="{AB3381CD-4A84-45FF-AB34-05AE50302E0E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1" name="TextBox 4">
          <a:extLst>
            <a:ext uri="{FF2B5EF4-FFF2-40B4-BE49-F238E27FC236}">
              <a16:creationId xmlns:a16="http://schemas.microsoft.com/office/drawing/2014/main" id="{41285329-CAF2-47A9-B2C8-7C6FF3514474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2" name="TextBox 5">
          <a:extLst>
            <a:ext uri="{FF2B5EF4-FFF2-40B4-BE49-F238E27FC236}">
              <a16:creationId xmlns:a16="http://schemas.microsoft.com/office/drawing/2014/main" id="{BF3E2CC9-6DDC-4B32-9CF4-3FD18AAEA914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3" name="TextBox 6">
          <a:extLst>
            <a:ext uri="{FF2B5EF4-FFF2-40B4-BE49-F238E27FC236}">
              <a16:creationId xmlns:a16="http://schemas.microsoft.com/office/drawing/2014/main" id="{A61A3710-D5ED-4947-A9AF-F12D6F30DF3B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4" name="TextBox 7">
          <a:extLst>
            <a:ext uri="{FF2B5EF4-FFF2-40B4-BE49-F238E27FC236}">
              <a16:creationId xmlns:a16="http://schemas.microsoft.com/office/drawing/2014/main" id="{62FC4D32-4696-4430-851F-D97334AE534C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5" name="TextBox 8">
          <a:extLst>
            <a:ext uri="{FF2B5EF4-FFF2-40B4-BE49-F238E27FC236}">
              <a16:creationId xmlns:a16="http://schemas.microsoft.com/office/drawing/2014/main" id="{F470EEBF-9DC1-4A50-B209-79D57EEF2FBD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6" name="TextBox 2">
          <a:extLst>
            <a:ext uri="{FF2B5EF4-FFF2-40B4-BE49-F238E27FC236}">
              <a16:creationId xmlns:a16="http://schemas.microsoft.com/office/drawing/2014/main" id="{82A0EE9A-DC46-4476-8E54-3CB5606DDD2F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7" name="TextBox 4">
          <a:extLst>
            <a:ext uri="{FF2B5EF4-FFF2-40B4-BE49-F238E27FC236}">
              <a16:creationId xmlns:a16="http://schemas.microsoft.com/office/drawing/2014/main" id="{3332A89B-3D27-4FF3-9F17-37037E638E68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8" name="TextBox 5">
          <a:extLst>
            <a:ext uri="{FF2B5EF4-FFF2-40B4-BE49-F238E27FC236}">
              <a16:creationId xmlns:a16="http://schemas.microsoft.com/office/drawing/2014/main" id="{60A45D2A-B54E-4B88-AF51-319F1DFEB147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69" name="TextBox 6">
          <a:extLst>
            <a:ext uri="{FF2B5EF4-FFF2-40B4-BE49-F238E27FC236}">
              <a16:creationId xmlns:a16="http://schemas.microsoft.com/office/drawing/2014/main" id="{7D1B7473-39E2-49BF-8E3D-37DC2822EA15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0" name="TextBox 7">
          <a:extLst>
            <a:ext uri="{FF2B5EF4-FFF2-40B4-BE49-F238E27FC236}">
              <a16:creationId xmlns:a16="http://schemas.microsoft.com/office/drawing/2014/main" id="{8D2E6046-ACE1-4FE7-B3F7-8E2CB4235E93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1" name="TextBox 8">
          <a:extLst>
            <a:ext uri="{FF2B5EF4-FFF2-40B4-BE49-F238E27FC236}">
              <a16:creationId xmlns:a16="http://schemas.microsoft.com/office/drawing/2014/main" id="{3BC9C057-A059-4E56-B902-90A516716A25}"/>
            </a:ext>
          </a:extLst>
        </xdr:cNvPr>
        <xdr:cNvSpPr txBox="1"/>
      </xdr:nvSpPr>
      <xdr:spPr>
        <a:xfrm flipH="1"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2" name="TextBox 8380">
          <a:extLst>
            <a:ext uri="{FF2B5EF4-FFF2-40B4-BE49-F238E27FC236}">
              <a16:creationId xmlns:a16="http://schemas.microsoft.com/office/drawing/2014/main" id="{BFDC9AE6-F5A4-41E6-B7DF-F6ACCA46E5E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3" name="TextBox 8381">
          <a:extLst>
            <a:ext uri="{FF2B5EF4-FFF2-40B4-BE49-F238E27FC236}">
              <a16:creationId xmlns:a16="http://schemas.microsoft.com/office/drawing/2014/main" id="{D1BE9341-615F-4C25-8C2D-ADDB77DC85C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4" name="TextBox 8382">
          <a:extLst>
            <a:ext uri="{FF2B5EF4-FFF2-40B4-BE49-F238E27FC236}">
              <a16:creationId xmlns:a16="http://schemas.microsoft.com/office/drawing/2014/main" id="{81863DF9-ADC5-46C2-8459-725E14C632C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5" name="TextBox 8383">
          <a:extLst>
            <a:ext uri="{FF2B5EF4-FFF2-40B4-BE49-F238E27FC236}">
              <a16:creationId xmlns:a16="http://schemas.microsoft.com/office/drawing/2014/main" id="{CDF81227-868A-4931-B7DE-F77C3D6A77C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6" name="TextBox 13">
          <a:extLst>
            <a:ext uri="{FF2B5EF4-FFF2-40B4-BE49-F238E27FC236}">
              <a16:creationId xmlns:a16="http://schemas.microsoft.com/office/drawing/2014/main" id="{E5450287-5F5A-4E73-9B60-351BA9B7814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7" name="TextBox 14">
          <a:extLst>
            <a:ext uri="{FF2B5EF4-FFF2-40B4-BE49-F238E27FC236}">
              <a16:creationId xmlns:a16="http://schemas.microsoft.com/office/drawing/2014/main" id="{66133A0D-70A2-4AB7-A2CD-4CC6F0AF1C5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8" name="TextBox 8406">
          <a:extLst>
            <a:ext uri="{FF2B5EF4-FFF2-40B4-BE49-F238E27FC236}">
              <a16:creationId xmlns:a16="http://schemas.microsoft.com/office/drawing/2014/main" id="{06ACA5A9-55A7-4289-9472-DA38CA06262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79" name="TextBox 8407">
          <a:extLst>
            <a:ext uri="{FF2B5EF4-FFF2-40B4-BE49-F238E27FC236}">
              <a16:creationId xmlns:a16="http://schemas.microsoft.com/office/drawing/2014/main" id="{3C4961E6-66F6-4502-94DD-8EB97B9967A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0" name="TextBox 8408">
          <a:extLst>
            <a:ext uri="{FF2B5EF4-FFF2-40B4-BE49-F238E27FC236}">
              <a16:creationId xmlns:a16="http://schemas.microsoft.com/office/drawing/2014/main" id="{94115FBB-29B4-43D1-B24E-064362664F7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1" name="TextBox 8409">
          <a:extLst>
            <a:ext uri="{FF2B5EF4-FFF2-40B4-BE49-F238E27FC236}">
              <a16:creationId xmlns:a16="http://schemas.microsoft.com/office/drawing/2014/main" id="{17EA1E22-51CA-476C-B934-0287E2F9460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2" name="TextBox 15">
          <a:extLst>
            <a:ext uri="{FF2B5EF4-FFF2-40B4-BE49-F238E27FC236}">
              <a16:creationId xmlns:a16="http://schemas.microsoft.com/office/drawing/2014/main" id="{9E6ABEAE-11D1-48AB-BE99-1B32A4F6546C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3" name="TextBox 16">
          <a:extLst>
            <a:ext uri="{FF2B5EF4-FFF2-40B4-BE49-F238E27FC236}">
              <a16:creationId xmlns:a16="http://schemas.microsoft.com/office/drawing/2014/main" id="{A4137E3E-43A7-4E4F-ADFA-F82050D26FE6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4" name="TextBox 17">
          <a:extLst>
            <a:ext uri="{FF2B5EF4-FFF2-40B4-BE49-F238E27FC236}">
              <a16:creationId xmlns:a16="http://schemas.microsoft.com/office/drawing/2014/main" id="{BE1515EF-434C-4C53-935B-3F29EFB6AFD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5" name="TextBox 18">
          <a:extLst>
            <a:ext uri="{FF2B5EF4-FFF2-40B4-BE49-F238E27FC236}">
              <a16:creationId xmlns:a16="http://schemas.microsoft.com/office/drawing/2014/main" id="{6FBCDB03-C1F3-4D8A-8A50-DB04C925FE2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6" name="TextBox 8414">
          <a:extLst>
            <a:ext uri="{FF2B5EF4-FFF2-40B4-BE49-F238E27FC236}">
              <a16:creationId xmlns:a16="http://schemas.microsoft.com/office/drawing/2014/main" id="{C9243B4F-C4CE-4F74-B822-E5B656549680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7" name="TextBox 8415">
          <a:extLst>
            <a:ext uri="{FF2B5EF4-FFF2-40B4-BE49-F238E27FC236}">
              <a16:creationId xmlns:a16="http://schemas.microsoft.com/office/drawing/2014/main" id="{A9FE0E1A-495F-4390-9E20-05649896DB26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8" name="TextBox 1">
          <a:extLst>
            <a:ext uri="{FF2B5EF4-FFF2-40B4-BE49-F238E27FC236}">
              <a16:creationId xmlns:a16="http://schemas.microsoft.com/office/drawing/2014/main" id="{E610BE2B-5FB2-40DE-A283-6A98129D3BF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89" name="TextBox 3">
          <a:extLst>
            <a:ext uri="{FF2B5EF4-FFF2-40B4-BE49-F238E27FC236}">
              <a16:creationId xmlns:a16="http://schemas.microsoft.com/office/drawing/2014/main" id="{D5040082-20B2-4B14-87C5-EE544363BDB5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0" name="TextBox 8418">
          <a:extLst>
            <a:ext uri="{FF2B5EF4-FFF2-40B4-BE49-F238E27FC236}">
              <a16:creationId xmlns:a16="http://schemas.microsoft.com/office/drawing/2014/main" id="{7EB1CEB5-24F9-4F24-9674-783FD34DD7B1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1" name="TextBox 8419">
          <a:extLst>
            <a:ext uri="{FF2B5EF4-FFF2-40B4-BE49-F238E27FC236}">
              <a16:creationId xmlns:a16="http://schemas.microsoft.com/office/drawing/2014/main" id="{5A9EA59C-BDBD-4709-85FB-6890DC0FF0F6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2" name="TextBox 8420">
          <a:extLst>
            <a:ext uri="{FF2B5EF4-FFF2-40B4-BE49-F238E27FC236}">
              <a16:creationId xmlns:a16="http://schemas.microsoft.com/office/drawing/2014/main" id="{91E4D783-0FA8-4600-A8F0-B9D0B9727FA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3" name="TextBox 8421">
          <a:extLst>
            <a:ext uri="{FF2B5EF4-FFF2-40B4-BE49-F238E27FC236}">
              <a16:creationId xmlns:a16="http://schemas.microsoft.com/office/drawing/2014/main" id="{7C3D6626-C58B-4DA4-9E5F-C71F954EC33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4" name="TextBox 8422">
          <a:extLst>
            <a:ext uri="{FF2B5EF4-FFF2-40B4-BE49-F238E27FC236}">
              <a16:creationId xmlns:a16="http://schemas.microsoft.com/office/drawing/2014/main" id="{A3B24462-D06E-4631-8CCC-A76CD128F9BE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5" name="TextBox 8423">
          <a:extLst>
            <a:ext uri="{FF2B5EF4-FFF2-40B4-BE49-F238E27FC236}">
              <a16:creationId xmlns:a16="http://schemas.microsoft.com/office/drawing/2014/main" id="{DEE8F0C1-0F1C-4A8D-B5E8-E8BE2BBB85F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6" name="TextBox 8424">
          <a:extLst>
            <a:ext uri="{FF2B5EF4-FFF2-40B4-BE49-F238E27FC236}">
              <a16:creationId xmlns:a16="http://schemas.microsoft.com/office/drawing/2014/main" id="{7CCC0017-7257-4EFF-8505-1E222AE34E3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7" name="TextBox 8425">
          <a:extLst>
            <a:ext uri="{FF2B5EF4-FFF2-40B4-BE49-F238E27FC236}">
              <a16:creationId xmlns:a16="http://schemas.microsoft.com/office/drawing/2014/main" id="{D16937DD-96D0-4881-92E4-DDF3880A807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8" name="TextBox 8426">
          <a:extLst>
            <a:ext uri="{FF2B5EF4-FFF2-40B4-BE49-F238E27FC236}">
              <a16:creationId xmlns:a16="http://schemas.microsoft.com/office/drawing/2014/main" id="{0AA14FBB-CB20-4868-9D18-D47F18B3392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2999" name="TextBox 8427">
          <a:extLst>
            <a:ext uri="{FF2B5EF4-FFF2-40B4-BE49-F238E27FC236}">
              <a16:creationId xmlns:a16="http://schemas.microsoft.com/office/drawing/2014/main" id="{B5E6F587-548C-49E5-97B8-40F58431C81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0" name="TextBox 13">
          <a:extLst>
            <a:ext uri="{FF2B5EF4-FFF2-40B4-BE49-F238E27FC236}">
              <a16:creationId xmlns:a16="http://schemas.microsoft.com/office/drawing/2014/main" id="{2B5C60D9-7AA0-45FA-9E02-338CC14305CE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1" name="TextBox 14">
          <a:extLst>
            <a:ext uri="{FF2B5EF4-FFF2-40B4-BE49-F238E27FC236}">
              <a16:creationId xmlns:a16="http://schemas.microsoft.com/office/drawing/2014/main" id="{ED71B3BB-DA57-4A51-8C66-AAF880913B80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2" name="TextBox 8430">
          <a:extLst>
            <a:ext uri="{FF2B5EF4-FFF2-40B4-BE49-F238E27FC236}">
              <a16:creationId xmlns:a16="http://schemas.microsoft.com/office/drawing/2014/main" id="{929E2196-A65A-4BDD-B883-EFDD8B7C2BA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3" name="TextBox 8431">
          <a:extLst>
            <a:ext uri="{FF2B5EF4-FFF2-40B4-BE49-F238E27FC236}">
              <a16:creationId xmlns:a16="http://schemas.microsoft.com/office/drawing/2014/main" id="{7E1955E5-2891-44A8-8410-8F29957FA26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4" name="TextBox 8432">
          <a:extLst>
            <a:ext uri="{FF2B5EF4-FFF2-40B4-BE49-F238E27FC236}">
              <a16:creationId xmlns:a16="http://schemas.microsoft.com/office/drawing/2014/main" id="{9B2AF6F3-FE13-4507-9153-573D4743A2C0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5" name="TextBox 8433">
          <a:extLst>
            <a:ext uri="{FF2B5EF4-FFF2-40B4-BE49-F238E27FC236}">
              <a16:creationId xmlns:a16="http://schemas.microsoft.com/office/drawing/2014/main" id="{12F10FCB-1244-497F-BD5B-F3C3591E2CA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6" name="TextBox 15">
          <a:extLst>
            <a:ext uri="{FF2B5EF4-FFF2-40B4-BE49-F238E27FC236}">
              <a16:creationId xmlns:a16="http://schemas.microsoft.com/office/drawing/2014/main" id="{C31A45B0-1C64-46E7-898A-E7BB048DD98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7" name="TextBox 16">
          <a:extLst>
            <a:ext uri="{FF2B5EF4-FFF2-40B4-BE49-F238E27FC236}">
              <a16:creationId xmlns:a16="http://schemas.microsoft.com/office/drawing/2014/main" id="{11ABB46E-BAD9-4326-8D70-68DCA9CE18B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8" name="TextBox 17">
          <a:extLst>
            <a:ext uri="{FF2B5EF4-FFF2-40B4-BE49-F238E27FC236}">
              <a16:creationId xmlns:a16="http://schemas.microsoft.com/office/drawing/2014/main" id="{8BBA9C92-5080-4A6E-8C6F-3CC5AC30FD2C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09" name="TextBox 18">
          <a:extLst>
            <a:ext uri="{FF2B5EF4-FFF2-40B4-BE49-F238E27FC236}">
              <a16:creationId xmlns:a16="http://schemas.microsoft.com/office/drawing/2014/main" id="{CC8B33F8-04F5-4370-BE1D-175DAA0B144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0" name="TextBox 8438">
          <a:extLst>
            <a:ext uri="{FF2B5EF4-FFF2-40B4-BE49-F238E27FC236}">
              <a16:creationId xmlns:a16="http://schemas.microsoft.com/office/drawing/2014/main" id="{D9B2263A-D480-4311-8D96-D7AAFC5F615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1" name="TextBox 8439">
          <a:extLst>
            <a:ext uri="{FF2B5EF4-FFF2-40B4-BE49-F238E27FC236}">
              <a16:creationId xmlns:a16="http://schemas.microsoft.com/office/drawing/2014/main" id="{4779C136-8F27-4718-B690-CE0BD42B5D1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2" name="TextBox 1">
          <a:extLst>
            <a:ext uri="{FF2B5EF4-FFF2-40B4-BE49-F238E27FC236}">
              <a16:creationId xmlns:a16="http://schemas.microsoft.com/office/drawing/2014/main" id="{887E86D7-E862-4FDD-8EF3-47324A3C9120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3" name="TextBox 3">
          <a:extLst>
            <a:ext uri="{FF2B5EF4-FFF2-40B4-BE49-F238E27FC236}">
              <a16:creationId xmlns:a16="http://schemas.microsoft.com/office/drawing/2014/main" id="{CB21AFCB-1AE0-43EA-B5E3-A2334941939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4" name="TextBox 8442">
          <a:extLst>
            <a:ext uri="{FF2B5EF4-FFF2-40B4-BE49-F238E27FC236}">
              <a16:creationId xmlns:a16="http://schemas.microsoft.com/office/drawing/2014/main" id="{79196D25-146D-4A41-B9AD-F5483753375E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5" name="TextBox 8443">
          <a:extLst>
            <a:ext uri="{FF2B5EF4-FFF2-40B4-BE49-F238E27FC236}">
              <a16:creationId xmlns:a16="http://schemas.microsoft.com/office/drawing/2014/main" id="{1FB03947-F32E-4022-87F2-A874A274E0A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6" name="TextBox 8444">
          <a:extLst>
            <a:ext uri="{FF2B5EF4-FFF2-40B4-BE49-F238E27FC236}">
              <a16:creationId xmlns:a16="http://schemas.microsoft.com/office/drawing/2014/main" id="{6AA8BA97-1FC5-4B39-B5D9-920F2CAF2E3E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7" name="TextBox 8445">
          <a:extLst>
            <a:ext uri="{FF2B5EF4-FFF2-40B4-BE49-F238E27FC236}">
              <a16:creationId xmlns:a16="http://schemas.microsoft.com/office/drawing/2014/main" id="{BACD856F-3938-4FA7-A0D9-60FA20F5CF7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8" name="TextBox 8446">
          <a:extLst>
            <a:ext uri="{FF2B5EF4-FFF2-40B4-BE49-F238E27FC236}">
              <a16:creationId xmlns:a16="http://schemas.microsoft.com/office/drawing/2014/main" id="{A33B97E1-2469-4943-A55D-9EBB986C211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19" name="TextBox 8447">
          <a:extLst>
            <a:ext uri="{FF2B5EF4-FFF2-40B4-BE49-F238E27FC236}">
              <a16:creationId xmlns:a16="http://schemas.microsoft.com/office/drawing/2014/main" id="{CE75229C-8E73-4A3D-87CC-4027B08207E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0" name="TextBox 8448">
          <a:extLst>
            <a:ext uri="{FF2B5EF4-FFF2-40B4-BE49-F238E27FC236}">
              <a16:creationId xmlns:a16="http://schemas.microsoft.com/office/drawing/2014/main" id="{BCBF459C-EE18-4784-B78B-5FA59556C66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1" name="TextBox 8449">
          <a:extLst>
            <a:ext uri="{FF2B5EF4-FFF2-40B4-BE49-F238E27FC236}">
              <a16:creationId xmlns:a16="http://schemas.microsoft.com/office/drawing/2014/main" id="{75D532EA-9B84-488B-96D9-038C072CA2E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2" name="TextBox 8450">
          <a:extLst>
            <a:ext uri="{FF2B5EF4-FFF2-40B4-BE49-F238E27FC236}">
              <a16:creationId xmlns:a16="http://schemas.microsoft.com/office/drawing/2014/main" id="{FD8E64E2-DE82-4DCB-AAE3-9DE6B4B1B66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3" name="TextBox 8451">
          <a:extLst>
            <a:ext uri="{FF2B5EF4-FFF2-40B4-BE49-F238E27FC236}">
              <a16:creationId xmlns:a16="http://schemas.microsoft.com/office/drawing/2014/main" id="{B6638A16-CFAA-4F35-9B50-047D5B42C21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4" name="TextBox 13">
          <a:extLst>
            <a:ext uri="{FF2B5EF4-FFF2-40B4-BE49-F238E27FC236}">
              <a16:creationId xmlns:a16="http://schemas.microsoft.com/office/drawing/2014/main" id="{932F9FBC-2A45-4755-8F87-B20FE1BCE08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5" name="TextBox 14">
          <a:extLst>
            <a:ext uri="{FF2B5EF4-FFF2-40B4-BE49-F238E27FC236}">
              <a16:creationId xmlns:a16="http://schemas.microsoft.com/office/drawing/2014/main" id="{19A6F9FB-0BB9-43D5-A508-1535B840547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6" name="TextBox 8454">
          <a:extLst>
            <a:ext uri="{FF2B5EF4-FFF2-40B4-BE49-F238E27FC236}">
              <a16:creationId xmlns:a16="http://schemas.microsoft.com/office/drawing/2014/main" id="{7769EFA8-E0A2-4B57-8A07-E4FDA7CBF696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7" name="TextBox 8455">
          <a:extLst>
            <a:ext uri="{FF2B5EF4-FFF2-40B4-BE49-F238E27FC236}">
              <a16:creationId xmlns:a16="http://schemas.microsoft.com/office/drawing/2014/main" id="{58D93F29-07C2-4ECC-A61C-25446DA1510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8" name="TextBox 8456">
          <a:extLst>
            <a:ext uri="{FF2B5EF4-FFF2-40B4-BE49-F238E27FC236}">
              <a16:creationId xmlns:a16="http://schemas.microsoft.com/office/drawing/2014/main" id="{9CFE92BE-9E1C-42EC-8710-1A93E40272B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29" name="TextBox 8457">
          <a:extLst>
            <a:ext uri="{FF2B5EF4-FFF2-40B4-BE49-F238E27FC236}">
              <a16:creationId xmlns:a16="http://schemas.microsoft.com/office/drawing/2014/main" id="{E799FD0D-0D1A-4359-998E-0561F54DD7C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0" name="TextBox 15">
          <a:extLst>
            <a:ext uri="{FF2B5EF4-FFF2-40B4-BE49-F238E27FC236}">
              <a16:creationId xmlns:a16="http://schemas.microsoft.com/office/drawing/2014/main" id="{B23116EA-66FD-4D83-9333-029601462DF0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1" name="TextBox 16">
          <a:extLst>
            <a:ext uri="{FF2B5EF4-FFF2-40B4-BE49-F238E27FC236}">
              <a16:creationId xmlns:a16="http://schemas.microsoft.com/office/drawing/2014/main" id="{F18E1EEB-F1BB-4C57-897E-FDC275ED798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2" name="TextBox 17">
          <a:extLst>
            <a:ext uri="{FF2B5EF4-FFF2-40B4-BE49-F238E27FC236}">
              <a16:creationId xmlns:a16="http://schemas.microsoft.com/office/drawing/2014/main" id="{A1DC7D44-24E7-4A8D-A4BD-88D02878D4E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3" name="TextBox 18">
          <a:extLst>
            <a:ext uri="{FF2B5EF4-FFF2-40B4-BE49-F238E27FC236}">
              <a16:creationId xmlns:a16="http://schemas.microsoft.com/office/drawing/2014/main" id="{4D5CF376-6BD3-47E7-BBE9-D561A646C3A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4" name="TextBox 8462">
          <a:extLst>
            <a:ext uri="{FF2B5EF4-FFF2-40B4-BE49-F238E27FC236}">
              <a16:creationId xmlns:a16="http://schemas.microsoft.com/office/drawing/2014/main" id="{16617995-9D25-4695-B63D-FBE6F4608D2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5" name="TextBox 8463">
          <a:extLst>
            <a:ext uri="{FF2B5EF4-FFF2-40B4-BE49-F238E27FC236}">
              <a16:creationId xmlns:a16="http://schemas.microsoft.com/office/drawing/2014/main" id="{9C4161E0-66FC-49DC-B97B-51CA42B6410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6" name="TextBox 1">
          <a:extLst>
            <a:ext uri="{FF2B5EF4-FFF2-40B4-BE49-F238E27FC236}">
              <a16:creationId xmlns:a16="http://schemas.microsoft.com/office/drawing/2014/main" id="{50557FB2-4BC7-4A95-B077-11E657F636B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7" name="TextBox 3">
          <a:extLst>
            <a:ext uri="{FF2B5EF4-FFF2-40B4-BE49-F238E27FC236}">
              <a16:creationId xmlns:a16="http://schemas.microsoft.com/office/drawing/2014/main" id="{0D983D60-635A-43CE-A177-1CB3B557778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8" name="TextBox 8466">
          <a:extLst>
            <a:ext uri="{FF2B5EF4-FFF2-40B4-BE49-F238E27FC236}">
              <a16:creationId xmlns:a16="http://schemas.microsoft.com/office/drawing/2014/main" id="{03200E12-E4F4-4BAE-AB3C-91613E9E38C6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39" name="TextBox 8467">
          <a:extLst>
            <a:ext uri="{FF2B5EF4-FFF2-40B4-BE49-F238E27FC236}">
              <a16:creationId xmlns:a16="http://schemas.microsoft.com/office/drawing/2014/main" id="{1575F6BD-DF83-447A-8E07-949F27C4CCB0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0" name="TextBox 8468">
          <a:extLst>
            <a:ext uri="{FF2B5EF4-FFF2-40B4-BE49-F238E27FC236}">
              <a16:creationId xmlns:a16="http://schemas.microsoft.com/office/drawing/2014/main" id="{04F2FC29-2812-40EF-817B-9C192F4B52F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1" name="TextBox 8469">
          <a:extLst>
            <a:ext uri="{FF2B5EF4-FFF2-40B4-BE49-F238E27FC236}">
              <a16:creationId xmlns:a16="http://schemas.microsoft.com/office/drawing/2014/main" id="{66CBE7D1-9F5A-4464-B42C-61A6F2342E7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2" name="TextBox 8470">
          <a:extLst>
            <a:ext uri="{FF2B5EF4-FFF2-40B4-BE49-F238E27FC236}">
              <a16:creationId xmlns:a16="http://schemas.microsoft.com/office/drawing/2014/main" id="{D748B9CD-FC63-458A-AB15-EC76C2441455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3" name="TextBox 8471">
          <a:extLst>
            <a:ext uri="{FF2B5EF4-FFF2-40B4-BE49-F238E27FC236}">
              <a16:creationId xmlns:a16="http://schemas.microsoft.com/office/drawing/2014/main" id="{8E87E198-529A-4A37-BA3A-121623E81D8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4" name="TextBox 8472">
          <a:extLst>
            <a:ext uri="{FF2B5EF4-FFF2-40B4-BE49-F238E27FC236}">
              <a16:creationId xmlns:a16="http://schemas.microsoft.com/office/drawing/2014/main" id="{330878D8-9F52-4859-9C46-8F1182209AA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5" name="TextBox 8473">
          <a:extLst>
            <a:ext uri="{FF2B5EF4-FFF2-40B4-BE49-F238E27FC236}">
              <a16:creationId xmlns:a16="http://schemas.microsoft.com/office/drawing/2014/main" id="{85A942C2-39E3-47EA-8CB7-CD0C0F48A9D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6" name="TextBox 8474">
          <a:extLst>
            <a:ext uri="{FF2B5EF4-FFF2-40B4-BE49-F238E27FC236}">
              <a16:creationId xmlns:a16="http://schemas.microsoft.com/office/drawing/2014/main" id="{5FB596FA-F335-4FCE-8DA0-CE6ECD8E6E55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7" name="TextBox 8475">
          <a:extLst>
            <a:ext uri="{FF2B5EF4-FFF2-40B4-BE49-F238E27FC236}">
              <a16:creationId xmlns:a16="http://schemas.microsoft.com/office/drawing/2014/main" id="{CD39CEA6-3FA1-4953-B9CE-F435286E3ED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8" name="TextBox 13">
          <a:extLst>
            <a:ext uri="{FF2B5EF4-FFF2-40B4-BE49-F238E27FC236}">
              <a16:creationId xmlns:a16="http://schemas.microsoft.com/office/drawing/2014/main" id="{875314FD-6C56-4F8A-A422-3836609021C1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49" name="TextBox 14">
          <a:extLst>
            <a:ext uri="{FF2B5EF4-FFF2-40B4-BE49-F238E27FC236}">
              <a16:creationId xmlns:a16="http://schemas.microsoft.com/office/drawing/2014/main" id="{840251F4-5744-42DF-B942-8B1F9DDD97C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0" name="TextBox 8478">
          <a:extLst>
            <a:ext uri="{FF2B5EF4-FFF2-40B4-BE49-F238E27FC236}">
              <a16:creationId xmlns:a16="http://schemas.microsoft.com/office/drawing/2014/main" id="{6F3E3B86-5425-4325-B9A0-DF8CA9AA805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1" name="TextBox 8479">
          <a:extLst>
            <a:ext uri="{FF2B5EF4-FFF2-40B4-BE49-F238E27FC236}">
              <a16:creationId xmlns:a16="http://schemas.microsoft.com/office/drawing/2014/main" id="{C63AC564-7B1C-4E41-8271-2B599D5FDE1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2" name="TextBox 8480">
          <a:extLst>
            <a:ext uri="{FF2B5EF4-FFF2-40B4-BE49-F238E27FC236}">
              <a16:creationId xmlns:a16="http://schemas.microsoft.com/office/drawing/2014/main" id="{60B91051-2E54-463F-828E-0FE37D2604C5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3" name="TextBox 8481">
          <a:extLst>
            <a:ext uri="{FF2B5EF4-FFF2-40B4-BE49-F238E27FC236}">
              <a16:creationId xmlns:a16="http://schemas.microsoft.com/office/drawing/2014/main" id="{1142A0E1-243A-4D57-973C-47472357097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4" name="TextBox 15">
          <a:extLst>
            <a:ext uri="{FF2B5EF4-FFF2-40B4-BE49-F238E27FC236}">
              <a16:creationId xmlns:a16="http://schemas.microsoft.com/office/drawing/2014/main" id="{16F279CF-50BC-458C-AE85-61DEC85B0CFB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5" name="TextBox 16">
          <a:extLst>
            <a:ext uri="{FF2B5EF4-FFF2-40B4-BE49-F238E27FC236}">
              <a16:creationId xmlns:a16="http://schemas.microsoft.com/office/drawing/2014/main" id="{A98CC304-0A07-4B07-885A-09003669B9C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6" name="TextBox 17">
          <a:extLst>
            <a:ext uri="{FF2B5EF4-FFF2-40B4-BE49-F238E27FC236}">
              <a16:creationId xmlns:a16="http://schemas.microsoft.com/office/drawing/2014/main" id="{A8813D07-2E70-4952-B494-966FFD9858E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7" name="TextBox 18">
          <a:extLst>
            <a:ext uri="{FF2B5EF4-FFF2-40B4-BE49-F238E27FC236}">
              <a16:creationId xmlns:a16="http://schemas.microsoft.com/office/drawing/2014/main" id="{D6C80465-7133-4C23-8275-FFA4FACDD25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8" name="TextBox 8486">
          <a:extLst>
            <a:ext uri="{FF2B5EF4-FFF2-40B4-BE49-F238E27FC236}">
              <a16:creationId xmlns:a16="http://schemas.microsoft.com/office/drawing/2014/main" id="{FBFBBB98-1789-4DB2-8B33-4D99F488856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59" name="TextBox 8487">
          <a:extLst>
            <a:ext uri="{FF2B5EF4-FFF2-40B4-BE49-F238E27FC236}">
              <a16:creationId xmlns:a16="http://schemas.microsoft.com/office/drawing/2014/main" id="{9A215CE6-C541-42AD-BB26-3729D25CD28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0" name="TextBox 1">
          <a:extLst>
            <a:ext uri="{FF2B5EF4-FFF2-40B4-BE49-F238E27FC236}">
              <a16:creationId xmlns:a16="http://schemas.microsoft.com/office/drawing/2014/main" id="{221FB7A1-2A85-4924-99EB-46BCECADC04F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1" name="TextBox 3">
          <a:extLst>
            <a:ext uri="{FF2B5EF4-FFF2-40B4-BE49-F238E27FC236}">
              <a16:creationId xmlns:a16="http://schemas.microsoft.com/office/drawing/2014/main" id="{F66BC49B-212E-42CF-BE6F-02397BCD9CD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2" name="TextBox 8490">
          <a:extLst>
            <a:ext uri="{FF2B5EF4-FFF2-40B4-BE49-F238E27FC236}">
              <a16:creationId xmlns:a16="http://schemas.microsoft.com/office/drawing/2014/main" id="{710949B8-6F1B-4C7A-9518-9D10EEFC2A2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3" name="TextBox 8491">
          <a:extLst>
            <a:ext uri="{FF2B5EF4-FFF2-40B4-BE49-F238E27FC236}">
              <a16:creationId xmlns:a16="http://schemas.microsoft.com/office/drawing/2014/main" id="{F0F00D1A-94E6-4014-B461-DBD96EA6FCA0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4" name="TextBox 8492">
          <a:extLst>
            <a:ext uri="{FF2B5EF4-FFF2-40B4-BE49-F238E27FC236}">
              <a16:creationId xmlns:a16="http://schemas.microsoft.com/office/drawing/2014/main" id="{57AEC179-9B58-4262-97B1-C8F8E9780593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5" name="TextBox 8493">
          <a:extLst>
            <a:ext uri="{FF2B5EF4-FFF2-40B4-BE49-F238E27FC236}">
              <a16:creationId xmlns:a16="http://schemas.microsoft.com/office/drawing/2014/main" id="{63456946-768D-44F4-9254-6FB35C3BA046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6" name="TextBox 8494">
          <a:extLst>
            <a:ext uri="{FF2B5EF4-FFF2-40B4-BE49-F238E27FC236}">
              <a16:creationId xmlns:a16="http://schemas.microsoft.com/office/drawing/2014/main" id="{2DE53C24-5794-4395-8E9F-19800465E4EC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7" name="TextBox 8495">
          <a:extLst>
            <a:ext uri="{FF2B5EF4-FFF2-40B4-BE49-F238E27FC236}">
              <a16:creationId xmlns:a16="http://schemas.microsoft.com/office/drawing/2014/main" id="{5CAD4CAA-7E80-4A3D-9392-BC9F081E2157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8" name="TextBox 8496">
          <a:extLst>
            <a:ext uri="{FF2B5EF4-FFF2-40B4-BE49-F238E27FC236}">
              <a16:creationId xmlns:a16="http://schemas.microsoft.com/office/drawing/2014/main" id="{BA6DB365-61A8-46DD-B93D-C2C2216E314A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69" name="TextBox 8497">
          <a:extLst>
            <a:ext uri="{FF2B5EF4-FFF2-40B4-BE49-F238E27FC236}">
              <a16:creationId xmlns:a16="http://schemas.microsoft.com/office/drawing/2014/main" id="{D1926B47-4275-4DDE-A4FB-220B3A4F8332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0" name="TextBox 8498">
          <a:extLst>
            <a:ext uri="{FF2B5EF4-FFF2-40B4-BE49-F238E27FC236}">
              <a16:creationId xmlns:a16="http://schemas.microsoft.com/office/drawing/2014/main" id="{29341540-BED7-4E60-9E09-8656A81FA3DD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1" name="TextBox 8499">
          <a:extLst>
            <a:ext uri="{FF2B5EF4-FFF2-40B4-BE49-F238E27FC236}">
              <a16:creationId xmlns:a16="http://schemas.microsoft.com/office/drawing/2014/main" id="{C9994DDD-7087-4DC6-A77D-52BCA47B7108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2" name="TextBox 13">
          <a:extLst>
            <a:ext uri="{FF2B5EF4-FFF2-40B4-BE49-F238E27FC236}">
              <a16:creationId xmlns:a16="http://schemas.microsoft.com/office/drawing/2014/main" id="{1438C786-0755-445E-9F9A-BD925AA04C79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3" name="TextBox 14">
          <a:extLst>
            <a:ext uri="{FF2B5EF4-FFF2-40B4-BE49-F238E27FC236}">
              <a16:creationId xmlns:a16="http://schemas.microsoft.com/office/drawing/2014/main" id="{C198221B-4A84-45FB-80B0-41F97CD9DE44}"/>
            </a:ext>
          </a:extLst>
        </xdr:cNvPr>
        <xdr:cNvSpPr txBox="1"/>
      </xdr:nvSpPr>
      <xdr:spPr>
        <a:xfrm>
          <a:off x="1909762" y="432911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4" name="TextBox 5">
          <a:extLst>
            <a:ext uri="{FF2B5EF4-FFF2-40B4-BE49-F238E27FC236}">
              <a16:creationId xmlns:a16="http://schemas.microsoft.com/office/drawing/2014/main" id="{E74E4E84-F749-4DCA-9310-8C582DDB13CC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5" name="TextBox 6">
          <a:extLst>
            <a:ext uri="{FF2B5EF4-FFF2-40B4-BE49-F238E27FC236}">
              <a16:creationId xmlns:a16="http://schemas.microsoft.com/office/drawing/2014/main" id="{2E8A9463-A94D-4CFC-8E30-FA6A606AD175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6" name="TextBox 7">
          <a:extLst>
            <a:ext uri="{FF2B5EF4-FFF2-40B4-BE49-F238E27FC236}">
              <a16:creationId xmlns:a16="http://schemas.microsoft.com/office/drawing/2014/main" id="{19DA9AC8-F700-40B7-89BD-E18EB20FCCF2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7" name="TextBox 8">
          <a:extLst>
            <a:ext uri="{FF2B5EF4-FFF2-40B4-BE49-F238E27FC236}">
              <a16:creationId xmlns:a16="http://schemas.microsoft.com/office/drawing/2014/main" id="{1E782FB1-B683-4D83-8850-894A5187749C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8" name="TextBox 5">
          <a:extLst>
            <a:ext uri="{FF2B5EF4-FFF2-40B4-BE49-F238E27FC236}">
              <a16:creationId xmlns:a16="http://schemas.microsoft.com/office/drawing/2014/main" id="{B28A8C30-F974-414D-8F7B-A4FC039AC32B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79" name="TextBox 6">
          <a:extLst>
            <a:ext uri="{FF2B5EF4-FFF2-40B4-BE49-F238E27FC236}">
              <a16:creationId xmlns:a16="http://schemas.microsoft.com/office/drawing/2014/main" id="{2FC5EB42-2129-47CE-B719-F941FD3B4722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0" name="TextBox 7">
          <a:extLst>
            <a:ext uri="{FF2B5EF4-FFF2-40B4-BE49-F238E27FC236}">
              <a16:creationId xmlns:a16="http://schemas.microsoft.com/office/drawing/2014/main" id="{9433EB88-100D-47B8-9AB3-C2A73D3FA26E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1" name="TextBox 8">
          <a:extLst>
            <a:ext uri="{FF2B5EF4-FFF2-40B4-BE49-F238E27FC236}">
              <a16:creationId xmlns:a16="http://schemas.microsoft.com/office/drawing/2014/main" id="{FD0E2AD5-728B-439D-B30C-19AF12AD68A3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2" name="TextBox 5">
          <a:extLst>
            <a:ext uri="{FF2B5EF4-FFF2-40B4-BE49-F238E27FC236}">
              <a16:creationId xmlns:a16="http://schemas.microsoft.com/office/drawing/2014/main" id="{C1BB0A1E-170C-4FB4-8BD7-21E6C86CEB55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3" name="TextBox 6">
          <a:extLst>
            <a:ext uri="{FF2B5EF4-FFF2-40B4-BE49-F238E27FC236}">
              <a16:creationId xmlns:a16="http://schemas.microsoft.com/office/drawing/2014/main" id="{FF1F446A-D198-4481-AF79-1C19BC7DC0F1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4" name="TextBox 7">
          <a:extLst>
            <a:ext uri="{FF2B5EF4-FFF2-40B4-BE49-F238E27FC236}">
              <a16:creationId xmlns:a16="http://schemas.microsoft.com/office/drawing/2014/main" id="{6C22861C-A475-4BDA-9A32-115709668E91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5" name="TextBox 8">
          <a:extLst>
            <a:ext uri="{FF2B5EF4-FFF2-40B4-BE49-F238E27FC236}">
              <a16:creationId xmlns:a16="http://schemas.microsoft.com/office/drawing/2014/main" id="{377805F5-BD01-4FEC-B272-A4292F93B0CE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6" name="TextBox 5">
          <a:extLst>
            <a:ext uri="{FF2B5EF4-FFF2-40B4-BE49-F238E27FC236}">
              <a16:creationId xmlns:a16="http://schemas.microsoft.com/office/drawing/2014/main" id="{4D7DAC09-51C5-4C4B-8824-1D5AFE6A38F0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7" name="TextBox 6">
          <a:extLst>
            <a:ext uri="{FF2B5EF4-FFF2-40B4-BE49-F238E27FC236}">
              <a16:creationId xmlns:a16="http://schemas.microsoft.com/office/drawing/2014/main" id="{E23ECFD2-1139-4F7C-85B8-572EC9EBE15B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8" name="TextBox 7">
          <a:extLst>
            <a:ext uri="{FF2B5EF4-FFF2-40B4-BE49-F238E27FC236}">
              <a16:creationId xmlns:a16="http://schemas.microsoft.com/office/drawing/2014/main" id="{AB4BC93D-AF71-49A1-AF04-5C08B631144E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89" name="TextBox 8">
          <a:extLst>
            <a:ext uri="{FF2B5EF4-FFF2-40B4-BE49-F238E27FC236}">
              <a16:creationId xmlns:a16="http://schemas.microsoft.com/office/drawing/2014/main" id="{BE51FFF6-760C-4C69-8038-161DB6FBEAC9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0" name="TextBox 5">
          <a:extLst>
            <a:ext uri="{FF2B5EF4-FFF2-40B4-BE49-F238E27FC236}">
              <a16:creationId xmlns:a16="http://schemas.microsoft.com/office/drawing/2014/main" id="{FABD1F3D-661A-42B7-B580-1BB156653CB4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1" name="TextBox 6">
          <a:extLst>
            <a:ext uri="{FF2B5EF4-FFF2-40B4-BE49-F238E27FC236}">
              <a16:creationId xmlns:a16="http://schemas.microsoft.com/office/drawing/2014/main" id="{7D983BAD-0FDB-4C32-AA78-633D59498889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2" name="TextBox 7">
          <a:extLst>
            <a:ext uri="{FF2B5EF4-FFF2-40B4-BE49-F238E27FC236}">
              <a16:creationId xmlns:a16="http://schemas.microsoft.com/office/drawing/2014/main" id="{7EC8D5B1-4AC6-4B39-B10B-C88593F708E1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3" name="TextBox 8">
          <a:extLst>
            <a:ext uri="{FF2B5EF4-FFF2-40B4-BE49-F238E27FC236}">
              <a16:creationId xmlns:a16="http://schemas.microsoft.com/office/drawing/2014/main" id="{82A68123-DD9D-4DF7-ABE6-65AB48598C43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4" name="TextBox 5">
          <a:extLst>
            <a:ext uri="{FF2B5EF4-FFF2-40B4-BE49-F238E27FC236}">
              <a16:creationId xmlns:a16="http://schemas.microsoft.com/office/drawing/2014/main" id="{6FF7936F-1D82-40C2-8D41-FD3A255D3A39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5" name="TextBox 6">
          <a:extLst>
            <a:ext uri="{FF2B5EF4-FFF2-40B4-BE49-F238E27FC236}">
              <a16:creationId xmlns:a16="http://schemas.microsoft.com/office/drawing/2014/main" id="{0F95E608-6563-4FE4-85EC-C80C4F2F8ACA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6" name="TextBox 7">
          <a:extLst>
            <a:ext uri="{FF2B5EF4-FFF2-40B4-BE49-F238E27FC236}">
              <a16:creationId xmlns:a16="http://schemas.microsoft.com/office/drawing/2014/main" id="{21902F95-9DD2-45EA-8495-2343BC9369DE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7" name="TextBox 8">
          <a:extLst>
            <a:ext uri="{FF2B5EF4-FFF2-40B4-BE49-F238E27FC236}">
              <a16:creationId xmlns:a16="http://schemas.microsoft.com/office/drawing/2014/main" id="{2A771171-9467-4DE5-8E55-DE0DAA7ED5BF}"/>
            </a:ext>
          </a:extLst>
        </xdr:cNvPr>
        <xdr:cNvSpPr txBox="1"/>
      </xdr:nvSpPr>
      <xdr:spPr>
        <a:xfrm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8" name="TextBox 2">
          <a:extLst>
            <a:ext uri="{FF2B5EF4-FFF2-40B4-BE49-F238E27FC236}">
              <a16:creationId xmlns:a16="http://schemas.microsoft.com/office/drawing/2014/main" id="{02A8EF0C-3751-47FA-934B-09264B5D473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099" name="TextBox 4">
          <a:extLst>
            <a:ext uri="{FF2B5EF4-FFF2-40B4-BE49-F238E27FC236}">
              <a16:creationId xmlns:a16="http://schemas.microsoft.com/office/drawing/2014/main" id="{76089E14-0539-48B5-A430-623D79E9E157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0" name="TextBox 5">
          <a:extLst>
            <a:ext uri="{FF2B5EF4-FFF2-40B4-BE49-F238E27FC236}">
              <a16:creationId xmlns:a16="http://schemas.microsoft.com/office/drawing/2014/main" id="{EFA7B74A-C3B7-4144-B209-F18BD12CFC41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1" name="TextBox 6">
          <a:extLst>
            <a:ext uri="{FF2B5EF4-FFF2-40B4-BE49-F238E27FC236}">
              <a16:creationId xmlns:a16="http://schemas.microsoft.com/office/drawing/2014/main" id="{9A6AB428-3322-4B49-9B8E-4C8FABF5550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2" name="TextBox 7">
          <a:extLst>
            <a:ext uri="{FF2B5EF4-FFF2-40B4-BE49-F238E27FC236}">
              <a16:creationId xmlns:a16="http://schemas.microsoft.com/office/drawing/2014/main" id="{3BD99014-BACB-4F89-B720-79C36F6A9F1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3" name="TextBox 8">
          <a:extLst>
            <a:ext uri="{FF2B5EF4-FFF2-40B4-BE49-F238E27FC236}">
              <a16:creationId xmlns:a16="http://schemas.microsoft.com/office/drawing/2014/main" id="{86FAE9CB-40B3-4BD1-8666-25CEFC61E2D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4" name="TextBox 2">
          <a:extLst>
            <a:ext uri="{FF2B5EF4-FFF2-40B4-BE49-F238E27FC236}">
              <a16:creationId xmlns:a16="http://schemas.microsoft.com/office/drawing/2014/main" id="{ABC10A4D-37C8-44DE-96DB-B94519CE7D8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5" name="TextBox 4">
          <a:extLst>
            <a:ext uri="{FF2B5EF4-FFF2-40B4-BE49-F238E27FC236}">
              <a16:creationId xmlns:a16="http://schemas.microsoft.com/office/drawing/2014/main" id="{C27C9676-BF55-46A9-B94A-C642924B33F9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6" name="TextBox 5">
          <a:extLst>
            <a:ext uri="{FF2B5EF4-FFF2-40B4-BE49-F238E27FC236}">
              <a16:creationId xmlns:a16="http://schemas.microsoft.com/office/drawing/2014/main" id="{D6D8F4CE-7F4D-4D9C-A922-74D268D618B9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7" name="TextBox 6">
          <a:extLst>
            <a:ext uri="{FF2B5EF4-FFF2-40B4-BE49-F238E27FC236}">
              <a16:creationId xmlns:a16="http://schemas.microsoft.com/office/drawing/2014/main" id="{1B36A31C-7F65-4887-92E5-731230130E6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8" name="TextBox 7">
          <a:extLst>
            <a:ext uri="{FF2B5EF4-FFF2-40B4-BE49-F238E27FC236}">
              <a16:creationId xmlns:a16="http://schemas.microsoft.com/office/drawing/2014/main" id="{DD24521B-D0C9-468E-9B7C-12AE5B39B37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09" name="TextBox 8">
          <a:extLst>
            <a:ext uri="{FF2B5EF4-FFF2-40B4-BE49-F238E27FC236}">
              <a16:creationId xmlns:a16="http://schemas.microsoft.com/office/drawing/2014/main" id="{7896015E-DDAA-4E81-889C-3E1E6218D5E4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0" name="TextBox 2">
          <a:extLst>
            <a:ext uri="{FF2B5EF4-FFF2-40B4-BE49-F238E27FC236}">
              <a16:creationId xmlns:a16="http://schemas.microsoft.com/office/drawing/2014/main" id="{49870EE6-D254-4049-93DA-E78388EBF19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1" name="TextBox 4">
          <a:extLst>
            <a:ext uri="{FF2B5EF4-FFF2-40B4-BE49-F238E27FC236}">
              <a16:creationId xmlns:a16="http://schemas.microsoft.com/office/drawing/2014/main" id="{3EC531CB-6D50-4B72-A3DB-01BA1339D58A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2" name="TextBox 5">
          <a:extLst>
            <a:ext uri="{FF2B5EF4-FFF2-40B4-BE49-F238E27FC236}">
              <a16:creationId xmlns:a16="http://schemas.microsoft.com/office/drawing/2014/main" id="{FF6F0F49-F6EA-4EFF-B3A9-EEE27A65A70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3" name="TextBox 6">
          <a:extLst>
            <a:ext uri="{FF2B5EF4-FFF2-40B4-BE49-F238E27FC236}">
              <a16:creationId xmlns:a16="http://schemas.microsoft.com/office/drawing/2014/main" id="{80BABCA4-658B-4391-996A-8CD11E3DF3E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4" name="TextBox 7">
          <a:extLst>
            <a:ext uri="{FF2B5EF4-FFF2-40B4-BE49-F238E27FC236}">
              <a16:creationId xmlns:a16="http://schemas.microsoft.com/office/drawing/2014/main" id="{70C92DC5-2BCF-446A-B31D-3C426968573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5" name="TextBox 8">
          <a:extLst>
            <a:ext uri="{FF2B5EF4-FFF2-40B4-BE49-F238E27FC236}">
              <a16:creationId xmlns:a16="http://schemas.microsoft.com/office/drawing/2014/main" id="{75EC2007-2E10-4617-8468-0AE03417653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6" name="TextBox 2">
          <a:extLst>
            <a:ext uri="{FF2B5EF4-FFF2-40B4-BE49-F238E27FC236}">
              <a16:creationId xmlns:a16="http://schemas.microsoft.com/office/drawing/2014/main" id="{8ED1F3F2-932E-4055-9340-80B37D737EEC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7" name="TextBox 4">
          <a:extLst>
            <a:ext uri="{FF2B5EF4-FFF2-40B4-BE49-F238E27FC236}">
              <a16:creationId xmlns:a16="http://schemas.microsoft.com/office/drawing/2014/main" id="{1D3F501D-783B-415B-8018-6A028AECBE56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8" name="TextBox 5">
          <a:extLst>
            <a:ext uri="{FF2B5EF4-FFF2-40B4-BE49-F238E27FC236}">
              <a16:creationId xmlns:a16="http://schemas.microsoft.com/office/drawing/2014/main" id="{FAEA32D9-9ED0-4A28-A819-972482EFEAC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19" name="TextBox 6">
          <a:extLst>
            <a:ext uri="{FF2B5EF4-FFF2-40B4-BE49-F238E27FC236}">
              <a16:creationId xmlns:a16="http://schemas.microsoft.com/office/drawing/2014/main" id="{266822C7-2E4E-4DC1-8503-C5D82E67461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0" name="TextBox 7">
          <a:extLst>
            <a:ext uri="{FF2B5EF4-FFF2-40B4-BE49-F238E27FC236}">
              <a16:creationId xmlns:a16="http://schemas.microsoft.com/office/drawing/2014/main" id="{7B3DF685-5933-4557-BF4D-77F9DAFBDFDA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1" name="TextBox 8">
          <a:extLst>
            <a:ext uri="{FF2B5EF4-FFF2-40B4-BE49-F238E27FC236}">
              <a16:creationId xmlns:a16="http://schemas.microsoft.com/office/drawing/2014/main" id="{4D0A24EB-64BD-42D2-BE4D-51BB139BBFE2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2" name="TextBox 2">
          <a:extLst>
            <a:ext uri="{FF2B5EF4-FFF2-40B4-BE49-F238E27FC236}">
              <a16:creationId xmlns:a16="http://schemas.microsoft.com/office/drawing/2014/main" id="{96805A73-562F-4177-93B3-4C221AB0E669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3" name="TextBox 4">
          <a:extLst>
            <a:ext uri="{FF2B5EF4-FFF2-40B4-BE49-F238E27FC236}">
              <a16:creationId xmlns:a16="http://schemas.microsoft.com/office/drawing/2014/main" id="{91190B6F-83F8-45C4-9FE0-21AB3F97BC7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4" name="TextBox 5">
          <a:extLst>
            <a:ext uri="{FF2B5EF4-FFF2-40B4-BE49-F238E27FC236}">
              <a16:creationId xmlns:a16="http://schemas.microsoft.com/office/drawing/2014/main" id="{6A39DE21-DF75-496F-AD33-4440502A818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5" name="TextBox 6">
          <a:extLst>
            <a:ext uri="{FF2B5EF4-FFF2-40B4-BE49-F238E27FC236}">
              <a16:creationId xmlns:a16="http://schemas.microsoft.com/office/drawing/2014/main" id="{5D80E141-0855-4A46-9A9B-0A54FD22DF62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6" name="TextBox 7">
          <a:extLst>
            <a:ext uri="{FF2B5EF4-FFF2-40B4-BE49-F238E27FC236}">
              <a16:creationId xmlns:a16="http://schemas.microsoft.com/office/drawing/2014/main" id="{648A392B-782D-4794-801C-1DADB6B16FF1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7" name="TextBox 8">
          <a:extLst>
            <a:ext uri="{FF2B5EF4-FFF2-40B4-BE49-F238E27FC236}">
              <a16:creationId xmlns:a16="http://schemas.microsoft.com/office/drawing/2014/main" id="{D400C2D3-77A5-4A93-BE4C-16FE6CDD1029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8" name="TextBox 2">
          <a:extLst>
            <a:ext uri="{FF2B5EF4-FFF2-40B4-BE49-F238E27FC236}">
              <a16:creationId xmlns:a16="http://schemas.microsoft.com/office/drawing/2014/main" id="{B4F3F399-370F-449A-B597-CB6E8CEF688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29" name="TextBox 4">
          <a:extLst>
            <a:ext uri="{FF2B5EF4-FFF2-40B4-BE49-F238E27FC236}">
              <a16:creationId xmlns:a16="http://schemas.microsoft.com/office/drawing/2014/main" id="{C62E6B86-8F51-4668-A88B-519F21CB635B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0" name="TextBox 5">
          <a:extLst>
            <a:ext uri="{FF2B5EF4-FFF2-40B4-BE49-F238E27FC236}">
              <a16:creationId xmlns:a16="http://schemas.microsoft.com/office/drawing/2014/main" id="{94E3259E-9E19-4FC6-B7FC-C72FB17407C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1" name="TextBox 6">
          <a:extLst>
            <a:ext uri="{FF2B5EF4-FFF2-40B4-BE49-F238E27FC236}">
              <a16:creationId xmlns:a16="http://schemas.microsoft.com/office/drawing/2014/main" id="{06FDAF83-90FF-4057-83BA-131AC181961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2" name="TextBox 7">
          <a:extLst>
            <a:ext uri="{FF2B5EF4-FFF2-40B4-BE49-F238E27FC236}">
              <a16:creationId xmlns:a16="http://schemas.microsoft.com/office/drawing/2014/main" id="{F22A04C6-C5D4-4E4C-8AAB-8B02C33064FB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3" name="TextBox 8">
          <a:extLst>
            <a:ext uri="{FF2B5EF4-FFF2-40B4-BE49-F238E27FC236}">
              <a16:creationId xmlns:a16="http://schemas.microsoft.com/office/drawing/2014/main" id="{9F711A09-EBA5-40F3-AAC9-5BA3EE7F9E03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4" name="TextBox 2">
          <a:extLst>
            <a:ext uri="{FF2B5EF4-FFF2-40B4-BE49-F238E27FC236}">
              <a16:creationId xmlns:a16="http://schemas.microsoft.com/office/drawing/2014/main" id="{BE9BF29E-EFB3-464A-B4F2-B5681EC055E1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5" name="TextBox 4">
          <a:extLst>
            <a:ext uri="{FF2B5EF4-FFF2-40B4-BE49-F238E27FC236}">
              <a16:creationId xmlns:a16="http://schemas.microsoft.com/office/drawing/2014/main" id="{57B51327-AE63-4725-93D2-340DA43F72AC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6" name="TextBox 5">
          <a:extLst>
            <a:ext uri="{FF2B5EF4-FFF2-40B4-BE49-F238E27FC236}">
              <a16:creationId xmlns:a16="http://schemas.microsoft.com/office/drawing/2014/main" id="{6517C5B7-3B8D-4ED0-B17A-54262CBDDFF6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7" name="TextBox 6">
          <a:extLst>
            <a:ext uri="{FF2B5EF4-FFF2-40B4-BE49-F238E27FC236}">
              <a16:creationId xmlns:a16="http://schemas.microsoft.com/office/drawing/2014/main" id="{25E26E16-575C-447A-A355-E1B26FF4172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8" name="TextBox 7">
          <a:extLst>
            <a:ext uri="{FF2B5EF4-FFF2-40B4-BE49-F238E27FC236}">
              <a16:creationId xmlns:a16="http://schemas.microsoft.com/office/drawing/2014/main" id="{B3A64A3F-ECB2-4AC9-B141-251A23E2756A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39" name="TextBox 8">
          <a:extLst>
            <a:ext uri="{FF2B5EF4-FFF2-40B4-BE49-F238E27FC236}">
              <a16:creationId xmlns:a16="http://schemas.microsoft.com/office/drawing/2014/main" id="{548462C6-B665-4444-94B2-202F87714C9C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0" name="TextBox 2">
          <a:extLst>
            <a:ext uri="{FF2B5EF4-FFF2-40B4-BE49-F238E27FC236}">
              <a16:creationId xmlns:a16="http://schemas.microsoft.com/office/drawing/2014/main" id="{A285E60B-A220-4C9F-861D-FD4846C20C2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1" name="TextBox 4">
          <a:extLst>
            <a:ext uri="{FF2B5EF4-FFF2-40B4-BE49-F238E27FC236}">
              <a16:creationId xmlns:a16="http://schemas.microsoft.com/office/drawing/2014/main" id="{A308FC72-4661-43C6-B023-4A9009769F9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2" name="TextBox 5">
          <a:extLst>
            <a:ext uri="{FF2B5EF4-FFF2-40B4-BE49-F238E27FC236}">
              <a16:creationId xmlns:a16="http://schemas.microsoft.com/office/drawing/2014/main" id="{1DC4CF15-1113-48F5-B333-330B9996260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3" name="TextBox 6">
          <a:extLst>
            <a:ext uri="{FF2B5EF4-FFF2-40B4-BE49-F238E27FC236}">
              <a16:creationId xmlns:a16="http://schemas.microsoft.com/office/drawing/2014/main" id="{E71FB1DD-B5CE-4EA4-A784-8845AD63D8C7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4" name="TextBox 7">
          <a:extLst>
            <a:ext uri="{FF2B5EF4-FFF2-40B4-BE49-F238E27FC236}">
              <a16:creationId xmlns:a16="http://schemas.microsoft.com/office/drawing/2014/main" id="{67FD7E5E-0F85-45D5-B266-254A1375242B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5" name="TextBox 8">
          <a:extLst>
            <a:ext uri="{FF2B5EF4-FFF2-40B4-BE49-F238E27FC236}">
              <a16:creationId xmlns:a16="http://schemas.microsoft.com/office/drawing/2014/main" id="{9CF50863-F80D-47C9-93AF-49D5173232C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6" name="TextBox 2">
          <a:extLst>
            <a:ext uri="{FF2B5EF4-FFF2-40B4-BE49-F238E27FC236}">
              <a16:creationId xmlns:a16="http://schemas.microsoft.com/office/drawing/2014/main" id="{95EBFA7B-3CF0-40C6-A4DA-D7AD130A93A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7" name="TextBox 4">
          <a:extLst>
            <a:ext uri="{FF2B5EF4-FFF2-40B4-BE49-F238E27FC236}">
              <a16:creationId xmlns:a16="http://schemas.microsoft.com/office/drawing/2014/main" id="{75FF52C9-FA8E-4101-8C1C-3FB9879FB94C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8" name="TextBox 5">
          <a:extLst>
            <a:ext uri="{FF2B5EF4-FFF2-40B4-BE49-F238E27FC236}">
              <a16:creationId xmlns:a16="http://schemas.microsoft.com/office/drawing/2014/main" id="{22FC8A31-FB08-42CA-8FB2-9137D911D7B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49" name="TextBox 6">
          <a:extLst>
            <a:ext uri="{FF2B5EF4-FFF2-40B4-BE49-F238E27FC236}">
              <a16:creationId xmlns:a16="http://schemas.microsoft.com/office/drawing/2014/main" id="{DF61BEAA-4273-4F18-8384-1C833A81B4C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0" name="TextBox 7">
          <a:extLst>
            <a:ext uri="{FF2B5EF4-FFF2-40B4-BE49-F238E27FC236}">
              <a16:creationId xmlns:a16="http://schemas.microsoft.com/office/drawing/2014/main" id="{C717DFA8-5F1C-42B1-B72C-70698313D372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1" name="TextBox 8">
          <a:extLst>
            <a:ext uri="{FF2B5EF4-FFF2-40B4-BE49-F238E27FC236}">
              <a16:creationId xmlns:a16="http://schemas.microsoft.com/office/drawing/2014/main" id="{56818BEC-3441-40FA-967C-4E542743834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2" name="TextBox 2">
          <a:extLst>
            <a:ext uri="{FF2B5EF4-FFF2-40B4-BE49-F238E27FC236}">
              <a16:creationId xmlns:a16="http://schemas.microsoft.com/office/drawing/2014/main" id="{7A220AE0-3FE0-4C52-8191-C94C79531FD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3" name="TextBox 4">
          <a:extLst>
            <a:ext uri="{FF2B5EF4-FFF2-40B4-BE49-F238E27FC236}">
              <a16:creationId xmlns:a16="http://schemas.microsoft.com/office/drawing/2014/main" id="{2D5F7B0A-3DFC-4B79-9F62-67B8653F799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4" name="TextBox 5">
          <a:extLst>
            <a:ext uri="{FF2B5EF4-FFF2-40B4-BE49-F238E27FC236}">
              <a16:creationId xmlns:a16="http://schemas.microsoft.com/office/drawing/2014/main" id="{63DAFDAE-2327-4869-8ECF-2A590922F362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5" name="TextBox 6">
          <a:extLst>
            <a:ext uri="{FF2B5EF4-FFF2-40B4-BE49-F238E27FC236}">
              <a16:creationId xmlns:a16="http://schemas.microsoft.com/office/drawing/2014/main" id="{A488836E-25C9-46B8-9245-887E81AF4B96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6" name="TextBox 7">
          <a:extLst>
            <a:ext uri="{FF2B5EF4-FFF2-40B4-BE49-F238E27FC236}">
              <a16:creationId xmlns:a16="http://schemas.microsoft.com/office/drawing/2014/main" id="{EFE35CDB-78D5-4713-B7B3-18A9765B609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7" name="TextBox 8">
          <a:extLst>
            <a:ext uri="{FF2B5EF4-FFF2-40B4-BE49-F238E27FC236}">
              <a16:creationId xmlns:a16="http://schemas.microsoft.com/office/drawing/2014/main" id="{B2D609DC-0455-4020-BE40-2C20596DFFDC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8" name="TextBox 2">
          <a:extLst>
            <a:ext uri="{FF2B5EF4-FFF2-40B4-BE49-F238E27FC236}">
              <a16:creationId xmlns:a16="http://schemas.microsoft.com/office/drawing/2014/main" id="{D0A04EF3-DCD8-4D54-82A8-E01F5F5255D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59" name="TextBox 4">
          <a:extLst>
            <a:ext uri="{FF2B5EF4-FFF2-40B4-BE49-F238E27FC236}">
              <a16:creationId xmlns:a16="http://schemas.microsoft.com/office/drawing/2014/main" id="{34255621-FD42-43DE-A09B-D869B4DA1661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0" name="TextBox 5">
          <a:extLst>
            <a:ext uri="{FF2B5EF4-FFF2-40B4-BE49-F238E27FC236}">
              <a16:creationId xmlns:a16="http://schemas.microsoft.com/office/drawing/2014/main" id="{120BA050-310C-4F02-A1D3-FE985F02852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1" name="TextBox 6">
          <a:extLst>
            <a:ext uri="{FF2B5EF4-FFF2-40B4-BE49-F238E27FC236}">
              <a16:creationId xmlns:a16="http://schemas.microsoft.com/office/drawing/2014/main" id="{28A700F0-C6A9-47E5-9208-38EAD137452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2" name="TextBox 7">
          <a:extLst>
            <a:ext uri="{FF2B5EF4-FFF2-40B4-BE49-F238E27FC236}">
              <a16:creationId xmlns:a16="http://schemas.microsoft.com/office/drawing/2014/main" id="{AC55A8CA-7754-4DFC-AAFE-C84A197BD2A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3" name="TextBox 8">
          <a:extLst>
            <a:ext uri="{FF2B5EF4-FFF2-40B4-BE49-F238E27FC236}">
              <a16:creationId xmlns:a16="http://schemas.microsoft.com/office/drawing/2014/main" id="{D934E8C6-6128-41A6-B82E-300DFF6E989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4" name="TextBox 2">
          <a:extLst>
            <a:ext uri="{FF2B5EF4-FFF2-40B4-BE49-F238E27FC236}">
              <a16:creationId xmlns:a16="http://schemas.microsoft.com/office/drawing/2014/main" id="{F2C39EEC-61E9-4C4A-9FF7-C949F2A8E45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5" name="TextBox 4">
          <a:extLst>
            <a:ext uri="{FF2B5EF4-FFF2-40B4-BE49-F238E27FC236}">
              <a16:creationId xmlns:a16="http://schemas.microsoft.com/office/drawing/2014/main" id="{EBB2170D-BB55-4455-90B7-B367965DF3A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6" name="TextBox 5">
          <a:extLst>
            <a:ext uri="{FF2B5EF4-FFF2-40B4-BE49-F238E27FC236}">
              <a16:creationId xmlns:a16="http://schemas.microsoft.com/office/drawing/2014/main" id="{6D241C98-0DD3-4E0E-A6AF-5116BEB2C46A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7" name="TextBox 6">
          <a:extLst>
            <a:ext uri="{FF2B5EF4-FFF2-40B4-BE49-F238E27FC236}">
              <a16:creationId xmlns:a16="http://schemas.microsoft.com/office/drawing/2014/main" id="{23C930C8-4A89-401A-9A5E-1FA7B6D21732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8" name="TextBox 7">
          <a:extLst>
            <a:ext uri="{FF2B5EF4-FFF2-40B4-BE49-F238E27FC236}">
              <a16:creationId xmlns:a16="http://schemas.microsoft.com/office/drawing/2014/main" id="{1B309008-0D3F-46C5-8676-7448CD65ECD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69" name="TextBox 8">
          <a:extLst>
            <a:ext uri="{FF2B5EF4-FFF2-40B4-BE49-F238E27FC236}">
              <a16:creationId xmlns:a16="http://schemas.microsoft.com/office/drawing/2014/main" id="{085338F2-FB9D-41EB-94C2-7B6A614D9D66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0" name="TextBox 2">
          <a:extLst>
            <a:ext uri="{FF2B5EF4-FFF2-40B4-BE49-F238E27FC236}">
              <a16:creationId xmlns:a16="http://schemas.microsoft.com/office/drawing/2014/main" id="{47063629-8BE0-4D2E-B43B-FA83805CAED6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1" name="TextBox 4">
          <a:extLst>
            <a:ext uri="{FF2B5EF4-FFF2-40B4-BE49-F238E27FC236}">
              <a16:creationId xmlns:a16="http://schemas.microsoft.com/office/drawing/2014/main" id="{8929D037-DF72-4B68-9F29-DC2605C0C129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2" name="TextBox 5">
          <a:extLst>
            <a:ext uri="{FF2B5EF4-FFF2-40B4-BE49-F238E27FC236}">
              <a16:creationId xmlns:a16="http://schemas.microsoft.com/office/drawing/2014/main" id="{4CCF4BDF-EB4C-480F-92BA-6A9BADAD14C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3" name="TextBox 6">
          <a:extLst>
            <a:ext uri="{FF2B5EF4-FFF2-40B4-BE49-F238E27FC236}">
              <a16:creationId xmlns:a16="http://schemas.microsoft.com/office/drawing/2014/main" id="{A269F791-0FC1-4469-B61B-2ACB51A6E4A2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4" name="TextBox 7">
          <a:extLst>
            <a:ext uri="{FF2B5EF4-FFF2-40B4-BE49-F238E27FC236}">
              <a16:creationId xmlns:a16="http://schemas.microsoft.com/office/drawing/2014/main" id="{5242FC7E-0FD9-49A2-A454-B9634477281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5" name="TextBox 8">
          <a:extLst>
            <a:ext uri="{FF2B5EF4-FFF2-40B4-BE49-F238E27FC236}">
              <a16:creationId xmlns:a16="http://schemas.microsoft.com/office/drawing/2014/main" id="{5155C67E-4A94-4B18-9C85-4BA0C088D925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6" name="TextBox 2">
          <a:extLst>
            <a:ext uri="{FF2B5EF4-FFF2-40B4-BE49-F238E27FC236}">
              <a16:creationId xmlns:a16="http://schemas.microsoft.com/office/drawing/2014/main" id="{CFA70CC2-F79A-4887-A516-6EFC0AFB5594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7" name="TextBox 4">
          <a:extLst>
            <a:ext uri="{FF2B5EF4-FFF2-40B4-BE49-F238E27FC236}">
              <a16:creationId xmlns:a16="http://schemas.microsoft.com/office/drawing/2014/main" id="{613D3D48-5166-40EA-A4EE-106DC2D5197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8" name="TextBox 5">
          <a:extLst>
            <a:ext uri="{FF2B5EF4-FFF2-40B4-BE49-F238E27FC236}">
              <a16:creationId xmlns:a16="http://schemas.microsoft.com/office/drawing/2014/main" id="{081785E1-BEC3-484B-8A82-493E026BC7F3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79" name="TextBox 6">
          <a:extLst>
            <a:ext uri="{FF2B5EF4-FFF2-40B4-BE49-F238E27FC236}">
              <a16:creationId xmlns:a16="http://schemas.microsoft.com/office/drawing/2014/main" id="{36F81257-A429-4BCA-9119-C99E30BED68A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0" name="TextBox 7">
          <a:extLst>
            <a:ext uri="{FF2B5EF4-FFF2-40B4-BE49-F238E27FC236}">
              <a16:creationId xmlns:a16="http://schemas.microsoft.com/office/drawing/2014/main" id="{8BD23D44-B90E-476C-8C98-420AFBFE0767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1" name="TextBox 8">
          <a:extLst>
            <a:ext uri="{FF2B5EF4-FFF2-40B4-BE49-F238E27FC236}">
              <a16:creationId xmlns:a16="http://schemas.microsoft.com/office/drawing/2014/main" id="{F75DB365-3835-4A5E-B361-40D172DC545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2" name="TextBox 2">
          <a:extLst>
            <a:ext uri="{FF2B5EF4-FFF2-40B4-BE49-F238E27FC236}">
              <a16:creationId xmlns:a16="http://schemas.microsoft.com/office/drawing/2014/main" id="{7CA58E11-7E32-468D-98C0-5A04D95182E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3" name="TextBox 4">
          <a:extLst>
            <a:ext uri="{FF2B5EF4-FFF2-40B4-BE49-F238E27FC236}">
              <a16:creationId xmlns:a16="http://schemas.microsoft.com/office/drawing/2014/main" id="{8033AE81-78A1-4D10-9E67-33CF263D3169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4" name="TextBox 5">
          <a:extLst>
            <a:ext uri="{FF2B5EF4-FFF2-40B4-BE49-F238E27FC236}">
              <a16:creationId xmlns:a16="http://schemas.microsoft.com/office/drawing/2014/main" id="{CEF79384-5847-4D6C-BB51-F9F74F3E9E8D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5" name="TextBox 6">
          <a:extLst>
            <a:ext uri="{FF2B5EF4-FFF2-40B4-BE49-F238E27FC236}">
              <a16:creationId xmlns:a16="http://schemas.microsoft.com/office/drawing/2014/main" id="{16604F92-3143-4B95-BFE6-05717A73C67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6" name="TextBox 7">
          <a:extLst>
            <a:ext uri="{FF2B5EF4-FFF2-40B4-BE49-F238E27FC236}">
              <a16:creationId xmlns:a16="http://schemas.microsoft.com/office/drawing/2014/main" id="{70A99A80-A9E8-4D83-AC51-B210362644E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7" name="TextBox 8">
          <a:extLst>
            <a:ext uri="{FF2B5EF4-FFF2-40B4-BE49-F238E27FC236}">
              <a16:creationId xmlns:a16="http://schemas.microsoft.com/office/drawing/2014/main" id="{360236F4-5882-4BF0-83D5-5AA52FAF5960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8" name="TextBox 2">
          <a:extLst>
            <a:ext uri="{FF2B5EF4-FFF2-40B4-BE49-F238E27FC236}">
              <a16:creationId xmlns:a16="http://schemas.microsoft.com/office/drawing/2014/main" id="{14F04C67-7565-4BB0-B676-FB61BAD2DD66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89" name="TextBox 4">
          <a:extLst>
            <a:ext uri="{FF2B5EF4-FFF2-40B4-BE49-F238E27FC236}">
              <a16:creationId xmlns:a16="http://schemas.microsoft.com/office/drawing/2014/main" id="{51A71057-6A53-44F5-8C27-E8A4ED7A470F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0" name="TextBox 5">
          <a:extLst>
            <a:ext uri="{FF2B5EF4-FFF2-40B4-BE49-F238E27FC236}">
              <a16:creationId xmlns:a16="http://schemas.microsoft.com/office/drawing/2014/main" id="{E7D7BC71-D73B-461C-BE92-9EA556EA8DB6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1" name="TextBox 6">
          <a:extLst>
            <a:ext uri="{FF2B5EF4-FFF2-40B4-BE49-F238E27FC236}">
              <a16:creationId xmlns:a16="http://schemas.microsoft.com/office/drawing/2014/main" id="{0C49471D-820E-4483-AE0D-1D2571528198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2" name="TextBox 7">
          <a:extLst>
            <a:ext uri="{FF2B5EF4-FFF2-40B4-BE49-F238E27FC236}">
              <a16:creationId xmlns:a16="http://schemas.microsoft.com/office/drawing/2014/main" id="{1B622975-BE28-4CCE-BDEB-760FFE7BC9A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3" name="TextBox 8">
          <a:extLst>
            <a:ext uri="{FF2B5EF4-FFF2-40B4-BE49-F238E27FC236}">
              <a16:creationId xmlns:a16="http://schemas.microsoft.com/office/drawing/2014/main" id="{12F4F681-2683-4F1A-974A-4BD4B9875C3E}"/>
            </a:ext>
          </a:extLst>
        </xdr:cNvPr>
        <xdr:cNvSpPr txBox="1"/>
      </xdr:nvSpPr>
      <xdr:spPr>
        <a:xfrm flipH="1">
          <a:off x="1909762" y="307943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4" name="TextBox 5">
          <a:extLst>
            <a:ext uri="{FF2B5EF4-FFF2-40B4-BE49-F238E27FC236}">
              <a16:creationId xmlns:a16="http://schemas.microsoft.com/office/drawing/2014/main" id="{F3EC490C-C174-44E9-ACDE-1A22AC918140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5" name="TextBox 6">
          <a:extLst>
            <a:ext uri="{FF2B5EF4-FFF2-40B4-BE49-F238E27FC236}">
              <a16:creationId xmlns:a16="http://schemas.microsoft.com/office/drawing/2014/main" id="{297EADD7-A542-4164-B114-C7A81E426AEC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6" name="TextBox 7">
          <a:extLst>
            <a:ext uri="{FF2B5EF4-FFF2-40B4-BE49-F238E27FC236}">
              <a16:creationId xmlns:a16="http://schemas.microsoft.com/office/drawing/2014/main" id="{A37DC4A2-5382-49D3-BC59-8EBC3BFD52D1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7" name="TextBox 8">
          <a:extLst>
            <a:ext uri="{FF2B5EF4-FFF2-40B4-BE49-F238E27FC236}">
              <a16:creationId xmlns:a16="http://schemas.microsoft.com/office/drawing/2014/main" id="{8856AEC3-E999-4E2C-8348-E94A9B4383F2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8" name="TextBox 5">
          <a:extLst>
            <a:ext uri="{FF2B5EF4-FFF2-40B4-BE49-F238E27FC236}">
              <a16:creationId xmlns:a16="http://schemas.microsoft.com/office/drawing/2014/main" id="{A0860A0B-DAF1-4105-A3BC-E31E59F722B7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199" name="TextBox 6">
          <a:extLst>
            <a:ext uri="{FF2B5EF4-FFF2-40B4-BE49-F238E27FC236}">
              <a16:creationId xmlns:a16="http://schemas.microsoft.com/office/drawing/2014/main" id="{D733EDFF-6FF2-4E9F-A74F-70333E35B985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0" name="TextBox 7">
          <a:extLst>
            <a:ext uri="{FF2B5EF4-FFF2-40B4-BE49-F238E27FC236}">
              <a16:creationId xmlns:a16="http://schemas.microsoft.com/office/drawing/2014/main" id="{665AE42A-E676-4CDB-9154-5A29A60A6DC5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1" name="TextBox 8">
          <a:extLst>
            <a:ext uri="{FF2B5EF4-FFF2-40B4-BE49-F238E27FC236}">
              <a16:creationId xmlns:a16="http://schemas.microsoft.com/office/drawing/2014/main" id="{958DC494-E5B9-4793-ACD5-4E85E6347FE3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2" name="TextBox 5">
          <a:extLst>
            <a:ext uri="{FF2B5EF4-FFF2-40B4-BE49-F238E27FC236}">
              <a16:creationId xmlns:a16="http://schemas.microsoft.com/office/drawing/2014/main" id="{6E287471-F912-4E08-BF14-D564775767BD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3" name="TextBox 6">
          <a:extLst>
            <a:ext uri="{FF2B5EF4-FFF2-40B4-BE49-F238E27FC236}">
              <a16:creationId xmlns:a16="http://schemas.microsoft.com/office/drawing/2014/main" id="{6FC36E6A-6E29-4342-91B0-08344B2741EC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4" name="TextBox 7">
          <a:extLst>
            <a:ext uri="{FF2B5EF4-FFF2-40B4-BE49-F238E27FC236}">
              <a16:creationId xmlns:a16="http://schemas.microsoft.com/office/drawing/2014/main" id="{1154C0F2-DF06-44E0-A680-29179C4A853A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5" name="TextBox 8">
          <a:extLst>
            <a:ext uri="{FF2B5EF4-FFF2-40B4-BE49-F238E27FC236}">
              <a16:creationId xmlns:a16="http://schemas.microsoft.com/office/drawing/2014/main" id="{33A9D693-3851-41E3-A913-80348D6A9959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6" name="TextBox 5">
          <a:extLst>
            <a:ext uri="{FF2B5EF4-FFF2-40B4-BE49-F238E27FC236}">
              <a16:creationId xmlns:a16="http://schemas.microsoft.com/office/drawing/2014/main" id="{80D3A448-7790-49D5-9D4A-4756A4D6A0F7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7" name="TextBox 6">
          <a:extLst>
            <a:ext uri="{FF2B5EF4-FFF2-40B4-BE49-F238E27FC236}">
              <a16:creationId xmlns:a16="http://schemas.microsoft.com/office/drawing/2014/main" id="{75A13173-CBBD-4B5B-8A0D-D7B5DB5C318A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8" name="TextBox 7">
          <a:extLst>
            <a:ext uri="{FF2B5EF4-FFF2-40B4-BE49-F238E27FC236}">
              <a16:creationId xmlns:a16="http://schemas.microsoft.com/office/drawing/2014/main" id="{FC971119-5C89-4F1B-BFC9-4043E522552C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09" name="TextBox 8">
          <a:extLst>
            <a:ext uri="{FF2B5EF4-FFF2-40B4-BE49-F238E27FC236}">
              <a16:creationId xmlns:a16="http://schemas.microsoft.com/office/drawing/2014/main" id="{545C2BB3-7E95-4C97-B3F4-CD53FD65C1AE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0" name="TextBox 5">
          <a:extLst>
            <a:ext uri="{FF2B5EF4-FFF2-40B4-BE49-F238E27FC236}">
              <a16:creationId xmlns:a16="http://schemas.microsoft.com/office/drawing/2014/main" id="{77C50907-9EE9-48BB-9EBF-EBFF4CBC27BC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1" name="TextBox 6">
          <a:extLst>
            <a:ext uri="{FF2B5EF4-FFF2-40B4-BE49-F238E27FC236}">
              <a16:creationId xmlns:a16="http://schemas.microsoft.com/office/drawing/2014/main" id="{24D6143A-E580-48F5-88B7-BDB17F9C4809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2" name="TextBox 7">
          <a:extLst>
            <a:ext uri="{FF2B5EF4-FFF2-40B4-BE49-F238E27FC236}">
              <a16:creationId xmlns:a16="http://schemas.microsoft.com/office/drawing/2014/main" id="{E8180AD5-76B9-48CD-97E7-DB5BE73964E8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3" name="TextBox 8">
          <a:extLst>
            <a:ext uri="{FF2B5EF4-FFF2-40B4-BE49-F238E27FC236}">
              <a16:creationId xmlns:a16="http://schemas.microsoft.com/office/drawing/2014/main" id="{1CDF5EB1-F2A0-44E4-A251-085124BE7C52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4" name="TextBox 5">
          <a:extLst>
            <a:ext uri="{FF2B5EF4-FFF2-40B4-BE49-F238E27FC236}">
              <a16:creationId xmlns:a16="http://schemas.microsoft.com/office/drawing/2014/main" id="{78D46FA4-9487-4E59-8189-CD0AC6BA9337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5" name="TextBox 6">
          <a:extLst>
            <a:ext uri="{FF2B5EF4-FFF2-40B4-BE49-F238E27FC236}">
              <a16:creationId xmlns:a16="http://schemas.microsoft.com/office/drawing/2014/main" id="{8FB3CA3E-1ACE-41CA-BFDA-3FEC431C2D84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6" name="TextBox 7">
          <a:extLst>
            <a:ext uri="{FF2B5EF4-FFF2-40B4-BE49-F238E27FC236}">
              <a16:creationId xmlns:a16="http://schemas.microsoft.com/office/drawing/2014/main" id="{B8C6D195-330E-443F-9477-F0EB9BC2CC45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7" name="TextBox 8">
          <a:extLst>
            <a:ext uri="{FF2B5EF4-FFF2-40B4-BE49-F238E27FC236}">
              <a16:creationId xmlns:a16="http://schemas.microsoft.com/office/drawing/2014/main" id="{48051C6E-D778-4990-BE9D-4F2146B12132}"/>
            </a:ext>
          </a:extLst>
        </xdr:cNvPr>
        <xdr:cNvSpPr txBox="1"/>
      </xdr:nvSpPr>
      <xdr:spPr>
        <a:xfrm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endParaRPr lang="ar-LY" sz="1100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8" name="TextBox 2">
          <a:extLst>
            <a:ext uri="{FF2B5EF4-FFF2-40B4-BE49-F238E27FC236}">
              <a16:creationId xmlns:a16="http://schemas.microsoft.com/office/drawing/2014/main" id="{89CCB88B-4FA3-47FD-9DA3-94F1A143DA2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19" name="TextBox 4">
          <a:extLst>
            <a:ext uri="{FF2B5EF4-FFF2-40B4-BE49-F238E27FC236}">
              <a16:creationId xmlns:a16="http://schemas.microsoft.com/office/drawing/2014/main" id="{F5993B27-9E12-4446-A046-F6D2A857FE7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0" name="TextBox 5">
          <a:extLst>
            <a:ext uri="{FF2B5EF4-FFF2-40B4-BE49-F238E27FC236}">
              <a16:creationId xmlns:a16="http://schemas.microsoft.com/office/drawing/2014/main" id="{28CCD343-07C5-4608-8A6C-EB1F01EAF47C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1" name="TextBox 6">
          <a:extLst>
            <a:ext uri="{FF2B5EF4-FFF2-40B4-BE49-F238E27FC236}">
              <a16:creationId xmlns:a16="http://schemas.microsoft.com/office/drawing/2014/main" id="{B0310637-3E5D-4748-8B51-BA0D2FAD1655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2" name="TextBox 7">
          <a:extLst>
            <a:ext uri="{FF2B5EF4-FFF2-40B4-BE49-F238E27FC236}">
              <a16:creationId xmlns:a16="http://schemas.microsoft.com/office/drawing/2014/main" id="{4FD0B382-FDF4-4EB7-B03D-FDAE8D9C452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3" name="TextBox 8">
          <a:extLst>
            <a:ext uri="{FF2B5EF4-FFF2-40B4-BE49-F238E27FC236}">
              <a16:creationId xmlns:a16="http://schemas.microsoft.com/office/drawing/2014/main" id="{69B22300-792D-41B3-B4CF-CEB467BEBB2B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4" name="TextBox 2">
          <a:extLst>
            <a:ext uri="{FF2B5EF4-FFF2-40B4-BE49-F238E27FC236}">
              <a16:creationId xmlns:a16="http://schemas.microsoft.com/office/drawing/2014/main" id="{9C0DDFA2-A4C1-44DD-985F-CB2AB44A167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5" name="TextBox 4">
          <a:extLst>
            <a:ext uri="{FF2B5EF4-FFF2-40B4-BE49-F238E27FC236}">
              <a16:creationId xmlns:a16="http://schemas.microsoft.com/office/drawing/2014/main" id="{6B5DAFE5-DB0B-428D-96E5-A1D89C97F8EA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6" name="TextBox 5">
          <a:extLst>
            <a:ext uri="{FF2B5EF4-FFF2-40B4-BE49-F238E27FC236}">
              <a16:creationId xmlns:a16="http://schemas.microsoft.com/office/drawing/2014/main" id="{41FE887F-8660-460F-893F-55069F4EB779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7" name="TextBox 6">
          <a:extLst>
            <a:ext uri="{FF2B5EF4-FFF2-40B4-BE49-F238E27FC236}">
              <a16:creationId xmlns:a16="http://schemas.microsoft.com/office/drawing/2014/main" id="{5DD1DE43-A9D6-4278-848A-4A09F1E0362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8" name="TextBox 7">
          <a:extLst>
            <a:ext uri="{FF2B5EF4-FFF2-40B4-BE49-F238E27FC236}">
              <a16:creationId xmlns:a16="http://schemas.microsoft.com/office/drawing/2014/main" id="{833840DF-00AC-42A7-808E-0CDBECEB841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29" name="TextBox 8">
          <a:extLst>
            <a:ext uri="{FF2B5EF4-FFF2-40B4-BE49-F238E27FC236}">
              <a16:creationId xmlns:a16="http://schemas.microsoft.com/office/drawing/2014/main" id="{0296D630-EE4D-4101-8B15-9338822B99A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0" name="TextBox 2">
          <a:extLst>
            <a:ext uri="{FF2B5EF4-FFF2-40B4-BE49-F238E27FC236}">
              <a16:creationId xmlns:a16="http://schemas.microsoft.com/office/drawing/2014/main" id="{6B4851E0-4B90-4478-8115-8B900BD7DEF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1" name="TextBox 4">
          <a:extLst>
            <a:ext uri="{FF2B5EF4-FFF2-40B4-BE49-F238E27FC236}">
              <a16:creationId xmlns:a16="http://schemas.microsoft.com/office/drawing/2014/main" id="{8643194E-9604-477C-84C6-D4A2CAE76F1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2" name="TextBox 5">
          <a:extLst>
            <a:ext uri="{FF2B5EF4-FFF2-40B4-BE49-F238E27FC236}">
              <a16:creationId xmlns:a16="http://schemas.microsoft.com/office/drawing/2014/main" id="{EA8BADDA-F5E4-4AC5-A114-00DB45A01CB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3" name="TextBox 6">
          <a:extLst>
            <a:ext uri="{FF2B5EF4-FFF2-40B4-BE49-F238E27FC236}">
              <a16:creationId xmlns:a16="http://schemas.microsoft.com/office/drawing/2014/main" id="{EEBC11F5-2896-430B-8406-222F89701F95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4" name="TextBox 7">
          <a:extLst>
            <a:ext uri="{FF2B5EF4-FFF2-40B4-BE49-F238E27FC236}">
              <a16:creationId xmlns:a16="http://schemas.microsoft.com/office/drawing/2014/main" id="{7D975193-E1C1-4CF9-9725-56236DDE9B39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5" name="TextBox 8">
          <a:extLst>
            <a:ext uri="{FF2B5EF4-FFF2-40B4-BE49-F238E27FC236}">
              <a16:creationId xmlns:a16="http://schemas.microsoft.com/office/drawing/2014/main" id="{CEB415FD-C3B3-468A-8907-6A0FAC1BAA25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6" name="TextBox 2">
          <a:extLst>
            <a:ext uri="{FF2B5EF4-FFF2-40B4-BE49-F238E27FC236}">
              <a16:creationId xmlns:a16="http://schemas.microsoft.com/office/drawing/2014/main" id="{0C3851E2-298A-47CE-9290-DAB245BF3A33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7" name="TextBox 4">
          <a:extLst>
            <a:ext uri="{FF2B5EF4-FFF2-40B4-BE49-F238E27FC236}">
              <a16:creationId xmlns:a16="http://schemas.microsoft.com/office/drawing/2014/main" id="{36C8003D-600A-4AAA-B9D7-3444F84371E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8" name="TextBox 5">
          <a:extLst>
            <a:ext uri="{FF2B5EF4-FFF2-40B4-BE49-F238E27FC236}">
              <a16:creationId xmlns:a16="http://schemas.microsoft.com/office/drawing/2014/main" id="{A24A7F49-517E-4C97-BAF3-44B44C82F02A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39" name="TextBox 6">
          <a:extLst>
            <a:ext uri="{FF2B5EF4-FFF2-40B4-BE49-F238E27FC236}">
              <a16:creationId xmlns:a16="http://schemas.microsoft.com/office/drawing/2014/main" id="{C1E1A73C-F186-4116-9A7D-B09342C2AFC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0" name="TextBox 7">
          <a:extLst>
            <a:ext uri="{FF2B5EF4-FFF2-40B4-BE49-F238E27FC236}">
              <a16:creationId xmlns:a16="http://schemas.microsoft.com/office/drawing/2014/main" id="{1C6D25F1-B04C-4974-A68B-D5416B25B0C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1" name="TextBox 8">
          <a:extLst>
            <a:ext uri="{FF2B5EF4-FFF2-40B4-BE49-F238E27FC236}">
              <a16:creationId xmlns:a16="http://schemas.microsoft.com/office/drawing/2014/main" id="{36DBAA2F-B9F3-411A-BDB1-5474D2EA871B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2" name="TextBox 2">
          <a:extLst>
            <a:ext uri="{FF2B5EF4-FFF2-40B4-BE49-F238E27FC236}">
              <a16:creationId xmlns:a16="http://schemas.microsoft.com/office/drawing/2014/main" id="{49D5B865-D8B0-49DD-A8AE-99C33E3A1E9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3" name="TextBox 4">
          <a:extLst>
            <a:ext uri="{FF2B5EF4-FFF2-40B4-BE49-F238E27FC236}">
              <a16:creationId xmlns:a16="http://schemas.microsoft.com/office/drawing/2014/main" id="{0B5065A6-96BA-4EB3-8B6F-EF85BDEA1D2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4" name="TextBox 5">
          <a:extLst>
            <a:ext uri="{FF2B5EF4-FFF2-40B4-BE49-F238E27FC236}">
              <a16:creationId xmlns:a16="http://schemas.microsoft.com/office/drawing/2014/main" id="{CCCD6CB8-BA44-4867-AB9A-C4AEDE1596FF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5" name="TextBox 6">
          <a:extLst>
            <a:ext uri="{FF2B5EF4-FFF2-40B4-BE49-F238E27FC236}">
              <a16:creationId xmlns:a16="http://schemas.microsoft.com/office/drawing/2014/main" id="{D57FDAB3-A953-40D9-A9DC-2468C1688925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6" name="TextBox 7">
          <a:extLst>
            <a:ext uri="{FF2B5EF4-FFF2-40B4-BE49-F238E27FC236}">
              <a16:creationId xmlns:a16="http://schemas.microsoft.com/office/drawing/2014/main" id="{470B0EE9-6176-4EEC-A792-6239A15E8A5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7" name="TextBox 8">
          <a:extLst>
            <a:ext uri="{FF2B5EF4-FFF2-40B4-BE49-F238E27FC236}">
              <a16:creationId xmlns:a16="http://schemas.microsoft.com/office/drawing/2014/main" id="{E74FE53A-C914-4516-9C60-71E5BAEE540C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8" name="TextBox 2">
          <a:extLst>
            <a:ext uri="{FF2B5EF4-FFF2-40B4-BE49-F238E27FC236}">
              <a16:creationId xmlns:a16="http://schemas.microsoft.com/office/drawing/2014/main" id="{0B43778C-EBB1-4D6C-A52C-30CB9C37FC5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49" name="TextBox 4">
          <a:extLst>
            <a:ext uri="{FF2B5EF4-FFF2-40B4-BE49-F238E27FC236}">
              <a16:creationId xmlns:a16="http://schemas.microsoft.com/office/drawing/2014/main" id="{FDCC9B07-07A4-4C80-819A-56A3F635672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0" name="TextBox 5">
          <a:extLst>
            <a:ext uri="{FF2B5EF4-FFF2-40B4-BE49-F238E27FC236}">
              <a16:creationId xmlns:a16="http://schemas.microsoft.com/office/drawing/2014/main" id="{9ECEE343-A983-447E-BFFB-4EC3E4EE32A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1" name="TextBox 6">
          <a:extLst>
            <a:ext uri="{FF2B5EF4-FFF2-40B4-BE49-F238E27FC236}">
              <a16:creationId xmlns:a16="http://schemas.microsoft.com/office/drawing/2014/main" id="{F36AE7F7-8651-40E6-8792-4D9AF2E8215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2" name="TextBox 7">
          <a:extLst>
            <a:ext uri="{FF2B5EF4-FFF2-40B4-BE49-F238E27FC236}">
              <a16:creationId xmlns:a16="http://schemas.microsoft.com/office/drawing/2014/main" id="{6835A33E-D14A-4EFF-B3E1-2A3BDADBEDD5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3" name="TextBox 8">
          <a:extLst>
            <a:ext uri="{FF2B5EF4-FFF2-40B4-BE49-F238E27FC236}">
              <a16:creationId xmlns:a16="http://schemas.microsoft.com/office/drawing/2014/main" id="{33FBC43E-B9C1-4B9A-B31E-21D035A2DCD5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4" name="TextBox 2">
          <a:extLst>
            <a:ext uri="{FF2B5EF4-FFF2-40B4-BE49-F238E27FC236}">
              <a16:creationId xmlns:a16="http://schemas.microsoft.com/office/drawing/2014/main" id="{51136B3F-8F4A-489B-914E-E62C0A9491C3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5" name="TextBox 4">
          <a:extLst>
            <a:ext uri="{FF2B5EF4-FFF2-40B4-BE49-F238E27FC236}">
              <a16:creationId xmlns:a16="http://schemas.microsoft.com/office/drawing/2014/main" id="{7EBF40A8-A49D-4C66-9AA2-08986AE01413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6" name="TextBox 5">
          <a:extLst>
            <a:ext uri="{FF2B5EF4-FFF2-40B4-BE49-F238E27FC236}">
              <a16:creationId xmlns:a16="http://schemas.microsoft.com/office/drawing/2014/main" id="{85C3969B-4FF9-4244-9794-335FC47FC5C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7" name="TextBox 6">
          <a:extLst>
            <a:ext uri="{FF2B5EF4-FFF2-40B4-BE49-F238E27FC236}">
              <a16:creationId xmlns:a16="http://schemas.microsoft.com/office/drawing/2014/main" id="{0A7CEDFF-914D-4721-86F7-8B1B9EE7126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8" name="TextBox 7">
          <a:extLst>
            <a:ext uri="{FF2B5EF4-FFF2-40B4-BE49-F238E27FC236}">
              <a16:creationId xmlns:a16="http://schemas.microsoft.com/office/drawing/2014/main" id="{16CC39A1-832D-4FDC-8712-6E1DCEFA10E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59" name="TextBox 8">
          <a:extLst>
            <a:ext uri="{FF2B5EF4-FFF2-40B4-BE49-F238E27FC236}">
              <a16:creationId xmlns:a16="http://schemas.microsoft.com/office/drawing/2014/main" id="{6E1BF69E-2C9A-44A6-9663-D1DE647070E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0" name="TextBox 2">
          <a:extLst>
            <a:ext uri="{FF2B5EF4-FFF2-40B4-BE49-F238E27FC236}">
              <a16:creationId xmlns:a16="http://schemas.microsoft.com/office/drawing/2014/main" id="{20EDE9A7-F415-4993-B671-468B08DE9982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1" name="TextBox 4">
          <a:extLst>
            <a:ext uri="{FF2B5EF4-FFF2-40B4-BE49-F238E27FC236}">
              <a16:creationId xmlns:a16="http://schemas.microsoft.com/office/drawing/2014/main" id="{4C4A94FF-1982-4576-B57F-F14711735B2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2" name="TextBox 5">
          <a:extLst>
            <a:ext uri="{FF2B5EF4-FFF2-40B4-BE49-F238E27FC236}">
              <a16:creationId xmlns:a16="http://schemas.microsoft.com/office/drawing/2014/main" id="{B52E6901-5BC4-4FE8-9C46-45A34CC33B1B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3" name="TextBox 6">
          <a:extLst>
            <a:ext uri="{FF2B5EF4-FFF2-40B4-BE49-F238E27FC236}">
              <a16:creationId xmlns:a16="http://schemas.microsoft.com/office/drawing/2014/main" id="{42E7AD48-E056-48E7-910F-68B27E35BAF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4" name="TextBox 7">
          <a:extLst>
            <a:ext uri="{FF2B5EF4-FFF2-40B4-BE49-F238E27FC236}">
              <a16:creationId xmlns:a16="http://schemas.microsoft.com/office/drawing/2014/main" id="{B97FCD12-A580-4F36-9E98-8BD4C9CA021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5" name="TextBox 8">
          <a:extLst>
            <a:ext uri="{FF2B5EF4-FFF2-40B4-BE49-F238E27FC236}">
              <a16:creationId xmlns:a16="http://schemas.microsoft.com/office/drawing/2014/main" id="{970C0DEC-62A9-4ABE-BCFA-2B11EA77840C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6" name="TextBox 2">
          <a:extLst>
            <a:ext uri="{FF2B5EF4-FFF2-40B4-BE49-F238E27FC236}">
              <a16:creationId xmlns:a16="http://schemas.microsoft.com/office/drawing/2014/main" id="{4F3D3553-A349-4D9F-80BF-D4AA93A1B982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7" name="TextBox 4">
          <a:extLst>
            <a:ext uri="{FF2B5EF4-FFF2-40B4-BE49-F238E27FC236}">
              <a16:creationId xmlns:a16="http://schemas.microsoft.com/office/drawing/2014/main" id="{F5BB1E36-375E-41B8-BA52-BB9664621E8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8" name="TextBox 5">
          <a:extLst>
            <a:ext uri="{FF2B5EF4-FFF2-40B4-BE49-F238E27FC236}">
              <a16:creationId xmlns:a16="http://schemas.microsoft.com/office/drawing/2014/main" id="{69BDE391-B36C-4242-B6AC-8AD786A5AD9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69" name="TextBox 6">
          <a:extLst>
            <a:ext uri="{FF2B5EF4-FFF2-40B4-BE49-F238E27FC236}">
              <a16:creationId xmlns:a16="http://schemas.microsoft.com/office/drawing/2014/main" id="{BC599D13-4FAA-4788-AC65-FC9FFD956E28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0" name="TextBox 7">
          <a:extLst>
            <a:ext uri="{FF2B5EF4-FFF2-40B4-BE49-F238E27FC236}">
              <a16:creationId xmlns:a16="http://schemas.microsoft.com/office/drawing/2014/main" id="{D7675208-EEC6-44E9-9E2F-0CFA8D57DA80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1" name="TextBox 8">
          <a:extLst>
            <a:ext uri="{FF2B5EF4-FFF2-40B4-BE49-F238E27FC236}">
              <a16:creationId xmlns:a16="http://schemas.microsoft.com/office/drawing/2014/main" id="{29C5474E-5F51-405D-8A59-DBFE0007019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2" name="TextBox 2">
          <a:extLst>
            <a:ext uri="{FF2B5EF4-FFF2-40B4-BE49-F238E27FC236}">
              <a16:creationId xmlns:a16="http://schemas.microsoft.com/office/drawing/2014/main" id="{CCD3F1C9-E016-4E4C-B556-6E7A1858A5E8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3" name="TextBox 4">
          <a:extLst>
            <a:ext uri="{FF2B5EF4-FFF2-40B4-BE49-F238E27FC236}">
              <a16:creationId xmlns:a16="http://schemas.microsoft.com/office/drawing/2014/main" id="{901646B4-A4FD-42C5-9BA5-1D329BB705EF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4" name="TextBox 5">
          <a:extLst>
            <a:ext uri="{FF2B5EF4-FFF2-40B4-BE49-F238E27FC236}">
              <a16:creationId xmlns:a16="http://schemas.microsoft.com/office/drawing/2014/main" id="{141B5537-1868-4170-9B7A-413AEBAD5F1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5" name="TextBox 6">
          <a:extLst>
            <a:ext uri="{FF2B5EF4-FFF2-40B4-BE49-F238E27FC236}">
              <a16:creationId xmlns:a16="http://schemas.microsoft.com/office/drawing/2014/main" id="{980BF624-50A7-4702-BFF0-2BBA6DD6BC0B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6" name="TextBox 7">
          <a:extLst>
            <a:ext uri="{FF2B5EF4-FFF2-40B4-BE49-F238E27FC236}">
              <a16:creationId xmlns:a16="http://schemas.microsoft.com/office/drawing/2014/main" id="{754782DE-EAB2-4F48-B6C4-70CFA7A5151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7" name="TextBox 8">
          <a:extLst>
            <a:ext uri="{FF2B5EF4-FFF2-40B4-BE49-F238E27FC236}">
              <a16:creationId xmlns:a16="http://schemas.microsoft.com/office/drawing/2014/main" id="{5C621054-2154-4C09-8FBF-3D3AE38FB499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8" name="TextBox 2">
          <a:extLst>
            <a:ext uri="{FF2B5EF4-FFF2-40B4-BE49-F238E27FC236}">
              <a16:creationId xmlns:a16="http://schemas.microsoft.com/office/drawing/2014/main" id="{10825074-5066-46E7-AC8E-511C1542DFA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79" name="TextBox 4">
          <a:extLst>
            <a:ext uri="{FF2B5EF4-FFF2-40B4-BE49-F238E27FC236}">
              <a16:creationId xmlns:a16="http://schemas.microsoft.com/office/drawing/2014/main" id="{73D5D388-755E-49F6-A13E-46B687164D5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0" name="TextBox 5">
          <a:extLst>
            <a:ext uri="{FF2B5EF4-FFF2-40B4-BE49-F238E27FC236}">
              <a16:creationId xmlns:a16="http://schemas.microsoft.com/office/drawing/2014/main" id="{07D25369-0981-4BAE-9C9D-B16443341063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1" name="TextBox 6">
          <a:extLst>
            <a:ext uri="{FF2B5EF4-FFF2-40B4-BE49-F238E27FC236}">
              <a16:creationId xmlns:a16="http://schemas.microsoft.com/office/drawing/2014/main" id="{8D628437-5432-4064-ABB1-D1537AD4A675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2" name="TextBox 7">
          <a:extLst>
            <a:ext uri="{FF2B5EF4-FFF2-40B4-BE49-F238E27FC236}">
              <a16:creationId xmlns:a16="http://schemas.microsoft.com/office/drawing/2014/main" id="{8AABC6C7-2609-4877-BA81-BD152FD44619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3" name="TextBox 8">
          <a:extLst>
            <a:ext uri="{FF2B5EF4-FFF2-40B4-BE49-F238E27FC236}">
              <a16:creationId xmlns:a16="http://schemas.microsoft.com/office/drawing/2014/main" id="{1D57B17B-C78D-4D0B-A490-0F9A90B9E56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4" name="TextBox 2">
          <a:extLst>
            <a:ext uri="{FF2B5EF4-FFF2-40B4-BE49-F238E27FC236}">
              <a16:creationId xmlns:a16="http://schemas.microsoft.com/office/drawing/2014/main" id="{B7ED1417-348C-4B0F-BC42-60FE47D95160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5" name="TextBox 4">
          <a:extLst>
            <a:ext uri="{FF2B5EF4-FFF2-40B4-BE49-F238E27FC236}">
              <a16:creationId xmlns:a16="http://schemas.microsoft.com/office/drawing/2014/main" id="{0FBA0BFB-6C27-4842-BD48-9FF139BA1CCC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6" name="TextBox 5">
          <a:extLst>
            <a:ext uri="{FF2B5EF4-FFF2-40B4-BE49-F238E27FC236}">
              <a16:creationId xmlns:a16="http://schemas.microsoft.com/office/drawing/2014/main" id="{CAD7ECDB-C6FE-4619-A3CA-A5762D58FC9F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7" name="TextBox 6">
          <a:extLst>
            <a:ext uri="{FF2B5EF4-FFF2-40B4-BE49-F238E27FC236}">
              <a16:creationId xmlns:a16="http://schemas.microsoft.com/office/drawing/2014/main" id="{7AB3A4DD-EE3B-4DAB-A432-351D33E0B77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8" name="TextBox 7">
          <a:extLst>
            <a:ext uri="{FF2B5EF4-FFF2-40B4-BE49-F238E27FC236}">
              <a16:creationId xmlns:a16="http://schemas.microsoft.com/office/drawing/2014/main" id="{2397AB06-8FA8-42A9-8E8F-D09439530A0F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89" name="TextBox 8">
          <a:extLst>
            <a:ext uri="{FF2B5EF4-FFF2-40B4-BE49-F238E27FC236}">
              <a16:creationId xmlns:a16="http://schemas.microsoft.com/office/drawing/2014/main" id="{88782980-66B2-4734-B061-A7D008C0B136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0" name="TextBox 2">
          <a:extLst>
            <a:ext uri="{FF2B5EF4-FFF2-40B4-BE49-F238E27FC236}">
              <a16:creationId xmlns:a16="http://schemas.microsoft.com/office/drawing/2014/main" id="{7B69EF33-D403-4FDB-B524-5E8171BD12C3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1" name="TextBox 4">
          <a:extLst>
            <a:ext uri="{FF2B5EF4-FFF2-40B4-BE49-F238E27FC236}">
              <a16:creationId xmlns:a16="http://schemas.microsoft.com/office/drawing/2014/main" id="{4906213B-26AD-4D79-95FE-491D6B5834E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2" name="TextBox 5">
          <a:extLst>
            <a:ext uri="{FF2B5EF4-FFF2-40B4-BE49-F238E27FC236}">
              <a16:creationId xmlns:a16="http://schemas.microsoft.com/office/drawing/2014/main" id="{5B853C1A-5363-414B-8C26-D3DB056FAF64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3" name="TextBox 6">
          <a:extLst>
            <a:ext uri="{FF2B5EF4-FFF2-40B4-BE49-F238E27FC236}">
              <a16:creationId xmlns:a16="http://schemas.microsoft.com/office/drawing/2014/main" id="{E620A739-53FE-4936-855F-E68897D171D4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4" name="TextBox 7">
          <a:extLst>
            <a:ext uri="{FF2B5EF4-FFF2-40B4-BE49-F238E27FC236}">
              <a16:creationId xmlns:a16="http://schemas.microsoft.com/office/drawing/2014/main" id="{3F445F2C-ECD1-42AC-A94E-38D9B6DBA95A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5" name="TextBox 8">
          <a:extLst>
            <a:ext uri="{FF2B5EF4-FFF2-40B4-BE49-F238E27FC236}">
              <a16:creationId xmlns:a16="http://schemas.microsoft.com/office/drawing/2014/main" id="{112A36C0-0127-4E91-8879-8243F2425FC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6" name="TextBox 2">
          <a:extLst>
            <a:ext uri="{FF2B5EF4-FFF2-40B4-BE49-F238E27FC236}">
              <a16:creationId xmlns:a16="http://schemas.microsoft.com/office/drawing/2014/main" id="{E18E3F5B-3F82-4E90-AFA2-911588CB3320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7" name="TextBox 4">
          <a:extLst>
            <a:ext uri="{FF2B5EF4-FFF2-40B4-BE49-F238E27FC236}">
              <a16:creationId xmlns:a16="http://schemas.microsoft.com/office/drawing/2014/main" id="{105E1D4A-9010-417C-9B32-40F0C3DEE03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8" name="TextBox 5">
          <a:extLst>
            <a:ext uri="{FF2B5EF4-FFF2-40B4-BE49-F238E27FC236}">
              <a16:creationId xmlns:a16="http://schemas.microsoft.com/office/drawing/2014/main" id="{DE6B3997-C41C-4558-92CD-A59168DDB3D1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299" name="TextBox 6">
          <a:extLst>
            <a:ext uri="{FF2B5EF4-FFF2-40B4-BE49-F238E27FC236}">
              <a16:creationId xmlns:a16="http://schemas.microsoft.com/office/drawing/2014/main" id="{8B746701-E4EF-4808-961F-860C92BAEA0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0" name="TextBox 7">
          <a:extLst>
            <a:ext uri="{FF2B5EF4-FFF2-40B4-BE49-F238E27FC236}">
              <a16:creationId xmlns:a16="http://schemas.microsoft.com/office/drawing/2014/main" id="{F78E8A5B-8C57-47DA-8266-65B0851029A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1" name="TextBox 8">
          <a:extLst>
            <a:ext uri="{FF2B5EF4-FFF2-40B4-BE49-F238E27FC236}">
              <a16:creationId xmlns:a16="http://schemas.microsoft.com/office/drawing/2014/main" id="{49F5DC86-95E2-4DA4-BCCD-EA476C4A2873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2" name="TextBox 2">
          <a:extLst>
            <a:ext uri="{FF2B5EF4-FFF2-40B4-BE49-F238E27FC236}">
              <a16:creationId xmlns:a16="http://schemas.microsoft.com/office/drawing/2014/main" id="{71983B1B-238C-4674-AA6C-5502F7B40754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3" name="TextBox 4">
          <a:extLst>
            <a:ext uri="{FF2B5EF4-FFF2-40B4-BE49-F238E27FC236}">
              <a16:creationId xmlns:a16="http://schemas.microsoft.com/office/drawing/2014/main" id="{67B707EE-2A9F-4BF6-9A5C-9BC3718F6BC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4" name="TextBox 5">
          <a:extLst>
            <a:ext uri="{FF2B5EF4-FFF2-40B4-BE49-F238E27FC236}">
              <a16:creationId xmlns:a16="http://schemas.microsoft.com/office/drawing/2014/main" id="{E7F6E8A6-C6EC-493B-8276-AC444008FFE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5" name="TextBox 6">
          <a:extLst>
            <a:ext uri="{FF2B5EF4-FFF2-40B4-BE49-F238E27FC236}">
              <a16:creationId xmlns:a16="http://schemas.microsoft.com/office/drawing/2014/main" id="{D1CEC1ED-218B-4ACC-9694-5911093D1AE9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6" name="TextBox 7">
          <a:extLst>
            <a:ext uri="{FF2B5EF4-FFF2-40B4-BE49-F238E27FC236}">
              <a16:creationId xmlns:a16="http://schemas.microsoft.com/office/drawing/2014/main" id="{F3FA5A47-0CA1-4A59-AE9F-AA05921B656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7" name="TextBox 8">
          <a:extLst>
            <a:ext uri="{FF2B5EF4-FFF2-40B4-BE49-F238E27FC236}">
              <a16:creationId xmlns:a16="http://schemas.microsoft.com/office/drawing/2014/main" id="{17E74D1F-D21E-4908-B1C9-EDBBA7CCEAAE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8" name="TextBox 2">
          <a:extLst>
            <a:ext uri="{FF2B5EF4-FFF2-40B4-BE49-F238E27FC236}">
              <a16:creationId xmlns:a16="http://schemas.microsoft.com/office/drawing/2014/main" id="{BE26841F-B330-4DCA-8CBF-A052B93F5147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09" name="TextBox 4">
          <a:extLst>
            <a:ext uri="{FF2B5EF4-FFF2-40B4-BE49-F238E27FC236}">
              <a16:creationId xmlns:a16="http://schemas.microsoft.com/office/drawing/2014/main" id="{5B4E03BF-F0DE-49FD-8316-6C2A96D0358D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0" name="TextBox 5">
          <a:extLst>
            <a:ext uri="{FF2B5EF4-FFF2-40B4-BE49-F238E27FC236}">
              <a16:creationId xmlns:a16="http://schemas.microsoft.com/office/drawing/2014/main" id="{37488AEC-2629-4818-B052-A7A3DAF0FC10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1" name="TextBox 6">
          <a:extLst>
            <a:ext uri="{FF2B5EF4-FFF2-40B4-BE49-F238E27FC236}">
              <a16:creationId xmlns:a16="http://schemas.microsoft.com/office/drawing/2014/main" id="{427B7BAB-3117-4C0A-B120-C2F78384FEBA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2" name="TextBox 7">
          <a:extLst>
            <a:ext uri="{FF2B5EF4-FFF2-40B4-BE49-F238E27FC236}">
              <a16:creationId xmlns:a16="http://schemas.microsoft.com/office/drawing/2014/main" id="{8A829367-6B09-4738-9894-B111D244DD19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3" name="TextBox 8">
          <a:extLst>
            <a:ext uri="{FF2B5EF4-FFF2-40B4-BE49-F238E27FC236}">
              <a16:creationId xmlns:a16="http://schemas.microsoft.com/office/drawing/2014/main" id="{094DC746-4B78-4FEA-9E85-3B05361F657A}"/>
            </a:ext>
          </a:extLst>
        </xdr:cNvPr>
        <xdr:cNvSpPr txBox="1"/>
      </xdr:nvSpPr>
      <xdr:spPr>
        <a:xfrm flipH="1">
          <a:off x="1909762" y="136112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4" name="TextBox 2">
          <a:extLst>
            <a:ext uri="{FF2B5EF4-FFF2-40B4-BE49-F238E27FC236}">
              <a16:creationId xmlns:a16="http://schemas.microsoft.com/office/drawing/2014/main" id="{0AA932D1-92BB-43BE-829B-28D47DC13CF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5" name="TextBox 4">
          <a:extLst>
            <a:ext uri="{FF2B5EF4-FFF2-40B4-BE49-F238E27FC236}">
              <a16:creationId xmlns:a16="http://schemas.microsoft.com/office/drawing/2014/main" id="{685D377F-1507-4697-A7E3-DC6A9175769F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6" name="TextBox 5">
          <a:extLst>
            <a:ext uri="{FF2B5EF4-FFF2-40B4-BE49-F238E27FC236}">
              <a16:creationId xmlns:a16="http://schemas.microsoft.com/office/drawing/2014/main" id="{08F391CA-B532-459C-96C0-8C7F702D7D3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7" name="TextBox 6">
          <a:extLst>
            <a:ext uri="{FF2B5EF4-FFF2-40B4-BE49-F238E27FC236}">
              <a16:creationId xmlns:a16="http://schemas.microsoft.com/office/drawing/2014/main" id="{B86FD5E2-483C-4F97-A8E6-894E10779DC2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8" name="TextBox 7">
          <a:extLst>
            <a:ext uri="{FF2B5EF4-FFF2-40B4-BE49-F238E27FC236}">
              <a16:creationId xmlns:a16="http://schemas.microsoft.com/office/drawing/2014/main" id="{22B165B6-B2C2-4580-8C2D-854A4C14FF78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  <xdr:oneCellAnchor>
    <xdr:from>
      <xdr:col>2</xdr:col>
      <xdr:colOff>642937</xdr:colOff>
      <xdr:row>290</xdr:row>
      <xdr:rowOff>0</xdr:rowOff>
    </xdr:from>
    <xdr:ext cx="184731" cy="254557"/>
    <xdr:sp macro="" textlink="">
      <xdr:nvSpPr>
        <xdr:cNvPr id="13319" name="TextBox 8">
          <a:extLst>
            <a:ext uri="{FF2B5EF4-FFF2-40B4-BE49-F238E27FC236}">
              <a16:creationId xmlns:a16="http://schemas.microsoft.com/office/drawing/2014/main" id="{1583E278-5503-41A5-B155-ED122B82020A}"/>
            </a:ext>
          </a:extLst>
        </xdr:cNvPr>
        <xdr:cNvSpPr txBox="1"/>
      </xdr:nvSpPr>
      <xdr:spPr>
        <a:xfrm flipH="1">
          <a:off x="1909762" y="26765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1" anchor="t">
          <a:spAutoFit/>
        </a:bodyPr>
        <a:lstStyle/>
        <a:p>
          <a:pPr algn="r" rtl="1"/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EEF3-9392-4CA4-A203-CCF6A504A0A0}">
  <sheetPr>
    <pageSetUpPr fitToPage="1"/>
  </sheetPr>
  <dimension ref="A1:AF290"/>
  <sheetViews>
    <sheetView rightToLeft="1" tabSelected="1" topLeftCell="C1" zoomScale="94" zoomScaleNormal="94" workbookViewId="0">
      <pane ySplit="9" topLeftCell="A160" activePane="bottomLeft" state="frozen"/>
      <selection pane="bottomLeft" activeCell="R7" sqref="A1:X1048576"/>
    </sheetView>
  </sheetViews>
  <sheetFormatPr defaultColWidth="9" defaultRowHeight="18" x14ac:dyDescent="0.35"/>
  <cols>
    <col min="1" max="1" width="5.5546875" style="4" bestFit="1" customWidth="1"/>
    <col min="2" max="2" width="13" style="4" bestFit="1" customWidth="1"/>
    <col min="3" max="3" width="35.109375" style="4" bestFit="1" customWidth="1"/>
    <col min="4" max="4" width="7.6640625" style="8" bestFit="1" customWidth="1"/>
    <col min="5" max="5" width="9.109375" style="4" bestFit="1" customWidth="1"/>
    <col min="6" max="6" width="9.33203125" style="4" bestFit="1" customWidth="1"/>
    <col min="7" max="7" width="10.6640625" style="4" bestFit="1" customWidth="1"/>
    <col min="8" max="8" width="9.109375" style="4" bestFit="1" customWidth="1"/>
    <col min="9" max="9" width="9.33203125" style="4" bestFit="1" customWidth="1"/>
    <col min="10" max="10" width="10.6640625" style="4" bestFit="1" customWidth="1"/>
    <col min="11" max="11" width="9" style="4" bestFit="1" customWidth="1"/>
    <col min="12" max="12" width="9.33203125" style="4" bestFit="1" customWidth="1"/>
    <col min="13" max="13" width="10.6640625" style="4" bestFit="1" customWidth="1"/>
    <col min="14" max="14" width="7.6640625" style="4" bestFit="1" customWidth="1"/>
    <col min="15" max="15" width="9" style="4" bestFit="1" customWidth="1"/>
    <col min="16" max="16" width="9.33203125" style="4" bestFit="1" customWidth="1"/>
    <col min="17" max="17" width="10.6640625" style="4" bestFit="1" customWidth="1"/>
    <col min="18" max="18" width="9" style="4" bestFit="1" customWidth="1"/>
    <col min="19" max="19" width="9.33203125" style="4" bestFit="1" customWidth="1"/>
    <col min="20" max="20" width="10.6640625" style="4" bestFit="1" customWidth="1"/>
    <col min="21" max="21" width="11.88671875" style="4" bestFit="1" customWidth="1"/>
    <col min="22" max="22" width="9.109375" style="4" bestFit="1" customWidth="1"/>
    <col min="23" max="23" width="9.33203125" style="4" bestFit="1" customWidth="1"/>
    <col min="24" max="24" width="9.6640625" style="4" bestFit="1" customWidth="1"/>
    <col min="25" max="26" width="9" style="4" customWidth="1"/>
    <col min="27" max="27" width="10.5546875" style="4" bestFit="1" customWidth="1"/>
    <col min="28" max="28" width="11.44140625" style="4" bestFit="1" customWidth="1"/>
    <col min="29" max="29" width="10.6640625" style="4" bestFit="1" customWidth="1"/>
    <col min="30" max="32" width="9" style="4" customWidth="1"/>
    <col min="33" max="38" width="9" style="4"/>
    <col min="39" max="39" width="8.88671875" style="4" bestFit="1" customWidth="1"/>
    <col min="40" max="40" width="5.88671875" style="4" bestFit="1" customWidth="1"/>
    <col min="41" max="41" width="7.44140625" style="4" bestFit="1" customWidth="1"/>
    <col min="42" max="42" width="8" style="4" bestFit="1" customWidth="1"/>
    <col min="43" max="43" width="7.88671875" style="4" bestFit="1" customWidth="1"/>
    <col min="44" max="44" width="7.44140625" style="4" bestFit="1" customWidth="1"/>
    <col min="45" max="45" width="8.44140625" style="4" bestFit="1" customWidth="1"/>
    <col min="46" max="16384" width="9" style="4"/>
  </cols>
  <sheetData>
    <row r="1" spans="1:32" ht="19.2" thickTop="1" thickBot="1" x14ac:dyDescent="0.4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1"/>
      <c r="Y1" s="1" t="s">
        <v>1</v>
      </c>
      <c r="Z1" s="2" t="s">
        <v>2</v>
      </c>
      <c r="AA1" s="2" t="s">
        <v>3</v>
      </c>
      <c r="AB1" s="2" t="s">
        <v>4</v>
      </c>
      <c r="AC1" s="2" t="s">
        <v>5</v>
      </c>
      <c r="AD1" s="3" t="s">
        <v>6</v>
      </c>
      <c r="AE1" s="3" t="s">
        <v>7</v>
      </c>
    </row>
    <row r="2" spans="1:32" ht="19.2" thickTop="1" thickBot="1" x14ac:dyDescent="0.4">
      <c r="A2" s="52" t="s">
        <v>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4"/>
      <c r="Y2" s="5">
        <f>AE7</f>
        <v>281</v>
      </c>
      <c r="Z2" s="6">
        <f>COUNTIF(U:U,"غياب")</f>
        <v>53</v>
      </c>
      <c r="AA2" s="6">
        <f>Y2-Z2</f>
        <v>228</v>
      </c>
      <c r="AB2" s="6">
        <f>AE2+AE3+AE4+AE5</f>
        <v>81</v>
      </c>
      <c r="AC2" s="6">
        <f>AE6</f>
        <v>200</v>
      </c>
      <c r="AD2" s="6" t="s">
        <v>9</v>
      </c>
      <c r="AE2" s="6">
        <f>COUNTIF(W:W,"ممتاز")</f>
        <v>0</v>
      </c>
    </row>
    <row r="3" spans="1:32" ht="19.2" thickTop="1" thickBot="1" x14ac:dyDescent="0.4">
      <c r="A3" s="55" t="s">
        <v>10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7"/>
      <c r="Z3" s="7"/>
      <c r="AA3" s="39" t="s">
        <v>319</v>
      </c>
      <c r="AB3" s="40">
        <f>AB2/Y2*100%</f>
        <v>0.28825622775800713</v>
      </c>
      <c r="AC3" s="38">
        <f>AC2/Y2*100%</f>
        <v>0.71174377224199292</v>
      </c>
      <c r="AD3" s="6" t="s">
        <v>11</v>
      </c>
      <c r="AE3" s="6">
        <f>COUNTIF(W:W,"جيد جدا")</f>
        <v>8</v>
      </c>
    </row>
    <row r="4" spans="1:32" ht="19.2" thickTop="1" thickBot="1" x14ac:dyDescent="0.4">
      <c r="A4" s="52" t="s">
        <v>318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7"/>
      <c r="Z4" s="7"/>
      <c r="AA4" s="39" t="s">
        <v>320</v>
      </c>
      <c r="AB4" s="41">
        <f>AB2/AA2</f>
        <v>0.35526315789473684</v>
      </c>
      <c r="AC4" s="7"/>
      <c r="AD4" s="6" t="s">
        <v>12</v>
      </c>
      <c r="AE4" s="6">
        <f>COUNTIF(W:W,"جيد")</f>
        <v>55</v>
      </c>
    </row>
    <row r="5" spans="1:32" ht="19.2" thickTop="1" thickBot="1" x14ac:dyDescent="0.4">
      <c r="A5" s="58" t="s">
        <v>201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60"/>
      <c r="Y5" s="7"/>
      <c r="Z5" s="7"/>
      <c r="AA5" s="7"/>
      <c r="AB5" s="7"/>
      <c r="AC5" s="7"/>
      <c r="AD5" s="6" t="s">
        <v>13</v>
      </c>
      <c r="AE5" s="6">
        <f>COUNTIF(W:W,"مقبول")</f>
        <v>18</v>
      </c>
    </row>
    <row r="6" spans="1:32" ht="19.2" thickTop="1" thickBot="1" x14ac:dyDescent="0.4">
      <c r="A6" s="61" t="s">
        <v>14</v>
      </c>
      <c r="B6" s="63" t="s">
        <v>15</v>
      </c>
      <c r="C6" s="61" t="s">
        <v>16</v>
      </c>
      <c r="D6" s="44" t="s">
        <v>17</v>
      </c>
      <c r="E6" s="45"/>
      <c r="F6" s="45"/>
      <c r="G6" s="33" t="s">
        <v>313</v>
      </c>
      <c r="H6" s="65" t="s">
        <v>18</v>
      </c>
      <c r="I6" s="66"/>
      <c r="J6" s="33" t="s">
        <v>313</v>
      </c>
      <c r="K6" s="44" t="s">
        <v>19</v>
      </c>
      <c r="L6" s="45"/>
      <c r="M6" s="33" t="s">
        <v>313</v>
      </c>
      <c r="N6" s="44" t="s">
        <v>20</v>
      </c>
      <c r="O6" s="45"/>
      <c r="P6" s="45"/>
      <c r="Q6" s="33" t="s">
        <v>313</v>
      </c>
      <c r="R6" s="44" t="s">
        <v>21</v>
      </c>
      <c r="S6" s="45"/>
      <c r="T6" s="33" t="s">
        <v>313</v>
      </c>
      <c r="U6" s="46" t="s">
        <v>22</v>
      </c>
      <c r="V6" s="47"/>
      <c r="W6" s="47"/>
      <c r="X6" s="48"/>
      <c r="Y6" s="7"/>
      <c r="Z6" s="7"/>
      <c r="AA6" s="7"/>
      <c r="AB6" s="7"/>
      <c r="AC6" s="7"/>
      <c r="AD6" s="6" t="s">
        <v>23</v>
      </c>
      <c r="AE6" s="6">
        <f>COUNTIF(W:W,"راسب")</f>
        <v>200</v>
      </c>
    </row>
    <row r="7" spans="1:32" ht="19.2" thickTop="1" thickBot="1" x14ac:dyDescent="0.4">
      <c r="A7" s="61"/>
      <c r="B7" s="63"/>
      <c r="C7" s="61"/>
      <c r="D7" s="9" t="s">
        <v>24</v>
      </c>
      <c r="E7" s="9" t="s">
        <v>25</v>
      </c>
      <c r="F7" s="42" t="s">
        <v>6</v>
      </c>
      <c r="G7" s="34" t="s">
        <v>314</v>
      </c>
      <c r="H7" s="9" t="s">
        <v>25</v>
      </c>
      <c r="I7" s="42" t="s">
        <v>6</v>
      </c>
      <c r="J7" s="34" t="s">
        <v>314</v>
      </c>
      <c r="K7" s="9" t="s">
        <v>25</v>
      </c>
      <c r="L7" s="42" t="s">
        <v>6</v>
      </c>
      <c r="M7" s="34" t="s">
        <v>314</v>
      </c>
      <c r="N7" s="9" t="s">
        <v>24</v>
      </c>
      <c r="O7" s="9" t="s">
        <v>25</v>
      </c>
      <c r="P7" s="42" t="s">
        <v>6</v>
      </c>
      <c r="Q7" s="34" t="s">
        <v>314</v>
      </c>
      <c r="R7" s="9" t="s">
        <v>25</v>
      </c>
      <c r="S7" s="42" t="s">
        <v>6</v>
      </c>
      <c r="T7" s="34" t="s">
        <v>314</v>
      </c>
      <c r="U7" s="10" t="s">
        <v>26</v>
      </c>
      <c r="V7" s="11" t="s">
        <v>25</v>
      </c>
      <c r="W7" s="42" t="s">
        <v>27</v>
      </c>
      <c r="X7" s="42" t="s">
        <v>28</v>
      </c>
      <c r="Y7" s="7"/>
      <c r="Z7" s="7"/>
      <c r="AA7" s="7"/>
      <c r="AB7" s="7"/>
      <c r="AC7" s="7"/>
      <c r="AD7" s="6" t="s">
        <v>25</v>
      </c>
      <c r="AE7" s="6">
        <f>SUM(AE2:AE6)</f>
        <v>281</v>
      </c>
    </row>
    <row r="8" spans="1:32" ht="18.600000000000001" thickTop="1" x14ac:dyDescent="0.35">
      <c r="A8" s="62"/>
      <c r="B8" s="64"/>
      <c r="C8" s="62"/>
      <c r="D8" s="9">
        <v>50</v>
      </c>
      <c r="E8" s="9">
        <v>200</v>
      </c>
      <c r="F8" s="43"/>
      <c r="G8" s="35" t="s">
        <v>317</v>
      </c>
      <c r="H8" s="9">
        <v>300</v>
      </c>
      <c r="I8" s="43"/>
      <c r="J8" s="35" t="s">
        <v>317</v>
      </c>
      <c r="K8" s="9">
        <v>100</v>
      </c>
      <c r="L8" s="43"/>
      <c r="M8" s="35" t="s">
        <v>317</v>
      </c>
      <c r="N8" s="9">
        <v>40</v>
      </c>
      <c r="O8" s="11">
        <v>100</v>
      </c>
      <c r="P8" s="43"/>
      <c r="Q8" s="35" t="s">
        <v>317</v>
      </c>
      <c r="R8" s="9">
        <v>100</v>
      </c>
      <c r="S8" s="43"/>
      <c r="T8" s="35" t="s">
        <v>317</v>
      </c>
      <c r="U8" s="10" t="s">
        <v>29</v>
      </c>
      <c r="V8" s="11">
        <v>800</v>
      </c>
      <c r="W8" s="43"/>
      <c r="X8" s="43"/>
    </row>
    <row r="9" spans="1:32" x14ac:dyDescent="0.35">
      <c r="A9" s="12"/>
      <c r="B9" s="13"/>
      <c r="C9" s="12"/>
      <c r="D9" s="34"/>
      <c r="E9" s="34"/>
      <c r="F9" s="9"/>
      <c r="G9" s="34"/>
      <c r="H9" s="34"/>
      <c r="I9" s="9"/>
      <c r="J9" s="34"/>
      <c r="K9" s="34"/>
      <c r="L9" s="9"/>
      <c r="M9" s="34"/>
      <c r="N9" s="34"/>
      <c r="O9" s="14"/>
      <c r="P9" s="9"/>
      <c r="Q9" s="34"/>
      <c r="R9" s="34"/>
      <c r="S9" s="9"/>
      <c r="T9" s="34"/>
      <c r="U9" s="10"/>
      <c r="V9" s="11"/>
      <c r="W9" s="9"/>
      <c r="X9" s="9"/>
      <c r="Y9" s="7"/>
      <c r="Z9" s="7"/>
      <c r="AA9" s="7"/>
      <c r="AB9" s="7"/>
      <c r="AC9" s="7"/>
      <c r="AD9" s="7"/>
      <c r="AE9" s="7"/>
      <c r="AF9" s="7"/>
    </row>
    <row r="10" spans="1:32" x14ac:dyDescent="0.35">
      <c r="A10" s="15">
        <v>1</v>
      </c>
      <c r="B10" s="24">
        <v>15330</v>
      </c>
      <c r="C10" s="24" t="s">
        <v>220</v>
      </c>
      <c r="D10" s="30">
        <v>42.5</v>
      </c>
      <c r="E10" s="32">
        <v>166.15</v>
      </c>
      <c r="F10" s="28" t="str">
        <f>IF(AND(D10&gt;=30),IF(E10&gt;=170,"ممتاز",IF(E10&gt;=150,"جيد جداً",IF(E10&gt;=130,"جيد",IF(E10&gt;=120,"مقبول","راسب")))),"راسب ")</f>
        <v>جيد جداً</v>
      </c>
      <c r="G10" s="28" t="s">
        <v>200</v>
      </c>
      <c r="H10" s="36">
        <v>0</v>
      </c>
      <c r="I10" s="18" t="str">
        <f>IF(H10&gt;=255,"ممتاز",IF(H10&gt;=225,"جيد جدا",IF(H10&gt;=195,"جيد",IF(H10&gt;=180,"مقبول","راسب"))))</f>
        <v>راسب</v>
      </c>
      <c r="J10" s="28" t="s">
        <v>315</v>
      </c>
      <c r="K10" s="37">
        <v>0</v>
      </c>
      <c r="L10" s="28" t="str">
        <f>IF(K10&gt;=85,"ممتاز",IF(K10&gt;=75,"جيد جدا",IF(K10&gt;=65,"جيد",IF(K10&gt;=60,"مقبول","راسب"))))</f>
        <v>راسب</v>
      </c>
      <c r="M10" s="28" t="s">
        <v>315</v>
      </c>
      <c r="N10" s="17">
        <v>34</v>
      </c>
      <c r="O10" s="37">
        <v>88.5</v>
      </c>
      <c r="P10" s="29" t="str">
        <f>IF(AND(N10&gt;=24),IF(O10&gt;=85,"ممتاز",IF(O10&gt;=75,"جيد جداً",IF(O10&gt;=65,"جيد",IF(O10&gt;=60,"مقبول","راسب")))),"راسب ")</f>
        <v>ممتاز</v>
      </c>
      <c r="Q10" s="28" t="s">
        <v>200</v>
      </c>
      <c r="R10" s="37">
        <v>94.0625</v>
      </c>
      <c r="S10" s="29" t="str">
        <f>IF(R10&gt;=85,"ممتاز",IF(R10&gt;=75,"جيد جدا",IF(R10&gt;=65,"جيد",IF(R10&gt;=60,"مقبول","راسب"))))</f>
        <v>ممتاز</v>
      </c>
      <c r="T10" s="28" t="s">
        <v>316</v>
      </c>
      <c r="U10" s="29"/>
      <c r="V10" s="32">
        <f>SUM(E10,H10,K10,O10,R10)</f>
        <v>348.71249999999998</v>
      </c>
      <c r="W10" s="18" t="str">
        <f>IF(AND(H10&gt;=180,E10&gt;=120,O10&gt;=60,K10&gt;=60,R10&gt;=60,D10&gt;=30,N10&gt;=24),IF(V10&gt;=680,"ممتاز",IF(V10&gt;=600,"جيد جدا",IF(V10&gt;=520,"جيد",IF(V10&gt;=480,"مقبول","راسب")))),"راسب")</f>
        <v>راسب</v>
      </c>
      <c r="X10" s="19">
        <f>IF(AND(O10&gt;=60,R10&gt;=60,K10&gt;=60,H10&gt;=180,E10&gt;=120,D10&gt;=30,N10&gt;=24),(V10/800)*100%,0)</f>
        <v>0</v>
      </c>
    </row>
    <row r="11" spans="1:32" x14ac:dyDescent="0.35">
      <c r="A11" s="15">
        <v>2</v>
      </c>
      <c r="B11" s="23">
        <v>19349</v>
      </c>
      <c r="C11" s="23" t="s">
        <v>296</v>
      </c>
      <c r="D11" s="30">
        <v>36</v>
      </c>
      <c r="E11" s="32">
        <v>127.65</v>
      </c>
      <c r="F11" s="28" t="str">
        <f>IF(AND(D11&gt;=30),IF(E11&gt;=170,"ممتاز",IF(E11&gt;=150,"جيد جداً",IF(E11&gt;=130,"جيد",IF(E11&gt;=120,"مقبول","راسب")))),"راسب ")</f>
        <v>مقبول</v>
      </c>
      <c r="G11" s="28" t="s">
        <v>200</v>
      </c>
      <c r="H11" s="36">
        <v>188</v>
      </c>
      <c r="I11" s="18" t="str">
        <f>IF(H11&gt;=255,"ممتاز",IF(H11&gt;=225,"جيد جدا",IF(H11&gt;=195,"جيد",IF(H11&gt;=180,"مقبول","راسب"))))</f>
        <v>مقبول</v>
      </c>
      <c r="J11" s="28" t="s">
        <v>200</v>
      </c>
      <c r="K11" s="37">
        <v>81.290000000000006</v>
      </c>
      <c r="L11" s="28" t="str">
        <f>IF(K11&gt;=85,"ممتاز",IF(K11&gt;=75,"جيد جدا",IF(K11&gt;=65,"جيد",IF(K11&gt;=60,"مقبول","راسب"))))</f>
        <v>جيد جدا</v>
      </c>
      <c r="M11" s="28" t="s">
        <v>200</v>
      </c>
      <c r="N11" s="17">
        <v>26</v>
      </c>
      <c r="O11" s="37">
        <v>73.5</v>
      </c>
      <c r="P11" s="29" t="str">
        <f>IF(AND(N11&gt;=24),IF(O11&gt;=85,"ممتاز",IF(O11&gt;=75,"جيد جداً",IF(O11&gt;=65,"جيد",IF(O11&gt;=60,"مقبول","راسب")))),"راسب ")</f>
        <v>جيد</v>
      </c>
      <c r="Q11" s="28" t="s">
        <v>200</v>
      </c>
      <c r="R11" s="37">
        <v>89.375</v>
      </c>
      <c r="S11" s="29" t="str">
        <f>IF(R11&gt;=85,"ممتاز",IF(R11&gt;=75,"جيد جدا",IF(R11&gt;=65,"جيد",IF(R11&gt;=60,"مقبول","راسب"))))</f>
        <v>ممتاز</v>
      </c>
      <c r="T11" s="28" t="s">
        <v>316</v>
      </c>
      <c r="U11" s="29"/>
      <c r="V11" s="32">
        <f>SUM(E11,H11,K11,O11,R11)</f>
        <v>559.81500000000005</v>
      </c>
      <c r="W11" s="18" t="str">
        <f>IF(AND(H11&gt;=180,E11&gt;=120,O11&gt;=60,K11&gt;=60,R11&gt;=60,D11&gt;=30,N11&gt;=24),IF(V11&gt;=680,"ممتاز",IF(V11&gt;=600,"جيد جدا",IF(V11&gt;=520,"جيد",IF(V11&gt;=480,"مقبول","راسب")))),"راسب")</f>
        <v>جيد</v>
      </c>
      <c r="X11" s="19">
        <f>IF(AND(O11&gt;=60,R11&gt;=60,K11&gt;=60,H11&gt;=180,E11&gt;=120,D11&gt;=30,N11&gt;=24),(V11/800)*100%,0)</f>
        <v>0.69976875000000005</v>
      </c>
    </row>
    <row r="12" spans="1:32" x14ac:dyDescent="0.35">
      <c r="A12" s="15">
        <v>3</v>
      </c>
      <c r="B12" s="23">
        <v>19122</v>
      </c>
      <c r="C12" s="23" t="s">
        <v>289</v>
      </c>
      <c r="D12" s="30">
        <v>40</v>
      </c>
      <c r="E12" s="32">
        <v>149.30000000000001</v>
      </c>
      <c r="F12" s="28" t="str">
        <f>IF(AND(D12&gt;=30),IF(E12&gt;=170,"ممتاز",IF(E12&gt;=150,"جيد جداً",IF(E12&gt;=130,"جيد",IF(E12&gt;=120,"مقبول","راسب")))),"راسب ")</f>
        <v>جيد</v>
      </c>
      <c r="G12" s="28" t="s">
        <v>200</v>
      </c>
      <c r="H12" s="36">
        <v>204</v>
      </c>
      <c r="I12" s="18" t="str">
        <f>IF(H12&gt;=255,"ممتاز",IF(H12&gt;=225,"جيد جدا",IF(H12&gt;=195,"جيد",IF(H12&gt;=180,"مقبول","راسب"))))</f>
        <v>جيد</v>
      </c>
      <c r="J12" s="28" t="s">
        <v>200</v>
      </c>
      <c r="K12" s="37">
        <v>77.56</v>
      </c>
      <c r="L12" s="28" t="str">
        <f>IF(K12&gt;=85,"ممتاز",IF(K12&gt;=75,"جيد جدا",IF(K12&gt;=65,"جيد",IF(K12&gt;=60,"مقبول","راسب"))))</f>
        <v>جيد جدا</v>
      </c>
      <c r="M12" s="28" t="s">
        <v>200</v>
      </c>
      <c r="N12" s="17">
        <v>26</v>
      </c>
      <c r="O12" s="37">
        <v>73.5</v>
      </c>
      <c r="P12" s="29" t="str">
        <f>IF(AND(N12&gt;=24),IF(O12&gt;=85,"ممتاز",IF(O12&gt;=75,"جيد جداً",IF(O12&gt;=65,"جيد",IF(O12&gt;=60,"مقبول","راسب")))),"راسب ")</f>
        <v>جيد</v>
      </c>
      <c r="Q12" s="28" t="s">
        <v>200</v>
      </c>
      <c r="R12" s="37">
        <v>86.5625</v>
      </c>
      <c r="S12" s="29" t="str">
        <f>IF(R12&gt;=85,"ممتاز",IF(R12&gt;=75,"جيد جدا",IF(R12&gt;=65,"جيد",IF(R12&gt;=60,"مقبول","راسب"))))</f>
        <v>ممتاز</v>
      </c>
      <c r="T12" s="28" t="s">
        <v>316</v>
      </c>
      <c r="U12" s="29"/>
      <c r="V12" s="32">
        <f>SUM(E12,H12,K12,O12,R12)</f>
        <v>590.92250000000001</v>
      </c>
      <c r="W12" s="18" t="str">
        <f>IF(AND(H12&gt;=180,E12&gt;=120,O12&gt;=60,K12&gt;=60,R12&gt;=60,D12&gt;=30,N12&gt;=24),IF(V12&gt;=680,"ممتاز",IF(V12&gt;=600,"جيد جدا",IF(V12&gt;=520,"جيد",IF(V12&gt;=480,"مقبول","راسب")))),"راسب")</f>
        <v>جيد</v>
      </c>
      <c r="X12" s="19">
        <f>IF(AND(O12&gt;=60,R12&gt;=60,K12&gt;=60,H12&gt;=180,E12&gt;=120,D12&gt;=30,N12&gt;=24),(V12/800)*100%,0)</f>
        <v>0.73865312500000002</v>
      </c>
    </row>
    <row r="13" spans="1:32" x14ac:dyDescent="0.35">
      <c r="A13" s="15">
        <v>4</v>
      </c>
      <c r="B13" s="15">
        <v>19141</v>
      </c>
      <c r="C13" s="15" t="s">
        <v>290</v>
      </c>
      <c r="D13" s="30">
        <v>36</v>
      </c>
      <c r="E13" s="32">
        <v>144.80000000000001</v>
      </c>
      <c r="F13" s="28" t="str">
        <f>IF(AND(D13&gt;=30),IF(E13&gt;=170,"ممتاز",IF(E13&gt;=150,"جيد جداً",IF(E13&gt;=130,"جيد",IF(E13&gt;=120,"مقبول","راسب")))),"راسب ")</f>
        <v>جيد</v>
      </c>
      <c r="G13" s="28" t="s">
        <v>200</v>
      </c>
      <c r="H13" s="36">
        <v>248</v>
      </c>
      <c r="I13" s="18" t="str">
        <f>IF(H13&gt;=255,"ممتاز",IF(H13&gt;=225,"جيد جدا",IF(H13&gt;=195,"جيد",IF(H13&gt;=180,"مقبول","راسب"))))</f>
        <v>جيد جدا</v>
      </c>
      <c r="J13" s="28" t="s">
        <v>200</v>
      </c>
      <c r="K13" s="37">
        <v>87.79</v>
      </c>
      <c r="L13" s="28" t="str">
        <f>IF(K13&gt;=85,"ممتاز",IF(K13&gt;=75,"جيد جدا",IF(K13&gt;=65,"جيد",IF(K13&gt;=60,"مقبول","راسب"))))</f>
        <v>ممتاز</v>
      </c>
      <c r="M13" s="28" t="s">
        <v>200</v>
      </c>
      <c r="N13" s="17">
        <v>29</v>
      </c>
      <c r="O13" s="37">
        <v>74.5</v>
      </c>
      <c r="P13" s="29" t="str">
        <f>IF(AND(N13&gt;=24),IF(O13&gt;=85,"ممتاز",IF(O13&gt;=75,"جيد جداً",IF(O13&gt;=65,"جيد",IF(O13&gt;=60,"مقبول","راسب")))),"راسب ")</f>
        <v>جيد</v>
      </c>
      <c r="Q13" s="28" t="s">
        <v>200</v>
      </c>
      <c r="R13" s="37">
        <v>86.5625</v>
      </c>
      <c r="S13" s="29" t="str">
        <f>IF(R13&gt;=85,"ممتاز",IF(R13&gt;=75,"جيد جدا",IF(R13&gt;=65,"جيد",IF(R13&gt;=60,"مقبول","راسب"))))</f>
        <v>ممتاز</v>
      </c>
      <c r="T13" s="28" t="s">
        <v>316</v>
      </c>
      <c r="U13" s="29"/>
      <c r="V13" s="32">
        <f>SUM(E13,H13,K13,O13,R13)</f>
        <v>641.65250000000003</v>
      </c>
      <c r="W13" s="18" t="str">
        <f>IF(AND(H13&gt;=180,E13&gt;=120,O13&gt;=60,K13&gt;=60,R13&gt;=60,D13&gt;=30,N13&gt;=24),IF(V13&gt;=680,"ممتاز",IF(V13&gt;=600,"جيد جدا",IF(V13&gt;=520,"جيد",IF(V13&gt;=480,"مقبول","راسب")))),"راسب")</f>
        <v>جيد جدا</v>
      </c>
      <c r="X13" s="19">
        <f>IF(AND(O13&gt;=60,R13&gt;=60,K13&gt;=60,H13&gt;=180,E13&gt;=120,D13&gt;=30,N13&gt;=24),(V13/800)*100%,0)</f>
        <v>0.802065625</v>
      </c>
    </row>
    <row r="14" spans="1:32" x14ac:dyDescent="0.35">
      <c r="A14" s="15">
        <v>5</v>
      </c>
      <c r="B14" s="15">
        <v>14703</v>
      </c>
      <c r="C14" s="15" t="s">
        <v>153</v>
      </c>
      <c r="D14" s="30">
        <v>38.25</v>
      </c>
      <c r="E14" s="30">
        <v>130.6</v>
      </c>
      <c r="F14" s="28" t="str">
        <f>IF(AND(D14&gt;=30),IF(E14&gt;=170,"ممتاز",IF(E14&gt;=150,"جيد جداً",IF(E14&gt;=130,"جيد",IF(E14&gt;=120,"مقبول","راسب")))),"راسب ")</f>
        <v>جيد</v>
      </c>
      <c r="G14" s="28" t="s">
        <v>200</v>
      </c>
      <c r="H14" s="30">
        <v>201.5</v>
      </c>
      <c r="I14" s="18" t="str">
        <f>IF(H14&gt;=255,"ممتاز",IF(H14&gt;=225,"جيد جدا",IF(H14&gt;=195,"جيد",IF(H14&gt;=180,"مقبول","راسب"))))</f>
        <v>جيد</v>
      </c>
      <c r="J14" s="28" t="s">
        <v>200</v>
      </c>
      <c r="K14" s="31">
        <v>77.290000000000006</v>
      </c>
      <c r="L14" s="28" t="str">
        <f>IF(K14&gt;=85,"ممتاز",IF(K14&gt;=75,"جيد جدا",IF(K14&gt;=65,"جيد",IF(K14&gt;=60,"مقبول","راسب"))))</f>
        <v>جيد جدا</v>
      </c>
      <c r="M14" s="28" t="s">
        <v>200</v>
      </c>
      <c r="N14" s="17">
        <v>24</v>
      </c>
      <c r="O14" s="17">
        <v>66.5</v>
      </c>
      <c r="P14" s="29" t="str">
        <f>IF(AND(N14&gt;=24),IF(O14&gt;=85,"ممتاز",IF(O14&gt;=75,"جيد جداً",IF(O14&gt;=65,"جيد",IF(O14&gt;=60,"مقبول","راسب")))),"راسب ")</f>
        <v>جيد</v>
      </c>
      <c r="Q14" s="28" t="s">
        <v>200</v>
      </c>
      <c r="R14" s="37">
        <v>86.25</v>
      </c>
      <c r="S14" s="29" t="str">
        <f>IF(R14&gt;=85,"ممتاز",IF(R14&gt;=75,"جيد جدا",IF(R14&gt;=65,"جيد",IF(R14&gt;=60,"مقبول","راسب"))))</f>
        <v>ممتاز</v>
      </c>
      <c r="T14" s="28" t="s">
        <v>316</v>
      </c>
      <c r="U14" s="29"/>
      <c r="V14" s="32">
        <f>SUM(E14,H14,K14,O14,R14)</f>
        <v>562.1400000000001</v>
      </c>
      <c r="W14" s="18" t="str">
        <f>IF(AND(H14&gt;=180,E14&gt;=120,O14&gt;=60,K14&gt;=60,R14&gt;=60,D14&gt;=30,N14&gt;=24),IF(V14&gt;=680,"ممتاز",IF(V14&gt;=600,"جيد جدا",IF(V14&gt;=520,"جيد",IF(V14&gt;=480,"مقبول","راسب")))),"راسب")</f>
        <v>جيد</v>
      </c>
      <c r="X14" s="19">
        <f>IF(AND(O14&gt;=60,R14&gt;=60,K14&gt;=60,H14&gt;=180,E14&gt;=120,D14&gt;=30,N14&gt;=24),(V14/800)*100%,0)</f>
        <v>0.70267500000000016</v>
      </c>
    </row>
    <row r="15" spans="1:32" x14ac:dyDescent="0.35">
      <c r="A15" s="15">
        <v>6</v>
      </c>
      <c r="B15" s="15">
        <v>15278</v>
      </c>
      <c r="C15" s="15" t="s">
        <v>108</v>
      </c>
      <c r="D15" s="30">
        <v>0</v>
      </c>
      <c r="E15" s="30">
        <v>0</v>
      </c>
      <c r="F15" s="28" t="str">
        <f>IF(AND(D15&gt;=30),IF(E15&gt;=170,"ممتاز",IF(E15&gt;=150,"جيد جداً",IF(E15&gt;=130,"جيد",IF(E15&gt;=120,"مقبول","راسب")))),"راسب ")</f>
        <v xml:space="preserve">راسب </v>
      </c>
      <c r="G15" s="28" t="s">
        <v>315</v>
      </c>
      <c r="H15" s="30">
        <v>192</v>
      </c>
      <c r="I15" s="18" t="str">
        <f>IF(H15&gt;=255,"ممتاز",IF(H15&gt;=225,"جيد جدا",IF(H15&gt;=195,"جيد",IF(H15&gt;=180,"مقبول","راسب"))))</f>
        <v>مقبول</v>
      </c>
      <c r="J15" s="28" t="s">
        <v>200</v>
      </c>
      <c r="K15" s="31">
        <v>60</v>
      </c>
      <c r="L15" s="28" t="str">
        <f>IF(K15&gt;=85,"ممتاز",IF(K15&gt;=75,"جيد جدا",IF(K15&gt;=65,"جيد",IF(K15&gt;=60,"مقبول","راسب"))))</f>
        <v>مقبول</v>
      </c>
      <c r="M15" s="28" t="s">
        <v>200</v>
      </c>
      <c r="N15" s="17">
        <v>0</v>
      </c>
      <c r="O15" s="37">
        <v>0</v>
      </c>
      <c r="P15" s="29" t="str">
        <f>IF(AND(N15&gt;=24),IF(O15&gt;=85,"ممتاز",IF(O15&gt;=75,"جيد جداً",IF(O15&gt;=65,"جيد",IF(O15&gt;=60,"مقبول","راسب")))),"راسب ")</f>
        <v xml:space="preserve">راسب </v>
      </c>
      <c r="Q15" s="28" t="s">
        <v>315</v>
      </c>
      <c r="R15" s="30">
        <v>85</v>
      </c>
      <c r="S15" s="29" t="str">
        <f>IF(R15&gt;=85,"ممتاز",IF(R15&gt;=75,"جيد جدا",IF(R15&gt;=65,"جيد",IF(R15&gt;=60,"مقبول","راسب"))))</f>
        <v>ممتاز</v>
      </c>
      <c r="T15" s="28" t="s">
        <v>200</v>
      </c>
      <c r="U15" s="29"/>
      <c r="V15" s="32">
        <f>SUM(E15,H15,K15,O15,R15)</f>
        <v>337</v>
      </c>
      <c r="W15" s="18" t="str">
        <f>IF(AND(H15&gt;=180,E15&gt;=120,O15&gt;=60,K15&gt;=60,R15&gt;=60,D15&gt;=30,N15&gt;=24),IF(V15&gt;=680,"ممتاز",IF(V15&gt;=600,"جيد جدا",IF(V15&gt;=520,"جيد",IF(V15&gt;=480,"مقبول","راسب")))),"راسب")</f>
        <v>راسب</v>
      </c>
      <c r="X15" s="19">
        <f>IF(AND(O15&gt;=60,R15&gt;=60,K15&gt;=60,H15&gt;=180,E15&gt;=120,D15&gt;=30,N15&gt;=24),(V15/800)*100%,0)</f>
        <v>0</v>
      </c>
    </row>
    <row r="16" spans="1:32" x14ac:dyDescent="0.35">
      <c r="A16" s="15">
        <v>7</v>
      </c>
      <c r="B16" s="23">
        <v>8616</v>
      </c>
      <c r="C16" s="23" t="s">
        <v>52</v>
      </c>
      <c r="D16" s="30">
        <v>36</v>
      </c>
      <c r="E16" s="30">
        <v>120</v>
      </c>
      <c r="F16" s="28" t="str">
        <f>IF(AND(D16&gt;=30),IF(E16&gt;=170,"ممتاز",IF(E16&gt;=150,"جيد جداً",IF(E16&gt;=130,"جيد",IF(E16&gt;=120,"مقبول","راسب")))),"راسب ")</f>
        <v>مقبول</v>
      </c>
      <c r="G16" s="28" t="s">
        <v>200</v>
      </c>
      <c r="H16" s="30">
        <v>184</v>
      </c>
      <c r="I16" s="18" t="str">
        <f>IF(H16&gt;=255,"ممتاز",IF(H16&gt;=225,"جيد جدا",IF(H16&gt;=195,"جيد",IF(H16&gt;=180,"مقبول","راسب"))))</f>
        <v>مقبول</v>
      </c>
      <c r="J16" s="28" t="s">
        <v>200</v>
      </c>
      <c r="K16" s="31">
        <v>72</v>
      </c>
      <c r="L16" s="28" t="str">
        <f>IF(K16&gt;=85,"ممتاز",IF(K16&gt;=75,"جيد جدا",IF(K16&gt;=65,"جيد",IF(K16&gt;=60,"مقبول","راسب"))))</f>
        <v>جيد</v>
      </c>
      <c r="M16" s="28" t="s">
        <v>200</v>
      </c>
      <c r="N16" s="17">
        <v>25</v>
      </c>
      <c r="O16" s="17">
        <v>60</v>
      </c>
      <c r="P16" s="29" t="str">
        <f>IF(AND(N16&gt;=24),IF(O16&gt;=85,"ممتاز",IF(O16&gt;=75,"جيد جداً",IF(O16&gt;=65,"جيد",IF(O16&gt;=60,"مقبول","راسب")))),"راسب ")</f>
        <v>مقبول</v>
      </c>
      <c r="Q16" s="28" t="s">
        <v>200</v>
      </c>
      <c r="R16" s="37">
        <v>84.6875</v>
      </c>
      <c r="S16" s="29" t="str">
        <f>IF(R16&gt;=85,"ممتاز",IF(R16&gt;=75,"جيد جدا",IF(R16&gt;=65,"جيد",IF(R16&gt;=60,"مقبول","راسب"))))</f>
        <v>جيد جدا</v>
      </c>
      <c r="T16" s="28" t="s">
        <v>316</v>
      </c>
      <c r="U16" s="29"/>
      <c r="V16" s="32">
        <f>SUM(E16,H16,K16,O16,R16)</f>
        <v>520.6875</v>
      </c>
      <c r="W16" s="18" t="str">
        <f>IF(AND(H16&gt;=180,E16&gt;=120,O16&gt;=60,K16&gt;=60,R16&gt;=60,D16&gt;=30,N16&gt;=24),IF(V16&gt;=680,"ممتاز",IF(V16&gt;=600,"جيد جدا",IF(V16&gt;=520,"جيد",IF(V16&gt;=480,"مقبول","راسب")))),"راسب")</f>
        <v>جيد</v>
      </c>
      <c r="X16" s="19">
        <f>IF(AND(O16&gt;=60,R16&gt;=60,K16&gt;=60,H16&gt;=180,E16&gt;=120,D16&gt;=30,N16&gt;=24),(V16/800)*100%,0)</f>
        <v>0.65085937500000002</v>
      </c>
    </row>
    <row r="17" spans="1:24" x14ac:dyDescent="0.35">
      <c r="A17" s="15">
        <v>8</v>
      </c>
      <c r="B17" s="23">
        <v>17625</v>
      </c>
      <c r="C17" s="23" t="s">
        <v>137</v>
      </c>
      <c r="D17" s="30">
        <v>51</v>
      </c>
      <c r="E17" s="30">
        <v>164</v>
      </c>
      <c r="F17" s="28" t="str">
        <f>IF(AND(D17&gt;=30),IF(E17&gt;=170,"ممتاز",IF(E17&gt;=150,"جيد جداً",IF(E17&gt;=130,"جيد",IF(E17&gt;=120,"مقبول","راسب")))),"راسب ")</f>
        <v>جيد جداً</v>
      </c>
      <c r="G17" s="28" t="s">
        <v>200</v>
      </c>
      <c r="H17" s="36">
        <v>225</v>
      </c>
      <c r="I17" s="18" t="str">
        <f>IF(H17&gt;=255,"ممتاز",IF(H17&gt;=225,"جيد جدا",IF(H17&gt;=195,"جيد",IF(H17&gt;=180,"مقبول","راسب"))))</f>
        <v>جيد جدا</v>
      </c>
      <c r="J17" s="28" t="s">
        <v>316</v>
      </c>
      <c r="K17" s="31">
        <v>76</v>
      </c>
      <c r="L17" s="28" t="str">
        <f>IF(K17&gt;=85,"ممتاز",IF(K17&gt;=75,"جيد جدا",IF(K17&gt;=65,"جيد",IF(K17&gt;=60,"مقبول","راسب"))))</f>
        <v>جيد جدا</v>
      </c>
      <c r="M17" s="28" t="s">
        <v>200</v>
      </c>
      <c r="N17" s="17">
        <v>24</v>
      </c>
      <c r="O17" s="17">
        <v>60.63</v>
      </c>
      <c r="P17" s="29" t="str">
        <f>IF(AND(N17&gt;=24),IF(O17&gt;=85,"ممتاز",IF(O17&gt;=75,"جيد جداً",IF(O17&gt;=65,"جيد",IF(O17&gt;=60,"مقبول","راسب")))),"راسب ")</f>
        <v>مقبول</v>
      </c>
      <c r="Q17" s="28" t="s">
        <v>200</v>
      </c>
      <c r="R17" s="37">
        <v>82.1875</v>
      </c>
      <c r="S17" s="29" t="str">
        <f>IF(R17&gt;=85,"ممتاز",IF(R17&gt;=75,"جيد جدا",IF(R17&gt;=65,"جيد",IF(R17&gt;=60,"مقبول","راسب"))))</f>
        <v>جيد جدا</v>
      </c>
      <c r="T17" s="28" t="s">
        <v>316</v>
      </c>
      <c r="U17" s="29"/>
      <c r="V17" s="32">
        <f>SUM(E17,H17,K17,O17,R17)</f>
        <v>607.8175</v>
      </c>
      <c r="W17" s="18" t="str">
        <f>IF(AND(H17&gt;=180,E17&gt;=120,O17&gt;=60,K17&gt;=60,R17&gt;=60,D17&gt;=30,N17&gt;=24),IF(V17&gt;=680,"ممتاز",IF(V17&gt;=600,"جيد جدا",IF(V17&gt;=520,"جيد",IF(V17&gt;=480,"مقبول","راسب")))),"راسب")</f>
        <v>جيد جدا</v>
      </c>
      <c r="X17" s="19">
        <f>IF(AND(O17&gt;=60,R17&gt;=60,K17&gt;=60,H17&gt;=180,E17&gt;=120,D17&gt;=30,N17&gt;=24),(V17/800)*100%,0)</f>
        <v>0.75977187499999999</v>
      </c>
    </row>
    <row r="18" spans="1:24" x14ac:dyDescent="0.35">
      <c r="A18" s="15">
        <v>9</v>
      </c>
      <c r="B18" s="23">
        <v>18350</v>
      </c>
      <c r="C18" s="23" t="s">
        <v>189</v>
      </c>
      <c r="D18" s="30">
        <v>49.8</v>
      </c>
      <c r="E18" s="30">
        <v>143.06</v>
      </c>
      <c r="F18" s="28" t="str">
        <f>IF(AND(D18&gt;=30),IF(E18&gt;=170,"ممتاز",IF(E18&gt;=150,"جيد جداً",IF(E18&gt;=130,"جيد",IF(E18&gt;=120,"مقبول","راسب")))),"راسب ")</f>
        <v>جيد</v>
      </c>
      <c r="G18" s="28" t="s">
        <v>200</v>
      </c>
      <c r="H18" s="36">
        <v>205</v>
      </c>
      <c r="I18" s="18" t="str">
        <f>IF(H18&gt;=255,"ممتاز",IF(H18&gt;=225,"جيد جدا",IF(H18&gt;=195,"جيد",IF(H18&gt;=180,"مقبول","راسب"))))</f>
        <v>جيد</v>
      </c>
      <c r="J18" s="28" t="s">
        <v>316</v>
      </c>
      <c r="K18" s="31">
        <v>68</v>
      </c>
      <c r="L18" s="28" t="str">
        <f>IF(K18&gt;=85,"ممتاز",IF(K18&gt;=75,"جيد جدا",IF(K18&gt;=65,"جيد",IF(K18&gt;=60,"مقبول","راسب"))))</f>
        <v>جيد</v>
      </c>
      <c r="M18" s="28" t="s">
        <v>200</v>
      </c>
      <c r="N18" s="17">
        <v>24</v>
      </c>
      <c r="O18" s="37">
        <v>63.125</v>
      </c>
      <c r="P18" s="29" t="str">
        <f>IF(AND(N18&gt;=24),IF(O18&gt;=85,"ممتاز",IF(O18&gt;=75,"جيد جداً",IF(O18&gt;=65,"جيد",IF(O18&gt;=60,"مقبول","راسب")))),"راسب ")</f>
        <v>مقبول</v>
      </c>
      <c r="Q18" s="28" t="s">
        <v>316</v>
      </c>
      <c r="R18" s="37">
        <v>82.1875</v>
      </c>
      <c r="S18" s="29" t="str">
        <f>IF(R18&gt;=85,"ممتاز",IF(R18&gt;=75,"جيد جدا",IF(R18&gt;=65,"جيد",IF(R18&gt;=60,"مقبول","راسب"))))</f>
        <v>جيد جدا</v>
      </c>
      <c r="T18" s="28" t="s">
        <v>316</v>
      </c>
      <c r="U18" s="29"/>
      <c r="V18" s="32">
        <f>SUM(E18,H18,K18,O18,R18)</f>
        <v>561.37249999999995</v>
      </c>
      <c r="W18" s="18" t="str">
        <f>IF(AND(H18&gt;=180,E18&gt;=120,O18&gt;=60,K18&gt;=60,R18&gt;=60,D18&gt;=30,N18&gt;=24),IF(V18&gt;=680,"ممتاز",IF(V18&gt;=600,"جيد جدا",IF(V18&gt;=520,"جيد",IF(V18&gt;=480,"مقبول","راسب")))),"راسب")</f>
        <v>جيد</v>
      </c>
      <c r="X18" s="19">
        <f>IF(AND(O18&gt;=60,R18&gt;=60,K18&gt;=60,H18&gt;=180,E18&gt;=120,D18&gt;=30,N18&gt;=24),(V18/800)*100%,0)</f>
        <v>0.70171562499999995</v>
      </c>
    </row>
    <row r="19" spans="1:24" x14ac:dyDescent="0.35">
      <c r="A19" s="15">
        <v>10</v>
      </c>
      <c r="B19" s="23">
        <v>19545</v>
      </c>
      <c r="C19" s="23" t="s">
        <v>299</v>
      </c>
      <c r="D19" s="30">
        <v>36.25</v>
      </c>
      <c r="E19" s="32">
        <v>143.25</v>
      </c>
      <c r="F19" s="28" t="str">
        <f>IF(AND(D19&gt;=30),IF(E19&gt;=170,"ممتاز",IF(E19&gt;=150,"جيد جداً",IF(E19&gt;=130,"جيد",IF(E19&gt;=120,"مقبول","راسب")))),"راسب ")</f>
        <v>جيد</v>
      </c>
      <c r="G19" s="28" t="s">
        <v>200</v>
      </c>
      <c r="H19" s="36">
        <v>201</v>
      </c>
      <c r="I19" s="18" t="str">
        <f>IF(H19&gt;=255,"ممتاز",IF(H19&gt;=225,"جيد جدا",IF(H19&gt;=195,"جيد",IF(H19&gt;=180,"مقبول","راسب"))))</f>
        <v>جيد</v>
      </c>
      <c r="J19" s="28" t="s">
        <v>200</v>
      </c>
      <c r="K19" s="37">
        <v>71.72</v>
      </c>
      <c r="L19" s="28" t="str">
        <f>IF(K19&gt;=85,"ممتاز",IF(K19&gt;=75,"جيد جدا",IF(K19&gt;=65,"جيد",IF(K19&gt;=60,"مقبول","راسب"))))</f>
        <v>جيد</v>
      </c>
      <c r="M19" s="28" t="s">
        <v>200</v>
      </c>
      <c r="N19" s="17">
        <v>27</v>
      </c>
      <c r="O19" s="37">
        <v>71</v>
      </c>
      <c r="P19" s="29" t="str">
        <f>IF(AND(N19&gt;=24),IF(O19&gt;=85,"ممتاز",IF(O19&gt;=75,"جيد جداً",IF(O19&gt;=65,"جيد",IF(O19&gt;=60,"مقبول","راسب")))),"راسب ")</f>
        <v>جيد</v>
      </c>
      <c r="Q19" s="28" t="s">
        <v>200</v>
      </c>
      <c r="R19" s="37">
        <v>81.5625</v>
      </c>
      <c r="S19" s="29" t="str">
        <f>IF(R19&gt;=85,"ممتاز",IF(R19&gt;=75,"جيد جدا",IF(R19&gt;=65,"جيد",IF(R19&gt;=60,"مقبول","راسب"))))</f>
        <v>جيد جدا</v>
      </c>
      <c r="T19" s="28" t="s">
        <v>316</v>
      </c>
      <c r="U19" s="29"/>
      <c r="V19" s="32">
        <f>SUM(E19,H19,K19,O19,R19)</f>
        <v>568.53250000000003</v>
      </c>
      <c r="W19" s="18" t="str">
        <f>IF(AND(H19&gt;=180,E19&gt;=120,O19&gt;=60,K19&gt;=60,R19&gt;=60,D19&gt;=30,N19&gt;=24),IF(V19&gt;=680,"ممتاز",IF(V19&gt;=600,"جيد جدا",IF(V19&gt;=520,"جيد",IF(V19&gt;=480,"مقبول","راسب")))),"راسب")</f>
        <v>جيد</v>
      </c>
      <c r="X19" s="19">
        <f>IF(AND(O19&gt;=60,R19&gt;=60,K19&gt;=60,H19&gt;=180,E19&gt;=120,D19&gt;=30,N19&gt;=24),(V19/800)*100%,0)</f>
        <v>0.71066562500000008</v>
      </c>
    </row>
    <row r="20" spans="1:24" x14ac:dyDescent="0.35">
      <c r="A20" s="15">
        <v>11</v>
      </c>
      <c r="B20" s="16">
        <v>19345</v>
      </c>
      <c r="C20" s="16" t="s">
        <v>295</v>
      </c>
      <c r="D20" s="30">
        <v>38.5</v>
      </c>
      <c r="E20" s="32">
        <v>136.6</v>
      </c>
      <c r="F20" s="28" t="str">
        <f>IF(AND(D20&gt;=30),IF(E20&gt;=170,"ممتاز",IF(E20&gt;=150,"جيد جداً",IF(E20&gt;=130,"جيد",IF(E20&gt;=120,"مقبول","راسب")))),"راسب ")</f>
        <v>جيد</v>
      </c>
      <c r="G20" s="28" t="s">
        <v>200</v>
      </c>
      <c r="H20" s="36">
        <v>183.33333333333334</v>
      </c>
      <c r="I20" s="18" t="str">
        <f>IF(H20&gt;=255,"ممتاز",IF(H20&gt;=225,"جيد جدا",IF(H20&gt;=195,"جيد",IF(H20&gt;=180,"مقبول","راسب"))))</f>
        <v>مقبول</v>
      </c>
      <c r="J20" s="28" t="s">
        <v>316</v>
      </c>
      <c r="K20" s="37">
        <v>72.650000000000006</v>
      </c>
      <c r="L20" s="28" t="str">
        <f>IF(K20&gt;=85,"ممتاز",IF(K20&gt;=75,"جيد جدا",IF(K20&gt;=65,"جيد",IF(K20&gt;=60,"مقبول","راسب"))))</f>
        <v>جيد</v>
      </c>
      <c r="M20" s="28" t="s">
        <v>200</v>
      </c>
      <c r="N20" s="17">
        <v>26</v>
      </c>
      <c r="O20" s="37">
        <v>69.5</v>
      </c>
      <c r="P20" s="29" t="str">
        <f>IF(AND(N20&gt;=24),IF(O20&gt;=85,"ممتاز",IF(O20&gt;=75,"جيد جداً",IF(O20&gt;=65,"جيد",IF(O20&gt;=60,"مقبول","راسب")))),"راسب ")</f>
        <v>جيد</v>
      </c>
      <c r="Q20" s="28" t="s">
        <v>200</v>
      </c>
      <c r="R20" s="37">
        <v>80.625</v>
      </c>
      <c r="S20" s="29" t="str">
        <f>IF(R20&gt;=85,"ممتاز",IF(R20&gt;=75,"جيد جدا",IF(R20&gt;=65,"جيد",IF(R20&gt;=60,"مقبول","راسب"))))</f>
        <v>جيد جدا</v>
      </c>
      <c r="T20" s="28" t="s">
        <v>316</v>
      </c>
      <c r="U20" s="29"/>
      <c r="V20" s="32">
        <f>SUM(E20,H20,K20,O20,R20)</f>
        <v>542.70833333333337</v>
      </c>
      <c r="W20" s="18" t="str">
        <f>IF(AND(H20&gt;=180,E20&gt;=120,O20&gt;=60,K20&gt;=60,R20&gt;=60,D20&gt;=30,N20&gt;=24),IF(V20&gt;=680,"ممتاز",IF(V20&gt;=600,"جيد جدا",IF(V20&gt;=520,"جيد",IF(V20&gt;=480,"مقبول","راسب")))),"راسب")</f>
        <v>جيد</v>
      </c>
      <c r="X20" s="19">
        <f>IF(AND(O20&gt;=60,R20&gt;=60,K20&gt;=60,H20&gt;=180,E20&gt;=120,D20&gt;=30,N20&gt;=24),(V20/800)*100%,0)</f>
        <v>0.67838541666666674</v>
      </c>
    </row>
    <row r="21" spans="1:24" x14ac:dyDescent="0.35">
      <c r="A21" s="15">
        <v>12</v>
      </c>
      <c r="B21" s="15">
        <v>17374</v>
      </c>
      <c r="C21" s="15" t="s">
        <v>250</v>
      </c>
      <c r="D21" s="30">
        <v>40.5</v>
      </c>
      <c r="E21" s="32">
        <v>124.65</v>
      </c>
      <c r="F21" s="28" t="str">
        <f>IF(AND(D21&gt;=30),IF(E21&gt;=170,"ممتاز",IF(E21&gt;=150,"جيد جداً",IF(E21&gt;=130,"جيد",IF(E21&gt;=120,"مقبول","راسب")))),"راسب ")</f>
        <v>مقبول</v>
      </c>
      <c r="G21" s="28" t="s">
        <v>200</v>
      </c>
      <c r="H21" s="36">
        <v>221.66666666666669</v>
      </c>
      <c r="I21" s="18" t="str">
        <f>IF(H21&gt;=255,"ممتاز",IF(H21&gt;=225,"جيد جدا",IF(H21&gt;=195,"جيد",IF(H21&gt;=180,"مقبول","راسب"))))</f>
        <v>جيد</v>
      </c>
      <c r="J21" s="28" t="s">
        <v>316</v>
      </c>
      <c r="K21" s="37">
        <v>64.86</v>
      </c>
      <c r="L21" s="28" t="str">
        <f>IF(K21&gt;=85,"ممتاز",IF(K21&gt;=75,"جيد جدا",IF(K21&gt;=65,"جيد",IF(K21&gt;=60,"مقبول","راسب"))))</f>
        <v>مقبول</v>
      </c>
      <c r="M21" s="28" t="s">
        <v>200</v>
      </c>
      <c r="N21" s="17">
        <v>29</v>
      </c>
      <c r="O21" s="37">
        <v>76.25</v>
      </c>
      <c r="P21" s="29" t="str">
        <f>IF(AND(N21&gt;=24),IF(O21&gt;=85,"ممتاز",IF(O21&gt;=75,"جيد جداً",IF(O21&gt;=65,"جيد",IF(O21&gt;=60,"مقبول","راسب")))),"راسب ")</f>
        <v>جيد جداً</v>
      </c>
      <c r="Q21" s="28" t="s">
        <v>316</v>
      </c>
      <c r="R21" s="37">
        <v>80.3125</v>
      </c>
      <c r="S21" s="29" t="str">
        <f>IF(R21&gt;=85,"ممتاز",IF(R21&gt;=75,"جيد جدا",IF(R21&gt;=65,"جيد",IF(R21&gt;=60,"مقبول","راسب"))))</f>
        <v>جيد جدا</v>
      </c>
      <c r="T21" s="28" t="s">
        <v>316</v>
      </c>
      <c r="U21" s="29"/>
      <c r="V21" s="32">
        <f>SUM(E21,H21,K21,O21,R21)</f>
        <v>567.73916666666673</v>
      </c>
      <c r="W21" s="18" t="str">
        <f>IF(AND(H21&gt;=180,E21&gt;=120,O21&gt;=60,K21&gt;=60,R21&gt;=60,D21&gt;=30,N21&gt;=24),IF(V21&gt;=680,"ممتاز",IF(V21&gt;=600,"جيد جدا",IF(V21&gt;=520,"جيد",IF(V21&gt;=480,"مقبول","راسب")))),"راسب")</f>
        <v>جيد</v>
      </c>
      <c r="X21" s="19">
        <f>IF(AND(O21&gt;=60,R21&gt;=60,K21&gt;=60,H21&gt;=180,E21&gt;=120,D21&gt;=30,N21&gt;=24),(V21/800)*100%,0)</f>
        <v>0.70967395833333347</v>
      </c>
    </row>
    <row r="22" spans="1:24" x14ac:dyDescent="0.35">
      <c r="A22" s="15">
        <v>13</v>
      </c>
      <c r="B22" s="15">
        <v>18287</v>
      </c>
      <c r="C22" s="15" t="s">
        <v>264</v>
      </c>
      <c r="D22" s="30">
        <v>38.25</v>
      </c>
      <c r="E22" s="32">
        <v>154.44999999999999</v>
      </c>
      <c r="F22" s="28" t="str">
        <f>IF(AND(D22&gt;=30),IF(E22&gt;=170,"ممتاز",IF(E22&gt;=150,"جيد جداً",IF(E22&gt;=130,"جيد",IF(E22&gt;=120,"مقبول","راسب")))),"راسب ")</f>
        <v>جيد جداً</v>
      </c>
      <c r="G22" s="28" t="s">
        <v>200</v>
      </c>
      <c r="H22" s="36">
        <v>194</v>
      </c>
      <c r="I22" s="18" t="str">
        <f>IF(H22&gt;=255,"ممتاز",IF(H22&gt;=225,"جيد جدا",IF(H22&gt;=195,"جيد",IF(H22&gt;=180,"مقبول","راسب"))))</f>
        <v>مقبول</v>
      </c>
      <c r="J22" s="28" t="s">
        <v>200</v>
      </c>
      <c r="K22" s="37">
        <v>69.7</v>
      </c>
      <c r="L22" s="28" t="str">
        <f>IF(K22&gt;=85,"ممتاز",IF(K22&gt;=75,"جيد جدا",IF(K22&gt;=65,"جيد",IF(K22&gt;=60,"مقبول","راسب"))))</f>
        <v>جيد</v>
      </c>
      <c r="M22" s="28" t="s">
        <v>200</v>
      </c>
      <c r="N22" s="17">
        <v>24</v>
      </c>
      <c r="O22" s="37">
        <v>62</v>
      </c>
      <c r="P22" s="29" t="str">
        <f>IF(AND(N22&gt;=24),IF(O22&gt;=85,"ممتاز",IF(O22&gt;=75,"جيد جداً",IF(O22&gt;=65,"جيد",IF(O22&gt;=60,"مقبول","راسب")))),"راسب ")</f>
        <v>مقبول</v>
      </c>
      <c r="Q22" s="28" t="s">
        <v>200</v>
      </c>
      <c r="R22" s="37">
        <v>80.3125</v>
      </c>
      <c r="S22" s="29" t="str">
        <f>IF(R22&gt;=85,"ممتاز",IF(R22&gt;=75,"جيد جدا",IF(R22&gt;=65,"جيد",IF(R22&gt;=60,"مقبول","راسب"))))</f>
        <v>جيد جدا</v>
      </c>
      <c r="T22" s="28" t="s">
        <v>316</v>
      </c>
      <c r="U22" s="29"/>
      <c r="V22" s="32">
        <f>SUM(E22,H22,K22,O22,R22)</f>
        <v>560.46249999999998</v>
      </c>
      <c r="W22" s="18" t="str">
        <f>IF(AND(H22&gt;=180,E22&gt;=120,O22&gt;=60,K22&gt;=60,R22&gt;=60,D22&gt;=30,N22&gt;=24),IF(V22&gt;=680,"ممتاز",IF(V22&gt;=600,"جيد جدا",IF(V22&gt;=520,"جيد",IF(V22&gt;=480,"مقبول","راسب")))),"راسب")</f>
        <v>جيد</v>
      </c>
      <c r="X22" s="19">
        <f>IF(AND(O22&gt;=60,R22&gt;=60,K22&gt;=60,H22&gt;=180,E22&gt;=120,D22&gt;=30,N22&gt;=24),(V22/800)*100%,0)</f>
        <v>0.70057812499999994</v>
      </c>
    </row>
    <row r="23" spans="1:24" x14ac:dyDescent="0.35">
      <c r="A23" s="15">
        <v>14</v>
      </c>
      <c r="B23" s="23">
        <v>16018</v>
      </c>
      <c r="C23" s="23" t="s">
        <v>168</v>
      </c>
      <c r="D23" s="30">
        <v>49.8</v>
      </c>
      <c r="E23" s="30">
        <v>123.55</v>
      </c>
      <c r="F23" s="28" t="str">
        <f>IF(AND(D23&gt;=30),IF(E23&gt;=170,"ممتاز",IF(E23&gt;=150,"جيد جداً",IF(E23&gt;=130,"جيد",IF(E23&gt;=120,"مقبول","راسب")))),"راسب ")</f>
        <v>مقبول</v>
      </c>
      <c r="G23" s="28" t="s">
        <v>200</v>
      </c>
      <c r="H23" s="30">
        <v>186.5</v>
      </c>
      <c r="I23" s="18" t="str">
        <f>IF(H23&gt;=255,"ممتاز",IF(H23&gt;=225,"جيد جدا",IF(H23&gt;=195,"جيد",IF(H23&gt;=180,"مقبول","راسب"))))</f>
        <v>مقبول</v>
      </c>
      <c r="J23" s="28" t="s">
        <v>200</v>
      </c>
      <c r="K23" s="31">
        <v>60</v>
      </c>
      <c r="L23" s="28" t="str">
        <f>IF(K23&gt;=85,"ممتاز",IF(K23&gt;=75,"جيد جدا",IF(K23&gt;=65,"جيد",IF(K23&gt;=60,"مقبول","راسب"))))</f>
        <v>مقبول</v>
      </c>
      <c r="M23" s="28" t="s">
        <v>200</v>
      </c>
      <c r="N23" s="17">
        <v>29</v>
      </c>
      <c r="O23" s="37">
        <v>83.125</v>
      </c>
      <c r="P23" s="29" t="str">
        <f>IF(AND(N23&gt;=24),IF(O23&gt;=85,"ممتاز",IF(O23&gt;=75,"جيد جداً",IF(O23&gt;=65,"جيد",IF(O23&gt;=60,"مقبول","راسب")))),"راسب ")</f>
        <v>جيد جداً</v>
      </c>
      <c r="Q23" s="28" t="s">
        <v>316</v>
      </c>
      <c r="R23" s="37">
        <v>80</v>
      </c>
      <c r="S23" s="29" t="str">
        <f>IF(R23&gt;=85,"ممتاز",IF(R23&gt;=75,"جيد جدا",IF(R23&gt;=65,"جيد",IF(R23&gt;=60,"مقبول","راسب"))))</f>
        <v>جيد جدا</v>
      </c>
      <c r="T23" s="28" t="s">
        <v>316</v>
      </c>
      <c r="U23" s="29"/>
      <c r="V23" s="32">
        <f>SUM(E23,H23,K23,O23,R23)</f>
        <v>533.17499999999995</v>
      </c>
      <c r="W23" s="18" t="str">
        <f>IF(AND(H23&gt;=180,E23&gt;=120,O23&gt;=60,K23&gt;=60,R23&gt;=60,D23&gt;=30,N23&gt;=24),IF(V23&gt;=680,"ممتاز",IF(V23&gt;=600,"جيد جدا",IF(V23&gt;=520,"جيد",IF(V23&gt;=480,"مقبول","راسب")))),"راسب")</f>
        <v>جيد</v>
      </c>
      <c r="X23" s="19">
        <f>IF(AND(O23&gt;=60,R23&gt;=60,K23&gt;=60,H23&gt;=180,E23&gt;=120,D23&gt;=30,N23&gt;=24),(V23/800)*100%,0)</f>
        <v>0.66646874999999994</v>
      </c>
    </row>
    <row r="24" spans="1:24" x14ac:dyDescent="0.35">
      <c r="A24" s="15">
        <v>15</v>
      </c>
      <c r="B24" s="27">
        <v>11331</v>
      </c>
      <c r="C24" s="26" t="s">
        <v>143</v>
      </c>
      <c r="D24" s="32">
        <v>42</v>
      </c>
      <c r="E24" s="30">
        <v>120</v>
      </c>
      <c r="F24" s="28" t="str">
        <f>IF(AND(D24&gt;=30),IF(E24&gt;=170,"ممتاز",IF(E24&gt;=150,"جيد جداً",IF(E24&gt;=130,"جيد",IF(E24&gt;=120,"مقبول","راسب")))),"راسب ")</f>
        <v>مقبول</v>
      </c>
      <c r="G24" s="28" t="s">
        <v>200</v>
      </c>
      <c r="H24" s="30">
        <v>197</v>
      </c>
      <c r="I24" s="18" t="str">
        <f>IF(H24&gt;=255,"ممتاز",IF(H24&gt;=225,"جيد جدا",IF(H24&gt;=195,"جيد",IF(H24&gt;=180,"مقبول","راسب"))))</f>
        <v>جيد</v>
      </c>
      <c r="J24" s="28" t="s">
        <v>200</v>
      </c>
      <c r="K24" s="31">
        <v>60</v>
      </c>
      <c r="L24" s="28" t="str">
        <f>IF(K24&gt;=85,"ممتاز",IF(K24&gt;=75,"جيد جدا",IF(K24&gt;=65,"جيد",IF(K24&gt;=60,"مقبول","راسب"))))</f>
        <v>مقبول</v>
      </c>
      <c r="M24" s="28" t="s">
        <v>200</v>
      </c>
      <c r="N24" s="17">
        <v>27</v>
      </c>
      <c r="O24" s="17">
        <v>66</v>
      </c>
      <c r="P24" s="29" t="str">
        <f>IF(AND(N24&gt;=24),IF(O24&gt;=85,"ممتاز",IF(O24&gt;=75,"جيد جداً",IF(O24&gt;=65,"جيد",IF(O24&gt;=60,"مقبول","راسب")))),"راسب ")</f>
        <v>جيد</v>
      </c>
      <c r="Q24" s="28" t="s">
        <v>200</v>
      </c>
      <c r="R24" s="37">
        <v>78.75</v>
      </c>
      <c r="S24" s="29" t="str">
        <f>IF(R24&gt;=85,"ممتاز",IF(R24&gt;=75,"جيد جدا",IF(R24&gt;=65,"جيد",IF(R24&gt;=60,"مقبول","راسب"))))</f>
        <v>جيد جدا</v>
      </c>
      <c r="T24" s="28" t="s">
        <v>316</v>
      </c>
      <c r="U24" s="29"/>
      <c r="V24" s="32">
        <f>SUM(E24,H24,K24,O24,R24)</f>
        <v>521.75</v>
      </c>
      <c r="W24" s="18" t="str">
        <f>IF(AND(H24&gt;=180,E24&gt;=120,O24&gt;=60,K24&gt;=60,R24&gt;=60,D24&gt;=30,N24&gt;=24),IF(V24&gt;=680,"ممتاز",IF(V24&gt;=600,"جيد جدا",IF(V24&gt;=520,"جيد",IF(V24&gt;=480,"مقبول","راسب")))),"راسب")</f>
        <v>جيد</v>
      </c>
      <c r="X24" s="19">
        <f>IF(AND(O24&gt;=60,R24&gt;=60,K24&gt;=60,H24&gt;=180,E24&gt;=120,D24&gt;=30,N24&gt;=24),(V24/800)*100%,0)</f>
        <v>0.65218750000000003</v>
      </c>
    </row>
    <row r="25" spans="1:24" x14ac:dyDescent="0.35">
      <c r="A25" s="15">
        <v>16</v>
      </c>
      <c r="B25" s="23">
        <v>19245</v>
      </c>
      <c r="C25" s="23" t="s">
        <v>294</v>
      </c>
      <c r="D25" s="30">
        <v>36.5</v>
      </c>
      <c r="E25" s="32">
        <v>137.05000000000001</v>
      </c>
      <c r="F25" s="28" t="str">
        <f>IF(AND(D25&gt;=30),IF(E25&gt;=170,"ممتاز",IF(E25&gt;=150,"جيد جداً",IF(E25&gt;=130,"جيد",IF(E25&gt;=120,"مقبول","راسب")))),"راسب ")</f>
        <v>جيد</v>
      </c>
      <c r="G25" s="28" t="s">
        <v>200</v>
      </c>
      <c r="H25" s="36">
        <v>206.66666666666669</v>
      </c>
      <c r="I25" s="18" t="str">
        <f>IF(H25&gt;=255,"ممتاز",IF(H25&gt;=225,"جيد جدا",IF(H25&gt;=195,"جيد",IF(H25&gt;=180,"مقبول","راسب"))))</f>
        <v>جيد</v>
      </c>
      <c r="J25" s="28" t="s">
        <v>316</v>
      </c>
      <c r="K25" s="37">
        <v>74.930000000000007</v>
      </c>
      <c r="L25" s="28" t="str">
        <f>IF(K25&gt;=85,"ممتاز",IF(K25&gt;=75,"جيد جدا",IF(K25&gt;=65,"جيد",IF(K25&gt;=60,"مقبول","راسب"))))</f>
        <v>جيد</v>
      </c>
      <c r="M25" s="28" t="s">
        <v>200</v>
      </c>
      <c r="N25" s="17">
        <v>24</v>
      </c>
      <c r="O25" s="37">
        <v>62.5</v>
      </c>
      <c r="P25" s="29" t="str">
        <f>IF(AND(N25&gt;=24),IF(O25&gt;=85,"ممتاز",IF(O25&gt;=75,"جيد جداً",IF(O25&gt;=65,"جيد",IF(O25&gt;=60,"مقبول","راسب")))),"راسب ")</f>
        <v>مقبول</v>
      </c>
      <c r="Q25" s="28" t="s">
        <v>200</v>
      </c>
      <c r="R25" s="37">
        <v>78.25</v>
      </c>
      <c r="S25" s="29" t="str">
        <f>IF(R25&gt;=85,"ممتاز",IF(R25&gt;=75,"جيد جدا",IF(R25&gt;=65,"جيد",IF(R25&gt;=60,"مقبول","راسب"))))</f>
        <v>جيد جدا</v>
      </c>
      <c r="T25" s="28" t="s">
        <v>200</v>
      </c>
      <c r="U25" s="29"/>
      <c r="V25" s="32">
        <f>SUM(E25,H25,K25,O25,R25)</f>
        <v>559.39666666666676</v>
      </c>
      <c r="W25" s="18" t="str">
        <f>IF(AND(H25&gt;=180,E25&gt;=120,O25&gt;=60,K25&gt;=60,R25&gt;=60,D25&gt;=30,N25&gt;=24),IF(V25&gt;=680,"ممتاز",IF(V25&gt;=600,"جيد جدا",IF(V25&gt;=520,"جيد",IF(V25&gt;=480,"مقبول","راسب")))),"راسب")</f>
        <v>جيد</v>
      </c>
      <c r="X25" s="19">
        <f>IF(AND(O25&gt;=60,R25&gt;=60,K25&gt;=60,H25&gt;=180,E25&gt;=120,D25&gt;=30,N25&gt;=24),(V25/800)*100%,0)</f>
        <v>0.69924583333333346</v>
      </c>
    </row>
    <row r="26" spans="1:24" x14ac:dyDescent="0.35">
      <c r="A26" s="15">
        <v>17</v>
      </c>
      <c r="B26" s="23">
        <v>17003</v>
      </c>
      <c r="C26" s="23" t="s">
        <v>243</v>
      </c>
      <c r="D26" s="30">
        <v>37.25</v>
      </c>
      <c r="E26" s="32">
        <v>136.75</v>
      </c>
      <c r="F26" s="28" t="str">
        <f>IF(AND(D26&gt;=30),IF(E26&gt;=170,"ممتاز",IF(E26&gt;=150,"جيد جداً",IF(E26&gt;=130,"جيد",IF(E26&gt;=120,"مقبول","راسب")))),"راسب ")</f>
        <v>جيد</v>
      </c>
      <c r="G26" s="28" t="s">
        <v>200</v>
      </c>
      <c r="H26" s="36">
        <v>214</v>
      </c>
      <c r="I26" s="18" t="str">
        <f>IF(H26&gt;=255,"ممتاز",IF(H26&gt;=225,"جيد جدا",IF(H26&gt;=195,"جيد",IF(H26&gt;=180,"مقبول","راسب"))))</f>
        <v>جيد</v>
      </c>
      <c r="J26" s="28" t="s">
        <v>200</v>
      </c>
      <c r="K26" s="37">
        <v>70.989999999999995</v>
      </c>
      <c r="L26" s="28" t="str">
        <f>IF(K26&gt;=85,"ممتاز",IF(K26&gt;=75,"جيد جدا",IF(K26&gt;=65,"جيد",IF(K26&gt;=60,"مقبول","راسب"))))</f>
        <v>جيد</v>
      </c>
      <c r="M26" s="28" t="s">
        <v>200</v>
      </c>
      <c r="N26" s="17">
        <v>32</v>
      </c>
      <c r="O26" s="37">
        <v>69.5</v>
      </c>
      <c r="P26" s="29" t="str">
        <f>IF(AND(N26&gt;=24),IF(O26&gt;=85,"ممتاز",IF(O26&gt;=75,"جيد جداً",IF(O26&gt;=65,"جيد",IF(O26&gt;=60,"مقبول","راسب")))),"راسب ")</f>
        <v>جيد</v>
      </c>
      <c r="Q26" s="28" t="s">
        <v>200</v>
      </c>
      <c r="R26" s="37">
        <v>77.8125</v>
      </c>
      <c r="S26" s="29" t="str">
        <f>IF(R26&gt;=85,"ممتاز",IF(R26&gt;=75,"جيد جدا",IF(R26&gt;=65,"جيد",IF(R26&gt;=60,"مقبول","راسب"))))</f>
        <v>جيد جدا</v>
      </c>
      <c r="T26" s="28" t="s">
        <v>316</v>
      </c>
      <c r="U26" s="29"/>
      <c r="V26" s="32">
        <f>SUM(E26,H26,K26,O26,R26)</f>
        <v>569.05250000000001</v>
      </c>
      <c r="W26" s="18" t="str">
        <f>IF(AND(H26&gt;=180,E26&gt;=120,O26&gt;=60,K26&gt;=60,R26&gt;=60,D26&gt;=30,N26&gt;=24),IF(V26&gt;=680,"ممتاز",IF(V26&gt;=600,"جيد جدا",IF(V26&gt;=520,"جيد",IF(V26&gt;=480,"مقبول","راسب")))),"راسب")</f>
        <v>جيد</v>
      </c>
      <c r="X26" s="19">
        <f>IF(AND(O26&gt;=60,R26&gt;=60,K26&gt;=60,H26&gt;=180,E26&gt;=120,D26&gt;=30,N26&gt;=24),(V26/800)*100%,0)</f>
        <v>0.71131562500000001</v>
      </c>
    </row>
    <row r="27" spans="1:24" x14ac:dyDescent="0.35">
      <c r="A27" s="15">
        <v>18</v>
      </c>
      <c r="B27" s="23">
        <v>17536</v>
      </c>
      <c r="C27" s="23" t="s">
        <v>181</v>
      </c>
      <c r="D27" s="30">
        <v>48.3</v>
      </c>
      <c r="E27" s="30">
        <v>164.05</v>
      </c>
      <c r="F27" s="28" t="str">
        <f>IF(AND(D27&gt;=30),IF(E27&gt;=170,"ممتاز",IF(E27&gt;=150,"جيد جداً",IF(E27&gt;=130,"جيد",IF(E27&gt;=120,"مقبول","راسب")))),"راسب ")</f>
        <v>جيد جداً</v>
      </c>
      <c r="G27" s="28" t="s">
        <v>200</v>
      </c>
      <c r="H27" s="36">
        <v>198.33333333333334</v>
      </c>
      <c r="I27" s="18" t="str">
        <f>IF(H27&gt;=255,"ممتاز",IF(H27&gt;=225,"جيد جدا",IF(H27&gt;=195,"جيد",IF(H27&gt;=180,"مقبول","راسب"))))</f>
        <v>جيد</v>
      </c>
      <c r="J27" s="28" t="s">
        <v>316</v>
      </c>
      <c r="K27" s="32">
        <v>89</v>
      </c>
      <c r="L27" s="28" t="str">
        <f>IF(K27&gt;=85,"ممتاز",IF(K27&gt;=75,"جيد جدا",IF(K27&gt;=65,"جيد",IF(K27&gt;=60,"مقبول","راسب"))))</f>
        <v>ممتاز</v>
      </c>
      <c r="M27" s="28" t="s">
        <v>200</v>
      </c>
      <c r="N27" s="17">
        <v>29</v>
      </c>
      <c r="O27" s="17">
        <v>78.75</v>
      </c>
      <c r="P27" s="29" t="str">
        <f>IF(AND(N27&gt;=24),IF(O27&gt;=85,"ممتاز",IF(O27&gt;=75,"جيد جداً",IF(O27&gt;=65,"جيد",IF(O27&gt;=60,"مقبول","راسب")))),"راسب ")</f>
        <v>جيد جداً</v>
      </c>
      <c r="Q27" s="28" t="s">
        <v>200</v>
      </c>
      <c r="R27" s="37">
        <v>77.5</v>
      </c>
      <c r="S27" s="29" t="str">
        <f>IF(R27&gt;=85,"ممتاز",IF(R27&gt;=75,"جيد جدا",IF(R27&gt;=65,"جيد",IF(R27&gt;=60,"مقبول","راسب"))))</f>
        <v>جيد جدا</v>
      </c>
      <c r="T27" s="28" t="s">
        <v>316</v>
      </c>
      <c r="U27" s="29"/>
      <c r="V27" s="32">
        <f>SUM(E27,H27,K27,O27,R27)</f>
        <v>607.63333333333333</v>
      </c>
      <c r="W27" s="18" t="str">
        <f>IF(AND(H27&gt;=180,E27&gt;=120,O27&gt;=60,K27&gt;=60,R27&gt;=60,D27&gt;=30,N27&gt;=24),IF(V27&gt;=680,"ممتاز",IF(V27&gt;=600,"جيد جدا",IF(V27&gt;=520,"جيد",IF(V27&gt;=480,"مقبول","راسب")))),"راسب")</f>
        <v>جيد جدا</v>
      </c>
      <c r="X27" s="19">
        <f>IF(AND(O27&gt;=60,R27&gt;=60,K27&gt;=60,H27&gt;=180,E27&gt;=120,D27&gt;=30,N27&gt;=24),(V27/800)*100%,0)</f>
        <v>0.75954166666666667</v>
      </c>
    </row>
    <row r="28" spans="1:24" x14ac:dyDescent="0.35">
      <c r="A28" s="15">
        <v>19</v>
      </c>
      <c r="B28" s="15">
        <v>18753</v>
      </c>
      <c r="C28" s="15" t="s">
        <v>276</v>
      </c>
      <c r="D28" s="30">
        <v>40</v>
      </c>
      <c r="E28" s="30">
        <v>120</v>
      </c>
      <c r="F28" s="28" t="str">
        <f>IF(AND(D28&gt;=30),IF(E28&gt;=170,"ممتاز",IF(E28&gt;=150,"جيد جداً",IF(E28&gt;=130,"جيد",IF(E28&gt;=120,"مقبول","راسب")))),"راسب ")</f>
        <v>مقبول</v>
      </c>
      <c r="G28" s="28" t="s">
        <v>316</v>
      </c>
      <c r="H28" s="36">
        <v>185</v>
      </c>
      <c r="I28" s="18" t="str">
        <f>IF(H28&gt;=255,"ممتاز",IF(H28&gt;=225,"جيد جدا",IF(H28&gt;=195,"جيد",IF(H28&gt;=180,"مقبول","راسب"))))</f>
        <v>مقبول</v>
      </c>
      <c r="J28" s="28" t="s">
        <v>200</v>
      </c>
      <c r="K28" s="37">
        <v>69.430000000000007</v>
      </c>
      <c r="L28" s="28" t="str">
        <f>IF(K28&gt;=85,"ممتاز",IF(K28&gt;=75,"جيد جدا",IF(K28&gt;=65,"جيد",IF(K28&gt;=60,"مقبول","راسب"))))</f>
        <v>جيد</v>
      </c>
      <c r="M28" s="28" t="s">
        <v>200</v>
      </c>
      <c r="N28" s="17">
        <v>24</v>
      </c>
      <c r="O28" s="37">
        <v>60.5</v>
      </c>
      <c r="P28" s="29" t="str">
        <f>IF(AND(N28&gt;=24),IF(O28&gt;=85,"ممتاز",IF(O28&gt;=75,"جيد جداً",IF(O28&gt;=65,"جيد",IF(O28&gt;=60,"مقبول","راسب")))),"راسب ")</f>
        <v>مقبول</v>
      </c>
      <c r="Q28" s="28" t="s">
        <v>200</v>
      </c>
      <c r="R28" s="37">
        <v>77.5</v>
      </c>
      <c r="S28" s="29" t="str">
        <f>IF(R28&gt;=85,"ممتاز",IF(R28&gt;=75,"جيد جدا",IF(R28&gt;=65,"جيد",IF(R28&gt;=60,"مقبول","راسب"))))</f>
        <v>جيد جدا</v>
      </c>
      <c r="T28" s="28" t="s">
        <v>316</v>
      </c>
      <c r="U28" s="29"/>
      <c r="V28" s="32">
        <f>SUM(E28,H28,K28,O28,R28)</f>
        <v>512.43000000000006</v>
      </c>
      <c r="W28" s="18" t="str">
        <f>IF(AND(H28&gt;=180,E28&gt;=120,O28&gt;=60,K28&gt;=60,R28&gt;=60,D28&gt;=30,N28&gt;=24),IF(V28&gt;=680,"ممتاز",IF(V28&gt;=600,"جيد جدا",IF(V28&gt;=520,"جيد",IF(V28&gt;=480,"مقبول","راسب")))),"راسب")</f>
        <v>مقبول</v>
      </c>
      <c r="X28" s="19">
        <f>IF(AND(O28&gt;=60,R28&gt;=60,K28&gt;=60,H28&gt;=180,E28&gt;=120,D28&gt;=30,N28&gt;=24),(V28/800)*100%,0)</f>
        <v>0.64053750000000009</v>
      </c>
    </row>
    <row r="29" spans="1:24" x14ac:dyDescent="0.35">
      <c r="A29" s="15">
        <v>20</v>
      </c>
      <c r="B29" s="23">
        <v>19593</v>
      </c>
      <c r="C29" s="23" t="s">
        <v>301</v>
      </c>
      <c r="D29" s="30">
        <v>43.75</v>
      </c>
      <c r="E29" s="32">
        <v>158.44999999999999</v>
      </c>
      <c r="F29" s="28" t="str">
        <f>IF(AND(D29&gt;=30),IF(E29&gt;=170,"ممتاز",IF(E29&gt;=150,"جيد جداً",IF(E29&gt;=130,"جيد",IF(E29&gt;=120,"مقبول","راسب")))),"راسب ")</f>
        <v>جيد جداً</v>
      </c>
      <c r="G29" s="28" t="s">
        <v>200</v>
      </c>
      <c r="H29" s="36">
        <v>224</v>
      </c>
      <c r="I29" s="18" t="str">
        <f>IF(H29&gt;=255,"ممتاز",IF(H29&gt;=225,"جيد جدا",IF(H29&gt;=195,"جيد",IF(H29&gt;=180,"مقبول","راسب"))))</f>
        <v>جيد</v>
      </c>
      <c r="J29" s="28" t="s">
        <v>200</v>
      </c>
      <c r="K29" s="37">
        <v>74.790000000000006</v>
      </c>
      <c r="L29" s="28" t="str">
        <f>IF(K29&gt;=85,"ممتاز",IF(K29&gt;=75,"جيد جدا",IF(K29&gt;=65,"جيد",IF(K29&gt;=60,"مقبول","راسب"))))</f>
        <v>جيد</v>
      </c>
      <c r="M29" s="28" t="s">
        <v>200</v>
      </c>
      <c r="N29" s="17">
        <v>28</v>
      </c>
      <c r="O29" s="37">
        <v>80</v>
      </c>
      <c r="P29" s="29" t="str">
        <f>IF(AND(N29&gt;=24),IF(O29&gt;=85,"ممتاز",IF(O29&gt;=75,"جيد جداً",IF(O29&gt;=65,"جيد",IF(O29&gt;=60,"مقبول","راسب")))),"راسب ")</f>
        <v>جيد جداً</v>
      </c>
      <c r="Q29" s="28" t="s">
        <v>316</v>
      </c>
      <c r="R29" s="37">
        <v>76.75</v>
      </c>
      <c r="S29" s="29" t="str">
        <f>IF(R29&gt;=85,"ممتاز",IF(R29&gt;=75,"جيد جدا",IF(R29&gt;=65,"جيد",IF(R29&gt;=60,"مقبول","راسب"))))</f>
        <v>جيد جدا</v>
      </c>
      <c r="T29" s="28" t="s">
        <v>200</v>
      </c>
      <c r="U29" s="29"/>
      <c r="V29" s="32">
        <f>SUM(E29,H29,K29,O29,R29)</f>
        <v>613.99</v>
      </c>
      <c r="W29" s="18" t="str">
        <f>IF(AND(H29&gt;=180,E29&gt;=120,O29&gt;=60,K29&gt;=60,R29&gt;=60,D29&gt;=30,N29&gt;=24),IF(V29&gt;=680,"ممتاز",IF(V29&gt;=600,"جيد جدا",IF(V29&gt;=520,"جيد",IF(V29&gt;=480,"مقبول","راسب")))),"راسب")</f>
        <v>جيد جدا</v>
      </c>
      <c r="X29" s="19">
        <f>IF(AND(O29&gt;=60,R29&gt;=60,K29&gt;=60,H29&gt;=180,E29&gt;=120,D29&gt;=30,N29&gt;=24),(V29/800)*100%,0)</f>
        <v>0.76748749999999999</v>
      </c>
    </row>
    <row r="30" spans="1:24" x14ac:dyDescent="0.35">
      <c r="A30" s="15">
        <v>21</v>
      </c>
      <c r="B30" s="15">
        <v>16247</v>
      </c>
      <c r="C30" s="15" t="s">
        <v>233</v>
      </c>
      <c r="D30" s="30">
        <v>39</v>
      </c>
      <c r="E30" s="30">
        <v>120</v>
      </c>
      <c r="F30" s="28" t="str">
        <f>IF(AND(D30&gt;=30),IF(E30&gt;=170,"ممتاز",IF(E30&gt;=150,"جيد جداً",IF(E30&gt;=130,"جيد",IF(E30&gt;=120,"مقبول","راسب")))),"راسب ")</f>
        <v>مقبول</v>
      </c>
      <c r="G30" s="28" t="s">
        <v>316</v>
      </c>
      <c r="H30" s="36">
        <v>183</v>
      </c>
      <c r="I30" s="18" t="str">
        <f>IF(H30&gt;=255,"ممتاز",IF(H30&gt;=225,"جيد جدا",IF(H30&gt;=195,"جيد",IF(H30&gt;=180,"مقبول","راسب"))))</f>
        <v>مقبول</v>
      </c>
      <c r="J30" s="28" t="s">
        <v>200</v>
      </c>
      <c r="K30" s="37">
        <v>81.58</v>
      </c>
      <c r="L30" s="28" t="str">
        <f>IF(K30&gt;=85,"ممتاز",IF(K30&gt;=75,"جيد جدا",IF(K30&gt;=65,"جيد",IF(K30&gt;=60,"مقبول","راسب"))))</f>
        <v>جيد جدا</v>
      </c>
      <c r="M30" s="28" t="s">
        <v>200</v>
      </c>
      <c r="N30" s="17">
        <v>31</v>
      </c>
      <c r="O30" s="37">
        <v>60.5</v>
      </c>
      <c r="P30" s="29" t="str">
        <f>IF(AND(N30&gt;=24),IF(O30&gt;=85,"ممتاز",IF(O30&gt;=75,"جيد جداً",IF(O30&gt;=65,"جيد",IF(O30&gt;=60,"مقبول","راسب")))),"راسب ")</f>
        <v>مقبول</v>
      </c>
      <c r="Q30" s="28" t="s">
        <v>200</v>
      </c>
      <c r="R30" s="37">
        <v>76.5625</v>
      </c>
      <c r="S30" s="29" t="str">
        <f>IF(R30&gt;=85,"ممتاز",IF(R30&gt;=75,"جيد جدا",IF(R30&gt;=65,"جيد",IF(R30&gt;=60,"مقبول","راسب"))))</f>
        <v>جيد جدا</v>
      </c>
      <c r="T30" s="28" t="s">
        <v>316</v>
      </c>
      <c r="U30" s="29"/>
      <c r="V30" s="32">
        <f>SUM(E30,H30,K30,O30,R30)</f>
        <v>521.64249999999993</v>
      </c>
      <c r="W30" s="18" t="str">
        <f>IF(AND(H30&gt;=180,E30&gt;=120,O30&gt;=60,K30&gt;=60,R30&gt;=60,D30&gt;=30,N30&gt;=24),IF(V30&gt;=680,"ممتاز",IF(V30&gt;=600,"جيد جدا",IF(V30&gt;=520,"جيد",IF(V30&gt;=480,"مقبول","راسب")))),"راسب")</f>
        <v>جيد</v>
      </c>
      <c r="X30" s="19">
        <f>IF(AND(O30&gt;=60,R30&gt;=60,K30&gt;=60,H30&gt;=180,E30&gt;=120,D30&gt;=30,N30&gt;=24),(V30/800)*100%,0)</f>
        <v>0.6520531249999999</v>
      </c>
    </row>
    <row r="31" spans="1:24" x14ac:dyDescent="0.35">
      <c r="A31" s="15">
        <v>22</v>
      </c>
      <c r="B31" s="23">
        <v>20661</v>
      </c>
      <c r="C31" s="23" t="s">
        <v>307</v>
      </c>
      <c r="D31" s="30">
        <v>36</v>
      </c>
      <c r="E31" s="32">
        <v>142.58000000000001</v>
      </c>
      <c r="F31" s="28" t="str">
        <f>IF(AND(D31&gt;=30),IF(E31&gt;=170,"ممتاز",IF(E31&gt;=150,"جيد جداً",IF(E31&gt;=130,"جيد",IF(E31&gt;=120,"مقبول","راسب")))),"راسب ")</f>
        <v>جيد</v>
      </c>
      <c r="G31" s="28" t="s">
        <v>200</v>
      </c>
      <c r="H31" s="36">
        <v>180</v>
      </c>
      <c r="I31" s="18" t="str">
        <f>IF(H31&gt;=255,"ممتاز",IF(H31&gt;=225,"جيد جدا",IF(H31&gt;=195,"جيد",IF(H31&gt;=180,"مقبول","راسب"))))</f>
        <v>مقبول</v>
      </c>
      <c r="J31" s="28" t="s">
        <v>200</v>
      </c>
      <c r="K31" s="37">
        <v>60.7</v>
      </c>
      <c r="L31" s="28" t="str">
        <f>IF(K31&gt;=85,"ممتاز",IF(K31&gt;=75,"جيد جدا",IF(K31&gt;=65,"جيد",IF(K31&gt;=60,"مقبول","راسب"))))</f>
        <v>مقبول</v>
      </c>
      <c r="M31" s="28" t="s">
        <v>200</v>
      </c>
      <c r="N31" s="17">
        <v>29</v>
      </c>
      <c r="O31" s="37">
        <v>64.5</v>
      </c>
      <c r="P31" s="29" t="str">
        <f>IF(AND(N31&gt;=24),IF(O31&gt;=85,"ممتاز",IF(O31&gt;=75,"جيد جداً",IF(O31&gt;=65,"جيد",IF(O31&gt;=60,"مقبول","راسب")))),"راسب ")</f>
        <v>مقبول</v>
      </c>
      <c r="Q31" s="28" t="s">
        <v>200</v>
      </c>
      <c r="R31" s="37">
        <v>75.9375</v>
      </c>
      <c r="S31" s="29" t="str">
        <f>IF(R31&gt;=85,"ممتاز",IF(R31&gt;=75,"جيد جدا",IF(R31&gt;=65,"جيد",IF(R31&gt;=60,"مقبول","راسب"))))</f>
        <v>جيد جدا</v>
      </c>
      <c r="T31" s="28" t="s">
        <v>316</v>
      </c>
      <c r="U31" s="29"/>
      <c r="V31" s="32">
        <f>SUM(E31,H31,K31,O31,R31)</f>
        <v>523.71749999999997</v>
      </c>
      <c r="W31" s="18" t="str">
        <f>IF(AND(H31&gt;=180,E31&gt;=120,O31&gt;=60,K31&gt;=60,R31&gt;=60,D31&gt;=30,N31&gt;=24),IF(V31&gt;=680,"ممتاز",IF(V31&gt;=600,"جيد جدا",IF(V31&gt;=520,"جيد",IF(V31&gt;=480,"مقبول","راسب")))),"راسب")</f>
        <v>جيد</v>
      </c>
      <c r="X31" s="19">
        <f>IF(AND(O31&gt;=60,R31&gt;=60,K31&gt;=60,H31&gt;=180,E31&gt;=120,D31&gt;=30,N31&gt;=24),(V31/800)*100%,0)</f>
        <v>0.65464687499999996</v>
      </c>
    </row>
    <row r="32" spans="1:24" x14ac:dyDescent="0.35">
      <c r="A32" s="15">
        <v>23</v>
      </c>
      <c r="B32" s="15">
        <v>12586</v>
      </c>
      <c r="C32" s="15" t="s">
        <v>204</v>
      </c>
      <c r="D32" s="30">
        <v>36</v>
      </c>
      <c r="E32" s="32">
        <v>134.35</v>
      </c>
      <c r="F32" s="28" t="str">
        <f>IF(AND(D32&gt;=30),IF(E32&gt;=170,"ممتاز",IF(E32&gt;=150,"جيد جداً",IF(E32&gt;=130,"جيد",IF(E32&gt;=120,"مقبول","راسب")))),"راسب ")</f>
        <v>جيد</v>
      </c>
      <c r="G32" s="28" t="s">
        <v>200</v>
      </c>
      <c r="H32" s="36">
        <v>202</v>
      </c>
      <c r="I32" s="18" t="str">
        <f>IF(H32&gt;=255,"ممتاز",IF(H32&gt;=225,"جيد جدا",IF(H32&gt;=195,"جيد",IF(H32&gt;=180,"مقبول","راسب"))))</f>
        <v>جيد</v>
      </c>
      <c r="J32" s="28" t="s">
        <v>200</v>
      </c>
      <c r="K32" s="37">
        <v>75.150000000000006</v>
      </c>
      <c r="L32" s="28" t="str">
        <f>IF(K32&gt;=85,"ممتاز",IF(K32&gt;=75,"جيد جدا",IF(K32&gt;=65,"جيد",IF(K32&gt;=60,"مقبول","راسب"))))</f>
        <v>جيد جدا</v>
      </c>
      <c r="M32" s="28" t="s">
        <v>200</v>
      </c>
      <c r="N32" s="17">
        <v>24</v>
      </c>
      <c r="O32" s="37">
        <v>66.25</v>
      </c>
      <c r="P32" s="29" t="str">
        <f>IF(AND(N32&gt;=24),IF(O32&gt;=85,"ممتاز",IF(O32&gt;=75,"جيد جداً",IF(O32&gt;=65,"جيد",IF(O32&gt;=60,"مقبول","راسب")))),"راسب ")</f>
        <v>جيد</v>
      </c>
      <c r="Q32" s="28" t="s">
        <v>316</v>
      </c>
      <c r="R32" s="37">
        <v>75.625</v>
      </c>
      <c r="S32" s="29" t="str">
        <f>IF(R32&gt;=85,"ممتاز",IF(R32&gt;=75,"جيد جدا",IF(R32&gt;=65,"جيد",IF(R32&gt;=60,"مقبول","راسب"))))</f>
        <v>جيد جدا</v>
      </c>
      <c r="T32" s="28" t="s">
        <v>316</v>
      </c>
      <c r="U32" s="29"/>
      <c r="V32" s="32">
        <f>SUM(E32,H32,K32,O32,R32)</f>
        <v>553.375</v>
      </c>
      <c r="W32" s="18" t="str">
        <f>IF(AND(H32&gt;=180,E32&gt;=120,O32&gt;=60,K32&gt;=60,R32&gt;=60,D32&gt;=30,N32&gt;=24),IF(V32&gt;=680,"ممتاز",IF(V32&gt;=600,"جيد جدا",IF(V32&gt;=520,"جيد",IF(V32&gt;=480,"مقبول","راسب")))),"راسب")</f>
        <v>جيد</v>
      </c>
      <c r="X32" s="19">
        <f>IF(AND(O32&gt;=60,R32&gt;=60,K32&gt;=60,H32&gt;=180,E32&gt;=120,D32&gt;=30,N32&gt;=24),(V32/800)*100%,0)</f>
        <v>0.69171875000000005</v>
      </c>
    </row>
    <row r="33" spans="1:24" x14ac:dyDescent="0.35">
      <c r="A33" s="15">
        <v>24</v>
      </c>
      <c r="B33" s="23">
        <v>18435</v>
      </c>
      <c r="C33" s="23" t="s">
        <v>191</v>
      </c>
      <c r="D33" s="30">
        <v>36</v>
      </c>
      <c r="E33" s="30">
        <v>124.49</v>
      </c>
      <c r="F33" s="28" t="str">
        <f>IF(AND(D33&gt;=30),IF(E33&gt;=170,"ممتاز",IF(E33&gt;=150,"جيد جداً",IF(E33&gt;=130,"جيد",IF(E33&gt;=120,"مقبول","راسب")))),"راسب ")</f>
        <v>مقبول</v>
      </c>
      <c r="G33" s="28" t="s">
        <v>200</v>
      </c>
      <c r="H33" s="32">
        <v>199.5</v>
      </c>
      <c r="I33" s="18" t="str">
        <f>IF(H33&gt;=255,"ممتاز",IF(H33&gt;=225,"جيد جدا",IF(H33&gt;=195,"جيد",IF(H33&gt;=180,"مقبول","راسب"))))</f>
        <v>جيد</v>
      </c>
      <c r="J33" s="28" t="s">
        <v>200</v>
      </c>
      <c r="K33" s="37">
        <v>73</v>
      </c>
      <c r="L33" s="28" t="str">
        <f>IF(K33&gt;=85,"ممتاز",IF(K33&gt;=75,"جيد جدا",IF(K33&gt;=65,"جيد",IF(K33&gt;=60,"مقبول","راسب"))))</f>
        <v>جيد</v>
      </c>
      <c r="M33" s="28" t="s">
        <v>316</v>
      </c>
      <c r="N33" s="22">
        <v>32</v>
      </c>
      <c r="O33" s="22">
        <v>76</v>
      </c>
      <c r="P33" s="29" t="str">
        <f>IF(AND(N33&gt;=24),IF(O33&gt;=85,"ممتاز",IF(O33&gt;=75,"جيد جداً",IF(O33&gt;=65,"جيد",IF(O33&gt;=60,"مقبول","راسب")))),"راسب ")</f>
        <v>جيد جداً</v>
      </c>
      <c r="Q33" s="28" t="s">
        <v>200</v>
      </c>
      <c r="R33" s="37">
        <v>75.625</v>
      </c>
      <c r="S33" s="29" t="str">
        <f>IF(R33&gt;=85,"ممتاز",IF(R33&gt;=75,"جيد جدا",IF(R33&gt;=65,"جيد",IF(R33&gt;=60,"مقبول","راسب"))))</f>
        <v>جيد جدا</v>
      </c>
      <c r="T33" s="28" t="s">
        <v>316</v>
      </c>
      <c r="U33" s="29"/>
      <c r="V33" s="32">
        <f>SUM(E33,H33,K33,O33,R33)</f>
        <v>548.61500000000001</v>
      </c>
      <c r="W33" s="18" t="str">
        <f>IF(AND(H33&gt;=180,E33&gt;=120,O33&gt;=60,K33&gt;=60,R33&gt;=60,D33&gt;=30,N33&gt;=24),IF(V33&gt;=680,"ممتاز",IF(V33&gt;=600,"جيد جدا",IF(V33&gt;=520,"جيد",IF(V33&gt;=480,"مقبول","راسب")))),"راسب")</f>
        <v>جيد</v>
      </c>
      <c r="X33" s="19">
        <f>IF(AND(O33&gt;=60,R33&gt;=60,K33&gt;=60,H33&gt;=180,E33&gt;=120,D33&gt;=30,N33&gt;=24),(V33/800)*100%,0)</f>
        <v>0.68576875000000004</v>
      </c>
    </row>
    <row r="34" spans="1:24" x14ac:dyDescent="0.35">
      <c r="A34" s="15">
        <v>25</v>
      </c>
      <c r="B34" s="23">
        <v>18690</v>
      </c>
      <c r="C34" s="23" t="s">
        <v>275</v>
      </c>
      <c r="D34" s="30">
        <v>38.75</v>
      </c>
      <c r="E34" s="32">
        <v>137.65</v>
      </c>
      <c r="F34" s="28" t="str">
        <f>IF(AND(D34&gt;=30),IF(E34&gt;=170,"ممتاز",IF(E34&gt;=150,"جيد جداً",IF(E34&gt;=130,"جيد",IF(E34&gt;=120,"مقبول","راسب")))),"راسب ")</f>
        <v>جيد</v>
      </c>
      <c r="G34" s="28" t="s">
        <v>200</v>
      </c>
      <c r="H34" s="36">
        <v>180</v>
      </c>
      <c r="I34" s="18" t="str">
        <f>IF(H34&gt;=255,"ممتاز",IF(H34&gt;=225,"جيد جدا",IF(H34&gt;=195,"جيد",IF(H34&gt;=180,"مقبول","راسب"))))</f>
        <v>مقبول</v>
      </c>
      <c r="J34" s="28" t="s">
        <v>200</v>
      </c>
      <c r="K34" s="37">
        <v>70.430000000000007</v>
      </c>
      <c r="L34" s="28" t="str">
        <f>IF(K34&gt;=85,"ممتاز",IF(K34&gt;=75,"جيد جدا",IF(K34&gt;=65,"جيد",IF(K34&gt;=60,"مقبول","راسب"))))</f>
        <v>جيد</v>
      </c>
      <c r="M34" s="28" t="s">
        <v>200</v>
      </c>
      <c r="N34" s="17">
        <v>29</v>
      </c>
      <c r="O34" s="37">
        <v>65.5</v>
      </c>
      <c r="P34" s="29" t="str">
        <f>IF(AND(N34&gt;=24),IF(O34&gt;=85,"ممتاز",IF(O34&gt;=75,"جيد جداً",IF(O34&gt;=65,"جيد",IF(O34&gt;=60,"مقبول","راسب")))),"راسب ")</f>
        <v>جيد</v>
      </c>
      <c r="Q34" s="28" t="s">
        <v>200</v>
      </c>
      <c r="R34" s="37">
        <v>75.625</v>
      </c>
      <c r="S34" s="29" t="str">
        <f>IF(R34&gt;=85,"ممتاز",IF(R34&gt;=75,"جيد جدا",IF(R34&gt;=65,"جيد",IF(R34&gt;=60,"مقبول","راسب"))))</f>
        <v>جيد جدا</v>
      </c>
      <c r="T34" s="28" t="s">
        <v>316</v>
      </c>
      <c r="U34" s="29"/>
      <c r="V34" s="32">
        <f>SUM(E34,H34,K34,O34,R34)</f>
        <v>529.20499999999993</v>
      </c>
      <c r="W34" s="18" t="str">
        <f>IF(AND(H34&gt;=180,E34&gt;=120,O34&gt;=60,K34&gt;=60,R34&gt;=60,D34&gt;=30,N34&gt;=24),IF(V34&gt;=680,"ممتاز",IF(V34&gt;=600,"جيد جدا",IF(V34&gt;=520,"جيد",IF(V34&gt;=480,"مقبول","راسب")))),"راسب")</f>
        <v>جيد</v>
      </c>
      <c r="X34" s="19">
        <f>IF(AND(O34&gt;=60,R34&gt;=60,K34&gt;=60,H34&gt;=180,E34&gt;=120,D34&gt;=30,N34&gt;=24),(V34/800)*100%,0)</f>
        <v>0.66150624999999996</v>
      </c>
    </row>
    <row r="35" spans="1:24" x14ac:dyDescent="0.35">
      <c r="A35" s="15">
        <v>26</v>
      </c>
      <c r="B35" s="23">
        <v>19192</v>
      </c>
      <c r="C35" s="23" t="s">
        <v>292</v>
      </c>
      <c r="D35" s="30">
        <v>39.75</v>
      </c>
      <c r="E35" s="32">
        <v>141.44999999999999</v>
      </c>
      <c r="F35" s="28" t="str">
        <f>IF(AND(D35&gt;=30),IF(E35&gt;=170,"ممتاز",IF(E35&gt;=150,"جيد جداً",IF(E35&gt;=130,"جيد",IF(E35&gt;=120,"مقبول","راسب")))),"راسب ")</f>
        <v>جيد</v>
      </c>
      <c r="G35" s="28" t="s">
        <v>200</v>
      </c>
      <c r="H35" s="36">
        <v>207</v>
      </c>
      <c r="I35" s="18" t="str">
        <f>IF(H35&gt;=255,"ممتاز",IF(H35&gt;=225,"جيد جدا",IF(H35&gt;=195,"جيد",IF(H35&gt;=180,"مقبول","راسب"))))</f>
        <v>جيد</v>
      </c>
      <c r="J35" s="28" t="s">
        <v>200</v>
      </c>
      <c r="K35" s="37">
        <v>68.22</v>
      </c>
      <c r="L35" s="28" t="str">
        <f>IF(K35&gt;=85,"ممتاز",IF(K35&gt;=75,"جيد جدا",IF(K35&gt;=65,"جيد",IF(K35&gt;=60,"مقبول","راسب"))))</f>
        <v>جيد</v>
      </c>
      <c r="M35" s="28" t="s">
        <v>200</v>
      </c>
      <c r="N35" s="17">
        <v>30</v>
      </c>
      <c r="O35" s="37">
        <v>72.5</v>
      </c>
      <c r="P35" s="29" t="str">
        <f>IF(AND(N35&gt;=24),IF(O35&gt;=85,"ممتاز",IF(O35&gt;=75,"جيد جداً",IF(O35&gt;=65,"جيد",IF(O35&gt;=60,"مقبول","راسب")))),"راسب ")</f>
        <v>جيد</v>
      </c>
      <c r="Q35" s="28" t="s">
        <v>200</v>
      </c>
      <c r="R35" s="37">
        <v>75.625</v>
      </c>
      <c r="S35" s="29" t="str">
        <f>IF(R35&gt;=85,"ممتاز",IF(R35&gt;=75,"جيد جدا",IF(R35&gt;=65,"جيد",IF(R35&gt;=60,"مقبول","راسب"))))</f>
        <v>جيد جدا</v>
      </c>
      <c r="T35" s="28" t="s">
        <v>316</v>
      </c>
      <c r="U35" s="29"/>
      <c r="V35" s="32">
        <f>SUM(E35,H35,K35,O35,R35)</f>
        <v>564.79499999999996</v>
      </c>
      <c r="W35" s="18" t="str">
        <f>IF(AND(H35&gt;=180,E35&gt;=120,O35&gt;=60,K35&gt;=60,R35&gt;=60,D35&gt;=30,N35&gt;=24),IF(V35&gt;=680,"ممتاز",IF(V35&gt;=600,"جيد جدا",IF(V35&gt;=520,"جيد",IF(V35&gt;=480,"مقبول","راسب")))),"راسب")</f>
        <v>جيد</v>
      </c>
      <c r="X35" s="19">
        <f>IF(AND(O35&gt;=60,R35&gt;=60,K35&gt;=60,H35&gt;=180,E35&gt;=120,D35&gt;=30,N35&gt;=24),(V35/800)*100%,0)</f>
        <v>0.70599374999999998</v>
      </c>
    </row>
    <row r="36" spans="1:24" x14ac:dyDescent="0.35">
      <c r="A36" s="15">
        <v>27</v>
      </c>
      <c r="B36" s="23">
        <v>17491</v>
      </c>
      <c r="C36" s="23" t="s">
        <v>252</v>
      </c>
      <c r="D36" s="30">
        <v>44.5</v>
      </c>
      <c r="E36" s="32">
        <v>155.75</v>
      </c>
      <c r="F36" s="28" t="str">
        <f>IF(AND(D36&gt;=30),IF(E36&gt;=170,"ممتاز",IF(E36&gt;=150,"جيد جداً",IF(E36&gt;=130,"جيد",IF(E36&gt;=120,"مقبول","راسب")))),"راسب ")</f>
        <v>جيد جداً</v>
      </c>
      <c r="G36" s="28" t="s">
        <v>200</v>
      </c>
      <c r="H36" s="36">
        <v>236</v>
      </c>
      <c r="I36" s="18" t="str">
        <f>IF(H36&gt;=255,"ممتاز",IF(H36&gt;=225,"جيد جدا",IF(H36&gt;=195,"جيد",IF(H36&gt;=180,"مقبول","راسب"))))</f>
        <v>جيد جدا</v>
      </c>
      <c r="J36" s="28" t="s">
        <v>200</v>
      </c>
      <c r="K36" s="37">
        <v>73.650000000000006</v>
      </c>
      <c r="L36" s="28" t="str">
        <f>IF(K36&gt;=85,"ممتاز",IF(K36&gt;=75,"جيد جدا",IF(K36&gt;=65,"جيد",IF(K36&gt;=60,"مقبول","راسب"))))</f>
        <v>جيد</v>
      </c>
      <c r="M36" s="28" t="s">
        <v>200</v>
      </c>
      <c r="N36" s="17">
        <v>24</v>
      </c>
      <c r="O36" s="37">
        <v>63.75</v>
      </c>
      <c r="P36" s="29" t="str">
        <f>IF(AND(N36&gt;=24),IF(O36&gt;=85,"ممتاز",IF(O36&gt;=75,"جيد جداً",IF(O36&gt;=65,"جيد",IF(O36&gt;=60,"مقبول","راسب")))),"راسب ")</f>
        <v>مقبول</v>
      </c>
      <c r="Q36" s="28" t="s">
        <v>316</v>
      </c>
      <c r="R36" s="37">
        <v>75.25</v>
      </c>
      <c r="S36" s="29" t="str">
        <f>IF(R36&gt;=85,"ممتاز",IF(R36&gt;=75,"جيد جدا",IF(R36&gt;=65,"جيد",IF(R36&gt;=60,"مقبول","راسب"))))</f>
        <v>جيد جدا</v>
      </c>
      <c r="T36" s="28" t="s">
        <v>200</v>
      </c>
      <c r="U36" s="29"/>
      <c r="V36" s="32">
        <f>SUM(E36,H36,K36,O36,R36)</f>
        <v>604.4</v>
      </c>
      <c r="W36" s="18" t="str">
        <f>IF(AND(H36&gt;=180,E36&gt;=120,O36&gt;=60,K36&gt;=60,R36&gt;=60,D36&gt;=30,N36&gt;=24),IF(V36&gt;=680,"ممتاز",IF(V36&gt;=600,"جيد جدا",IF(V36&gt;=520,"جيد",IF(V36&gt;=480,"مقبول","راسب")))),"راسب")</f>
        <v>جيد جدا</v>
      </c>
      <c r="X36" s="19">
        <f>IF(AND(O36&gt;=60,R36&gt;=60,K36&gt;=60,H36&gt;=180,E36&gt;=120,D36&gt;=30,N36&gt;=24),(V36/800)*100%,0)</f>
        <v>0.75549999999999995</v>
      </c>
    </row>
    <row r="37" spans="1:24" x14ac:dyDescent="0.35">
      <c r="A37" s="15">
        <v>28</v>
      </c>
      <c r="B37" s="16">
        <v>15124</v>
      </c>
      <c r="C37" s="16" t="s">
        <v>104</v>
      </c>
      <c r="D37" s="30">
        <v>44.1</v>
      </c>
      <c r="E37" s="30">
        <v>141.62</v>
      </c>
      <c r="F37" s="28" t="str">
        <f>IF(AND(D37&gt;=30),IF(E37&gt;=170,"ممتاز",IF(E37&gt;=150,"جيد جداً",IF(E37&gt;=130,"جيد",IF(E37&gt;=120,"مقبول","راسب")))),"راسب ")</f>
        <v>جيد</v>
      </c>
      <c r="G37" s="28" t="s">
        <v>200</v>
      </c>
      <c r="H37" s="30">
        <v>194.17</v>
      </c>
      <c r="I37" s="18" t="str">
        <f>IF(H37&gt;=255,"ممتاز",IF(H37&gt;=225,"جيد جدا",IF(H37&gt;=195,"جيد",IF(H37&gt;=180,"مقبول","راسب"))))</f>
        <v>مقبول</v>
      </c>
      <c r="J37" s="28" t="s">
        <v>200</v>
      </c>
      <c r="K37" s="31">
        <v>69</v>
      </c>
      <c r="L37" s="28" t="str">
        <f>IF(K37&gt;=85,"ممتاز",IF(K37&gt;=75,"جيد جدا",IF(K37&gt;=65,"جيد",IF(K37&gt;=60,"مقبول","راسب"))))</f>
        <v>جيد</v>
      </c>
      <c r="M37" s="28" t="s">
        <v>200</v>
      </c>
      <c r="N37" s="17">
        <v>24</v>
      </c>
      <c r="O37" s="37">
        <v>67.5</v>
      </c>
      <c r="P37" s="29" t="str">
        <f>IF(AND(N37&gt;=24),IF(O37&gt;=85,"ممتاز",IF(O37&gt;=75,"جيد جداً",IF(O37&gt;=65,"جيد",IF(O37&gt;=60,"مقبول","راسب")))),"راسب ")</f>
        <v>جيد</v>
      </c>
      <c r="Q37" s="28" t="s">
        <v>316</v>
      </c>
      <c r="R37" s="30">
        <v>74.38</v>
      </c>
      <c r="S37" s="29" t="str">
        <f>IF(R37&gt;=85,"ممتاز",IF(R37&gt;=75,"جيد جدا",IF(R37&gt;=65,"جيد",IF(R37&gt;=60,"مقبول","راسب"))))</f>
        <v>جيد</v>
      </c>
      <c r="T37" s="28" t="s">
        <v>200</v>
      </c>
      <c r="U37" s="29"/>
      <c r="V37" s="32">
        <f>SUM(E37,H37,K37,O37,R37)</f>
        <v>546.66999999999996</v>
      </c>
      <c r="W37" s="18" t="str">
        <f>IF(AND(H37&gt;=180,E37&gt;=120,O37&gt;=60,K37&gt;=60,R37&gt;=60,D37&gt;=30,N37&gt;=24),IF(V37&gt;=680,"ممتاز",IF(V37&gt;=600,"جيد جدا",IF(V37&gt;=520,"جيد",IF(V37&gt;=480,"مقبول","راسب")))),"راسب")</f>
        <v>جيد</v>
      </c>
      <c r="X37" s="19">
        <f>IF(AND(O37&gt;=60,R37&gt;=60,K37&gt;=60,H37&gt;=180,E37&gt;=120,D37&gt;=30,N37&gt;=24),(V37/800)*100%,0)</f>
        <v>0.68333749999999993</v>
      </c>
    </row>
    <row r="38" spans="1:24" x14ac:dyDescent="0.35">
      <c r="A38" s="15">
        <v>29</v>
      </c>
      <c r="B38" s="23">
        <v>19685</v>
      </c>
      <c r="C38" s="23" t="s">
        <v>303</v>
      </c>
      <c r="D38" s="30">
        <v>43</v>
      </c>
      <c r="E38" s="32">
        <v>160.94999999999999</v>
      </c>
      <c r="F38" s="28" t="str">
        <f>IF(AND(D38&gt;=30),IF(E38&gt;=170,"ممتاز",IF(E38&gt;=150,"جيد جداً",IF(E38&gt;=130,"جيد",IF(E38&gt;=120,"مقبول","راسب")))),"راسب ")</f>
        <v>جيد جداً</v>
      </c>
      <c r="G38" s="28" t="s">
        <v>200</v>
      </c>
      <c r="H38" s="36">
        <v>223</v>
      </c>
      <c r="I38" s="18" t="str">
        <f>IF(H38&gt;=255,"ممتاز",IF(H38&gt;=225,"جيد جدا",IF(H38&gt;=195,"جيد",IF(H38&gt;=180,"مقبول","راسب"))))</f>
        <v>جيد</v>
      </c>
      <c r="J38" s="28" t="s">
        <v>200</v>
      </c>
      <c r="K38" s="37">
        <v>73.790000000000006</v>
      </c>
      <c r="L38" s="28" t="str">
        <f>IF(K38&gt;=85,"ممتاز",IF(K38&gt;=75,"جيد جدا",IF(K38&gt;=65,"جيد",IF(K38&gt;=60,"مقبول","راسب"))))</f>
        <v>جيد</v>
      </c>
      <c r="M38" s="28" t="s">
        <v>200</v>
      </c>
      <c r="N38" s="17">
        <v>27</v>
      </c>
      <c r="O38" s="37">
        <v>71.5</v>
      </c>
      <c r="P38" s="29" t="str">
        <f>IF(AND(N38&gt;=24),IF(O38&gt;=85,"ممتاز",IF(O38&gt;=75,"جيد جداً",IF(O38&gt;=65,"جيد",IF(O38&gt;=60,"مقبول","راسب")))),"راسب ")</f>
        <v>جيد</v>
      </c>
      <c r="Q38" s="28" t="s">
        <v>200</v>
      </c>
      <c r="R38" s="37">
        <v>73.75</v>
      </c>
      <c r="S38" s="29" t="str">
        <f>IF(R38&gt;=85,"ممتاز",IF(R38&gt;=75,"جيد جدا",IF(R38&gt;=65,"جيد",IF(R38&gt;=60,"مقبول","راسب"))))</f>
        <v>جيد</v>
      </c>
      <c r="T38" s="28" t="s">
        <v>316</v>
      </c>
      <c r="U38" s="29"/>
      <c r="V38" s="32">
        <f>SUM(E38,H38,K38,O38,R38)</f>
        <v>602.99</v>
      </c>
      <c r="W38" s="18" t="str">
        <f>IF(AND(H38&gt;=180,E38&gt;=120,O38&gt;=60,K38&gt;=60,R38&gt;=60,D38&gt;=30,N38&gt;=24),IF(V38&gt;=680,"ممتاز",IF(V38&gt;=600,"جيد جدا",IF(V38&gt;=520,"جيد",IF(V38&gt;=480,"مقبول","راسب")))),"راسب")</f>
        <v>جيد جدا</v>
      </c>
      <c r="X38" s="19">
        <f>IF(AND(O38&gt;=60,R38&gt;=60,K38&gt;=60,H38&gt;=180,E38&gt;=120,D38&gt;=30,N38&gt;=24),(V38/800)*100%,0)</f>
        <v>0.75373750000000006</v>
      </c>
    </row>
    <row r="39" spans="1:24" x14ac:dyDescent="0.35">
      <c r="A39" s="15">
        <v>30</v>
      </c>
      <c r="B39" s="23">
        <v>18224</v>
      </c>
      <c r="C39" s="23" t="s">
        <v>262</v>
      </c>
      <c r="D39" s="30">
        <v>36</v>
      </c>
      <c r="E39" s="32">
        <v>140.94999999999999</v>
      </c>
      <c r="F39" s="28" t="str">
        <f>IF(AND(D39&gt;=30),IF(E39&gt;=170,"ممتاز",IF(E39&gt;=150,"جيد جداً",IF(E39&gt;=130,"جيد",IF(E39&gt;=120,"مقبول","راسب")))),"راسب ")</f>
        <v>جيد</v>
      </c>
      <c r="G39" s="28" t="s">
        <v>200</v>
      </c>
      <c r="H39" s="36">
        <v>228</v>
      </c>
      <c r="I39" s="18" t="str">
        <f>IF(H39&gt;=255,"ممتاز",IF(H39&gt;=225,"جيد جدا",IF(H39&gt;=195,"جيد",IF(H39&gt;=180,"مقبول","راسب"))))</f>
        <v>جيد جدا</v>
      </c>
      <c r="J39" s="28" t="s">
        <v>200</v>
      </c>
      <c r="K39" s="37">
        <v>68.84</v>
      </c>
      <c r="L39" s="28" t="str">
        <f>IF(K39&gt;=85,"ممتاز",IF(K39&gt;=75,"جيد جدا",IF(K39&gt;=65,"جيد",IF(K39&gt;=60,"مقبول","راسب"))))</f>
        <v>جيد</v>
      </c>
      <c r="M39" s="28" t="s">
        <v>200</v>
      </c>
      <c r="N39" s="17">
        <v>29</v>
      </c>
      <c r="O39" s="37">
        <v>69.5</v>
      </c>
      <c r="P39" s="29" t="str">
        <f>IF(AND(N39&gt;=24),IF(O39&gt;=85,"ممتاز",IF(O39&gt;=75,"جيد جداً",IF(O39&gt;=65,"جيد",IF(O39&gt;=60,"مقبول","راسب")))),"راسب ")</f>
        <v>جيد</v>
      </c>
      <c r="Q39" s="28" t="s">
        <v>200</v>
      </c>
      <c r="R39" s="37">
        <v>73.4375</v>
      </c>
      <c r="S39" s="29" t="str">
        <f>IF(R39&gt;=85,"ممتاز",IF(R39&gt;=75,"جيد جدا",IF(R39&gt;=65,"جيد",IF(R39&gt;=60,"مقبول","راسب"))))</f>
        <v>جيد</v>
      </c>
      <c r="T39" s="28" t="s">
        <v>316</v>
      </c>
      <c r="U39" s="29"/>
      <c r="V39" s="32">
        <f>SUM(E39,H39,K39,O39,R39)</f>
        <v>580.72749999999996</v>
      </c>
      <c r="W39" s="18" t="str">
        <f>IF(AND(H39&gt;=180,E39&gt;=120,O39&gt;=60,K39&gt;=60,R39&gt;=60,D39&gt;=30,N39&gt;=24),IF(V39&gt;=680,"ممتاز",IF(V39&gt;=600,"جيد جدا",IF(V39&gt;=520,"جيد",IF(V39&gt;=480,"مقبول","راسب")))),"راسب")</f>
        <v>جيد</v>
      </c>
      <c r="X39" s="19">
        <f>IF(AND(O39&gt;=60,R39&gt;=60,K39&gt;=60,H39&gt;=180,E39&gt;=120,D39&gt;=30,N39&gt;=24),(V39/800)*100%,0)</f>
        <v>0.72590937499999997</v>
      </c>
    </row>
    <row r="40" spans="1:24" x14ac:dyDescent="0.35">
      <c r="A40" s="15">
        <v>31</v>
      </c>
      <c r="B40" s="23">
        <v>19171</v>
      </c>
      <c r="C40" s="23" t="s">
        <v>291</v>
      </c>
      <c r="D40" s="30">
        <v>40.5</v>
      </c>
      <c r="E40" s="32">
        <v>134.69999999999999</v>
      </c>
      <c r="F40" s="28" t="str">
        <f>IF(AND(D40&gt;=30),IF(E40&gt;=170,"ممتاز",IF(E40&gt;=150,"جيد جداً",IF(E40&gt;=130,"جيد",IF(E40&gt;=120,"مقبول","راسب")))),"راسب ")</f>
        <v>جيد</v>
      </c>
      <c r="G40" s="28" t="s">
        <v>200</v>
      </c>
      <c r="H40" s="36">
        <v>220</v>
      </c>
      <c r="I40" s="18" t="str">
        <f>IF(H40&gt;=255,"ممتاز",IF(H40&gt;=225,"جيد جدا",IF(H40&gt;=195,"جيد",IF(H40&gt;=180,"مقبول","راسب"))))</f>
        <v>جيد</v>
      </c>
      <c r="J40" s="28" t="s">
        <v>316</v>
      </c>
      <c r="K40" s="37">
        <v>74</v>
      </c>
      <c r="L40" s="28" t="str">
        <f>IF(K40&gt;=85,"ممتاز",IF(K40&gt;=75,"جيد جدا",IF(K40&gt;=65,"جيد",IF(K40&gt;=60,"مقبول","راسب"))))</f>
        <v>جيد</v>
      </c>
      <c r="M40" s="28" t="s">
        <v>316</v>
      </c>
      <c r="N40" s="17">
        <v>26</v>
      </c>
      <c r="O40" s="37">
        <v>73.125</v>
      </c>
      <c r="P40" s="29" t="str">
        <f>IF(AND(N40&gt;=24),IF(O40&gt;=85,"ممتاز",IF(O40&gt;=75,"جيد جداً",IF(O40&gt;=65,"جيد",IF(O40&gt;=60,"مقبول","راسب")))),"راسب ")</f>
        <v>جيد</v>
      </c>
      <c r="Q40" s="28" t="s">
        <v>316</v>
      </c>
      <c r="R40" s="37">
        <v>72.5</v>
      </c>
      <c r="S40" s="29" t="str">
        <f>IF(R40&gt;=85,"ممتاز",IF(R40&gt;=75,"جيد جدا",IF(R40&gt;=65,"جيد",IF(R40&gt;=60,"مقبول","راسب"))))</f>
        <v>جيد</v>
      </c>
      <c r="T40" s="28" t="s">
        <v>316</v>
      </c>
      <c r="U40" s="29"/>
      <c r="V40" s="32">
        <f>SUM(E40,H40,K40,O40,R40)</f>
        <v>574.32500000000005</v>
      </c>
      <c r="W40" s="18" t="str">
        <f>IF(AND(H40&gt;=180,E40&gt;=120,O40&gt;=60,K40&gt;=60,R40&gt;=60,D40&gt;=30,N40&gt;=24),IF(V40&gt;=680,"ممتاز",IF(V40&gt;=600,"جيد جدا",IF(V40&gt;=520,"جيد",IF(V40&gt;=480,"مقبول","راسب")))),"راسب")</f>
        <v>جيد</v>
      </c>
      <c r="X40" s="19">
        <f>IF(AND(O40&gt;=60,R40&gt;=60,K40&gt;=60,H40&gt;=180,E40&gt;=120,D40&gt;=30,N40&gt;=24),(V40/800)*100%,0)</f>
        <v>0.71790625000000008</v>
      </c>
    </row>
    <row r="41" spans="1:24" x14ac:dyDescent="0.35">
      <c r="A41" s="15">
        <v>32</v>
      </c>
      <c r="B41" s="23">
        <v>20659</v>
      </c>
      <c r="C41" s="23" t="s">
        <v>306</v>
      </c>
      <c r="D41" s="30">
        <v>37.75</v>
      </c>
      <c r="E41" s="32">
        <v>126.7</v>
      </c>
      <c r="F41" s="28" t="str">
        <f>IF(AND(D41&gt;=30),IF(E41&gt;=170,"ممتاز",IF(E41&gt;=150,"جيد جداً",IF(E41&gt;=130,"جيد",IF(E41&gt;=120,"مقبول","راسب")))),"راسب ")</f>
        <v>مقبول</v>
      </c>
      <c r="G41" s="28" t="s">
        <v>200</v>
      </c>
      <c r="H41" s="36">
        <v>143.33333333333334</v>
      </c>
      <c r="I41" s="18" t="str">
        <f>IF(H41&gt;=255,"ممتاز",IF(H41&gt;=225,"جيد جدا",IF(H41&gt;=195,"جيد",IF(H41&gt;=180,"مقبول","راسب"))))</f>
        <v>راسب</v>
      </c>
      <c r="J41" s="28" t="s">
        <v>316</v>
      </c>
      <c r="K41" s="37">
        <v>66.72</v>
      </c>
      <c r="L41" s="28" t="str">
        <f>IF(K41&gt;=85,"ممتاز",IF(K41&gt;=75,"جيد جدا",IF(K41&gt;=65,"جيد",IF(K41&gt;=60,"مقبول","راسب"))))</f>
        <v>جيد</v>
      </c>
      <c r="M41" s="28" t="s">
        <v>200</v>
      </c>
      <c r="N41" s="17">
        <v>28</v>
      </c>
      <c r="O41" s="37">
        <v>73.75</v>
      </c>
      <c r="P41" s="29" t="str">
        <f>IF(AND(N41&gt;=24),IF(O41&gt;=85,"ممتاز",IF(O41&gt;=75,"جيد جداً",IF(O41&gt;=65,"جيد",IF(O41&gt;=60,"مقبول","راسب")))),"راسب ")</f>
        <v>جيد</v>
      </c>
      <c r="Q41" s="28" t="s">
        <v>316</v>
      </c>
      <c r="R41" s="37">
        <v>72.1875</v>
      </c>
      <c r="S41" s="29" t="str">
        <f>IF(R41&gt;=85,"ممتاز",IF(R41&gt;=75,"جيد جدا",IF(R41&gt;=65,"جيد",IF(R41&gt;=60,"مقبول","راسب"))))</f>
        <v>جيد</v>
      </c>
      <c r="T41" s="28" t="s">
        <v>316</v>
      </c>
      <c r="U41" s="29"/>
      <c r="V41" s="32">
        <f>SUM(E41,H41,K41,O41,R41)</f>
        <v>482.69083333333333</v>
      </c>
      <c r="W41" s="18" t="str">
        <f>IF(AND(H41&gt;=180,E41&gt;=120,O41&gt;=60,K41&gt;=60,R41&gt;=60,D41&gt;=30,N41&gt;=24),IF(V41&gt;=680,"ممتاز",IF(V41&gt;=600,"جيد جدا",IF(V41&gt;=520,"جيد",IF(V41&gt;=480,"مقبول","راسب")))),"راسب")</f>
        <v>راسب</v>
      </c>
      <c r="X41" s="19">
        <f>IF(AND(O41&gt;=60,R41&gt;=60,K41&gt;=60,H41&gt;=180,E41&gt;=120,D41&gt;=30,N41&gt;=24),(V41/800)*100%,0)</f>
        <v>0</v>
      </c>
    </row>
    <row r="42" spans="1:24" x14ac:dyDescent="0.35">
      <c r="A42" s="15">
        <v>33</v>
      </c>
      <c r="B42" s="15">
        <v>13109</v>
      </c>
      <c r="C42" s="15" t="s">
        <v>85</v>
      </c>
      <c r="D42" s="32">
        <v>53</v>
      </c>
      <c r="E42" s="30">
        <v>142</v>
      </c>
      <c r="F42" s="28" t="str">
        <f>IF(AND(D42&gt;=30),IF(E42&gt;=170,"ممتاز",IF(E42&gt;=150,"جيد جداً",IF(E42&gt;=130,"جيد",IF(E42&gt;=120,"مقبول","راسب")))),"راسب ")</f>
        <v>جيد</v>
      </c>
      <c r="G42" s="28" t="s">
        <v>200</v>
      </c>
      <c r="H42" s="36">
        <v>0</v>
      </c>
      <c r="I42" s="18" t="str">
        <f>IF(H42&gt;=255,"ممتاز",IF(H42&gt;=225,"جيد جدا",IF(H42&gt;=195,"جيد",IF(H42&gt;=180,"مقبول","راسب"))))</f>
        <v>راسب</v>
      </c>
      <c r="J42" s="28" t="s">
        <v>315</v>
      </c>
      <c r="K42" s="30">
        <v>60</v>
      </c>
      <c r="L42" s="28" t="str">
        <f>IF(K42&gt;=85,"ممتاز",IF(K42&gt;=75,"جيد جدا",IF(K42&gt;=65,"جيد",IF(K42&gt;=60,"مقبول","راسب"))))</f>
        <v>مقبول</v>
      </c>
      <c r="M42" s="28" t="s">
        <v>200</v>
      </c>
      <c r="N42" s="17">
        <v>27.5</v>
      </c>
      <c r="O42" s="17">
        <v>70.5</v>
      </c>
      <c r="P42" s="29" t="str">
        <f>IF(AND(N42&gt;=24),IF(O42&gt;=85,"ممتاز",IF(O42&gt;=75,"جيد جداً",IF(O42&gt;=65,"جيد",IF(O42&gt;=60,"مقبول","راسب")))),"راسب ")</f>
        <v>جيد</v>
      </c>
      <c r="Q42" s="28" t="s">
        <v>200</v>
      </c>
      <c r="R42" s="30">
        <v>71.88</v>
      </c>
      <c r="S42" s="29" t="str">
        <f>IF(R42&gt;=85,"ممتاز",IF(R42&gt;=75,"جيد جدا",IF(R42&gt;=65,"جيد",IF(R42&gt;=60,"مقبول","راسب"))))</f>
        <v>جيد</v>
      </c>
      <c r="T42" s="28" t="s">
        <v>200</v>
      </c>
      <c r="U42" s="29"/>
      <c r="V42" s="32">
        <f>SUM(E42,H42,K42,O42,R42)</f>
        <v>344.38</v>
      </c>
      <c r="W42" s="18" t="str">
        <f>IF(AND(H42&gt;=180,E42&gt;=120,O42&gt;=60,K42&gt;=60,R42&gt;=60,D42&gt;=30,N42&gt;=24),IF(V42&gt;=680,"ممتاز",IF(V42&gt;=600,"جيد جدا",IF(V42&gt;=520,"جيد",IF(V42&gt;=480,"مقبول","راسب")))),"راسب")</f>
        <v>راسب</v>
      </c>
      <c r="X42" s="19">
        <f>IF(AND(O42&gt;=60,R42&gt;=60,K42&gt;=60,H42&gt;=180,E42&gt;=120,D42&gt;=30,N42&gt;=24),(V42/800)*100%,0)</f>
        <v>0</v>
      </c>
    </row>
    <row r="43" spans="1:24" x14ac:dyDescent="0.35">
      <c r="A43" s="15">
        <v>34</v>
      </c>
      <c r="B43" s="24">
        <v>18470</v>
      </c>
      <c r="C43" s="20" t="s">
        <v>266</v>
      </c>
      <c r="D43" s="30">
        <v>36.25</v>
      </c>
      <c r="E43" s="32">
        <v>136.80000000000001</v>
      </c>
      <c r="F43" s="28" t="str">
        <f>IF(AND(D43&gt;=30),IF(E43&gt;=170,"ممتاز",IF(E43&gt;=150,"جيد جداً",IF(E43&gt;=130,"جيد",IF(E43&gt;=120,"مقبول","راسب")))),"راسب ")</f>
        <v>جيد</v>
      </c>
      <c r="G43" s="28" t="s">
        <v>200</v>
      </c>
      <c r="H43" s="36">
        <v>180</v>
      </c>
      <c r="I43" s="18" t="str">
        <f>IF(H43&gt;=255,"ممتاز",IF(H43&gt;=225,"جيد جدا",IF(H43&gt;=195,"جيد",IF(H43&gt;=180,"مقبول","راسب"))))</f>
        <v>مقبول</v>
      </c>
      <c r="J43" s="28" t="s">
        <v>200</v>
      </c>
      <c r="K43" s="37">
        <v>67.7</v>
      </c>
      <c r="L43" s="28" t="str">
        <f>IF(K43&gt;=85,"ممتاز",IF(K43&gt;=75,"جيد جدا",IF(K43&gt;=65,"جيد",IF(K43&gt;=60,"مقبول","راسب"))))</f>
        <v>جيد</v>
      </c>
      <c r="M43" s="28" t="s">
        <v>200</v>
      </c>
      <c r="N43" s="17">
        <v>26</v>
      </c>
      <c r="O43" s="37">
        <v>69.375</v>
      </c>
      <c r="P43" s="29" t="str">
        <f>IF(AND(N43&gt;=24),IF(O43&gt;=85,"ممتاز",IF(O43&gt;=75,"جيد جداً",IF(O43&gt;=65,"جيد",IF(O43&gt;=60,"مقبول","راسب")))),"راسب ")</f>
        <v>جيد</v>
      </c>
      <c r="Q43" s="28" t="s">
        <v>316</v>
      </c>
      <c r="R43" s="37">
        <v>71.875</v>
      </c>
      <c r="S43" s="29" t="str">
        <f>IF(R43&gt;=85,"ممتاز",IF(R43&gt;=75,"جيد جدا",IF(R43&gt;=65,"جيد",IF(R43&gt;=60,"مقبول","راسب"))))</f>
        <v>جيد</v>
      </c>
      <c r="T43" s="28" t="s">
        <v>316</v>
      </c>
      <c r="U43" s="29"/>
      <c r="V43" s="32">
        <f>SUM(E43,H43,K43,O43,R43)</f>
        <v>525.75</v>
      </c>
      <c r="W43" s="18" t="str">
        <f>IF(AND(H43&gt;=180,E43&gt;=120,O43&gt;=60,K43&gt;=60,R43&gt;=60,D43&gt;=30,N43&gt;=24),IF(V43&gt;=680,"ممتاز",IF(V43&gt;=600,"جيد جدا",IF(V43&gt;=520,"جيد",IF(V43&gt;=480,"مقبول","راسب")))),"راسب")</f>
        <v>جيد</v>
      </c>
      <c r="X43" s="19">
        <f>IF(AND(O43&gt;=60,R43&gt;=60,K43&gt;=60,H43&gt;=180,E43&gt;=120,D43&gt;=30,N43&gt;=24),(V43/800)*100%,0)</f>
        <v>0.65718750000000004</v>
      </c>
    </row>
    <row r="44" spans="1:24" x14ac:dyDescent="0.35">
      <c r="A44" s="15">
        <v>35</v>
      </c>
      <c r="B44" s="23">
        <v>18766</v>
      </c>
      <c r="C44" s="23" t="s">
        <v>278</v>
      </c>
      <c r="D44" s="30">
        <v>36</v>
      </c>
      <c r="E44" s="32">
        <v>132.6</v>
      </c>
      <c r="F44" s="28" t="str">
        <f>IF(AND(D44&gt;=30),IF(E44&gt;=170,"ممتاز",IF(E44&gt;=150,"جيد جداً",IF(E44&gt;=130,"جيد",IF(E44&gt;=120,"مقبول","راسب")))),"راسب ")</f>
        <v>جيد</v>
      </c>
      <c r="G44" s="28" t="s">
        <v>200</v>
      </c>
      <c r="H44" s="36">
        <v>205</v>
      </c>
      <c r="I44" s="18" t="str">
        <f>IF(H44&gt;=255,"ممتاز",IF(H44&gt;=225,"جيد جدا",IF(H44&gt;=195,"جيد",IF(H44&gt;=180,"مقبول","راسب"))))</f>
        <v>جيد</v>
      </c>
      <c r="J44" s="28" t="s">
        <v>200</v>
      </c>
      <c r="K44" s="37">
        <v>73.72</v>
      </c>
      <c r="L44" s="28" t="str">
        <f>IF(K44&gt;=85,"ممتاز",IF(K44&gt;=75,"جيد جدا",IF(K44&gt;=65,"جيد",IF(K44&gt;=60,"مقبول","راسب"))))</f>
        <v>جيد</v>
      </c>
      <c r="M44" s="28" t="s">
        <v>200</v>
      </c>
      <c r="N44" s="17">
        <v>36</v>
      </c>
      <c r="O44" s="37">
        <v>75.5</v>
      </c>
      <c r="P44" s="29" t="str">
        <f>IF(AND(N44&gt;=24),IF(O44&gt;=85,"ممتاز",IF(O44&gt;=75,"جيد جداً",IF(O44&gt;=65,"جيد",IF(O44&gt;=60,"مقبول","راسب")))),"راسب ")</f>
        <v>جيد جداً</v>
      </c>
      <c r="Q44" s="28" t="s">
        <v>200</v>
      </c>
      <c r="R44" s="37">
        <v>70.625</v>
      </c>
      <c r="S44" s="29" t="str">
        <f>IF(R44&gt;=85,"ممتاز",IF(R44&gt;=75,"جيد جدا",IF(R44&gt;=65,"جيد",IF(R44&gt;=60,"مقبول","راسب"))))</f>
        <v>جيد</v>
      </c>
      <c r="T44" s="28" t="s">
        <v>316</v>
      </c>
      <c r="U44" s="29"/>
      <c r="V44" s="32">
        <f>SUM(E44,H44,K44,O44,R44)</f>
        <v>557.44500000000005</v>
      </c>
      <c r="W44" s="18" t="str">
        <f>IF(AND(H44&gt;=180,E44&gt;=120,O44&gt;=60,K44&gt;=60,R44&gt;=60,D44&gt;=30,N44&gt;=24),IF(V44&gt;=680,"ممتاز",IF(V44&gt;=600,"جيد جدا",IF(V44&gt;=520,"جيد",IF(V44&gt;=480,"مقبول","راسب")))),"راسب")</f>
        <v>جيد</v>
      </c>
      <c r="X44" s="19">
        <f>IF(AND(O44&gt;=60,R44&gt;=60,K44&gt;=60,H44&gt;=180,E44&gt;=120,D44&gt;=30,N44&gt;=24),(V44/800)*100%,0)</f>
        <v>0.69680625000000007</v>
      </c>
    </row>
    <row r="45" spans="1:24" x14ac:dyDescent="0.35">
      <c r="A45" s="15">
        <v>36</v>
      </c>
      <c r="B45" s="23">
        <v>16695</v>
      </c>
      <c r="C45" s="23" t="s">
        <v>239</v>
      </c>
      <c r="D45" s="30">
        <v>42.75</v>
      </c>
      <c r="E45" s="32">
        <v>147.30000000000001</v>
      </c>
      <c r="F45" s="28" t="str">
        <f>IF(AND(D45&gt;=30),IF(E45&gt;=170,"ممتاز",IF(E45&gt;=150,"جيد جداً",IF(E45&gt;=130,"جيد",IF(E45&gt;=120,"مقبول","راسب")))),"راسب ")</f>
        <v>جيد</v>
      </c>
      <c r="G45" s="28" t="s">
        <v>200</v>
      </c>
      <c r="H45" s="36">
        <v>241.66666666666669</v>
      </c>
      <c r="I45" s="18" t="str">
        <f>IF(H45&gt;=255,"ممتاز",IF(H45&gt;=225,"جيد جدا",IF(H45&gt;=195,"جيد",IF(H45&gt;=180,"مقبول","راسب"))))</f>
        <v>جيد جدا</v>
      </c>
      <c r="J45" s="28" t="s">
        <v>316</v>
      </c>
      <c r="K45" s="37">
        <v>80.430000000000007</v>
      </c>
      <c r="L45" s="28" t="str">
        <f>IF(K45&gt;=85,"ممتاز",IF(K45&gt;=75,"جيد جدا",IF(K45&gt;=65,"جيد",IF(K45&gt;=60,"مقبول","راسب"))))</f>
        <v>جيد جدا</v>
      </c>
      <c r="M45" s="28" t="s">
        <v>200</v>
      </c>
      <c r="N45" s="17">
        <v>31</v>
      </c>
      <c r="O45" s="37">
        <v>75.5</v>
      </c>
      <c r="P45" s="29" t="str">
        <f>IF(AND(N45&gt;=24),IF(O45&gt;=85,"ممتاز",IF(O45&gt;=75,"جيد جداً",IF(O45&gt;=65,"جيد",IF(O45&gt;=60,"مقبول","راسب")))),"راسب ")</f>
        <v>جيد جداً</v>
      </c>
      <c r="Q45" s="28" t="s">
        <v>200</v>
      </c>
      <c r="R45" s="37">
        <v>70.5</v>
      </c>
      <c r="S45" s="29" t="str">
        <f>IF(R45&gt;=85,"ممتاز",IF(R45&gt;=75,"جيد جدا",IF(R45&gt;=65,"جيد",IF(R45&gt;=60,"مقبول","راسب"))))</f>
        <v>جيد</v>
      </c>
      <c r="T45" s="28" t="s">
        <v>200</v>
      </c>
      <c r="U45" s="29"/>
      <c r="V45" s="32">
        <f>SUM(E45,H45,K45,O45,R45)</f>
        <v>615.39666666666676</v>
      </c>
      <c r="W45" s="18" t="str">
        <f>IF(AND(H45&gt;=180,E45&gt;=120,O45&gt;=60,K45&gt;=60,R45&gt;=60,D45&gt;=30,N45&gt;=24),IF(V45&gt;=680,"ممتاز",IF(V45&gt;=600,"جيد جدا",IF(V45&gt;=520,"جيد",IF(V45&gt;=480,"مقبول","راسب")))),"راسب")</f>
        <v>جيد جدا</v>
      </c>
      <c r="X45" s="19">
        <f>IF(AND(O45&gt;=60,R45&gt;=60,K45&gt;=60,H45&gt;=180,E45&gt;=120,D45&gt;=30,N45&gt;=24),(V45/800)*100%,0)</f>
        <v>0.76924583333333341</v>
      </c>
    </row>
    <row r="46" spans="1:24" x14ac:dyDescent="0.35">
      <c r="A46" s="15">
        <v>37</v>
      </c>
      <c r="B46" s="23">
        <v>18665</v>
      </c>
      <c r="C46" s="23" t="s">
        <v>193</v>
      </c>
      <c r="D46" s="30">
        <v>39.25</v>
      </c>
      <c r="E46" s="30">
        <v>135.66</v>
      </c>
      <c r="F46" s="28" t="str">
        <f>IF(AND(D46&gt;=30),IF(E46&gt;=170,"ممتاز",IF(E46&gt;=150,"جيد جداً",IF(E46&gt;=130,"جيد",IF(E46&gt;=120,"مقبول","راسب")))),"راسب ")</f>
        <v>جيد</v>
      </c>
      <c r="G46" s="28" t="s">
        <v>200</v>
      </c>
      <c r="H46" s="32">
        <v>222.7</v>
      </c>
      <c r="I46" s="18" t="str">
        <f>IF(H46&gt;=255,"ممتاز",IF(H46&gt;=225,"جيد جدا",IF(H46&gt;=195,"جيد",IF(H46&gt;=180,"مقبول","راسب"))))</f>
        <v>جيد</v>
      </c>
      <c r="J46" s="28" t="s">
        <v>200</v>
      </c>
      <c r="K46" s="32">
        <v>65</v>
      </c>
      <c r="L46" s="28" t="str">
        <f>IF(K46&gt;=85,"ممتاز",IF(K46&gt;=75,"جيد جدا",IF(K46&gt;=65,"جيد",IF(K46&gt;=60,"مقبول","راسب"))))</f>
        <v>جيد</v>
      </c>
      <c r="M46" s="28" t="s">
        <v>200</v>
      </c>
      <c r="N46" s="22">
        <v>30</v>
      </c>
      <c r="O46" s="22">
        <v>72</v>
      </c>
      <c r="P46" s="29" t="str">
        <f>IF(AND(N46&gt;=24),IF(O46&gt;=85,"ممتاز",IF(O46&gt;=75,"جيد جداً",IF(O46&gt;=65,"جيد",IF(O46&gt;=60,"مقبول","راسب")))),"راسب ")</f>
        <v>جيد</v>
      </c>
      <c r="Q46" s="28" t="s">
        <v>200</v>
      </c>
      <c r="R46" s="37">
        <v>70.3125</v>
      </c>
      <c r="S46" s="29" t="str">
        <f>IF(R46&gt;=85,"ممتاز",IF(R46&gt;=75,"جيد جدا",IF(R46&gt;=65,"جيد",IF(R46&gt;=60,"مقبول","راسب"))))</f>
        <v>جيد</v>
      </c>
      <c r="T46" s="28" t="s">
        <v>316</v>
      </c>
      <c r="U46" s="29"/>
      <c r="V46" s="32">
        <f>SUM(E46,H46,K46,O46,R46)</f>
        <v>565.67250000000001</v>
      </c>
      <c r="W46" s="18" t="str">
        <f>IF(AND(H46&gt;=180,E46&gt;=120,O46&gt;=60,K46&gt;=60,R46&gt;=60,D46&gt;=30,N46&gt;=24),IF(V46&gt;=680,"ممتاز",IF(V46&gt;=600,"جيد جدا",IF(V46&gt;=520,"جيد",IF(V46&gt;=480,"مقبول","راسب")))),"راسب")</f>
        <v>جيد</v>
      </c>
      <c r="X46" s="19">
        <f>IF(AND(O46&gt;=60,R46&gt;=60,K46&gt;=60,H46&gt;=180,E46&gt;=120,D46&gt;=30,N46&gt;=24),(V46/800)*100%,0)</f>
        <v>0.70709062499999997</v>
      </c>
    </row>
    <row r="47" spans="1:24" x14ac:dyDescent="0.35">
      <c r="A47" s="15">
        <v>38</v>
      </c>
      <c r="B47" s="23">
        <v>19546</v>
      </c>
      <c r="C47" s="23" t="s">
        <v>300</v>
      </c>
      <c r="D47" s="30">
        <v>36</v>
      </c>
      <c r="E47" s="32">
        <v>140.5</v>
      </c>
      <c r="F47" s="28" t="str">
        <f>IF(AND(D47&gt;=30),IF(E47&gt;=170,"ممتاز",IF(E47&gt;=150,"جيد جداً",IF(E47&gt;=130,"جيد",IF(E47&gt;=120,"مقبول","راسب")))),"راسب ")</f>
        <v>جيد</v>
      </c>
      <c r="G47" s="28" t="s">
        <v>200</v>
      </c>
      <c r="H47" s="36">
        <v>202</v>
      </c>
      <c r="I47" s="18" t="str">
        <f>IF(H47&gt;=255,"ممتاز",IF(H47&gt;=225,"جيد جدا",IF(H47&gt;=195,"جيد",IF(H47&gt;=180,"مقبول","راسب"))))</f>
        <v>جيد</v>
      </c>
      <c r="J47" s="28" t="s">
        <v>200</v>
      </c>
      <c r="K47" s="37">
        <v>80.36</v>
      </c>
      <c r="L47" s="28" t="str">
        <f>IF(K47&gt;=85,"ممتاز",IF(K47&gt;=75,"جيد جدا",IF(K47&gt;=65,"جيد",IF(K47&gt;=60,"مقبول","راسب"))))</f>
        <v>جيد جدا</v>
      </c>
      <c r="M47" s="28" t="s">
        <v>200</v>
      </c>
      <c r="N47" s="17">
        <v>25</v>
      </c>
      <c r="O47" s="37">
        <v>66</v>
      </c>
      <c r="P47" s="29" t="str">
        <f>IF(AND(N47&gt;=24),IF(O47&gt;=85,"ممتاز",IF(O47&gt;=75,"جيد جداً",IF(O47&gt;=65,"جيد",IF(O47&gt;=60,"مقبول","راسب")))),"راسب ")</f>
        <v>جيد</v>
      </c>
      <c r="Q47" s="28" t="s">
        <v>200</v>
      </c>
      <c r="R47" s="37">
        <v>70.3125</v>
      </c>
      <c r="S47" s="29" t="str">
        <f>IF(R47&gt;=85,"ممتاز",IF(R47&gt;=75,"جيد جدا",IF(R47&gt;=65,"جيد",IF(R47&gt;=60,"مقبول","راسب"))))</f>
        <v>جيد</v>
      </c>
      <c r="T47" s="28" t="s">
        <v>316</v>
      </c>
      <c r="U47" s="29"/>
      <c r="V47" s="32">
        <f>SUM(E47,H47,K47,O47,R47)</f>
        <v>559.17250000000001</v>
      </c>
      <c r="W47" s="18" t="str">
        <f>IF(AND(H47&gt;=180,E47&gt;=120,O47&gt;=60,K47&gt;=60,R47&gt;=60,D47&gt;=30,N47&gt;=24),IF(V47&gt;=680,"ممتاز",IF(V47&gt;=600,"جيد جدا",IF(V47&gt;=520,"جيد",IF(V47&gt;=480,"مقبول","راسب")))),"راسب")</f>
        <v>جيد</v>
      </c>
      <c r="X47" s="19">
        <f>IF(AND(O47&gt;=60,R47&gt;=60,K47&gt;=60,H47&gt;=180,E47&gt;=120,D47&gt;=30,N47&gt;=24),(V47/800)*100%,0)</f>
        <v>0.69896562500000003</v>
      </c>
    </row>
    <row r="48" spans="1:24" x14ac:dyDescent="0.35">
      <c r="A48" s="15">
        <v>39</v>
      </c>
      <c r="B48" s="23">
        <v>18919</v>
      </c>
      <c r="C48" s="23" t="s">
        <v>195</v>
      </c>
      <c r="D48" s="30">
        <v>44.5</v>
      </c>
      <c r="E48" s="30">
        <v>138.75</v>
      </c>
      <c r="F48" s="28" t="str">
        <f>IF(AND(D48&gt;=30),IF(E48&gt;=170,"ممتاز",IF(E48&gt;=150,"جيد جداً",IF(E48&gt;=130,"جيد",IF(E48&gt;=120,"مقبول","راسب")))),"راسب ")</f>
        <v>جيد</v>
      </c>
      <c r="G48" s="28" t="s">
        <v>316</v>
      </c>
      <c r="H48" s="32">
        <v>213.5</v>
      </c>
      <c r="I48" s="18" t="str">
        <f>IF(H48&gt;=255,"ممتاز",IF(H48&gt;=225,"جيد جدا",IF(H48&gt;=195,"جيد",IF(H48&gt;=180,"مقبول","راسب"))))</f>
        <v>جيد</v>
      </c>
      <c r="J48" s="28" t="s">
        <v>200</v>
      </c>
      <c r="K48" s="32">
        <v>76.7</v>
      </c>
      <c r="L48" s="28" t="str">
        <f>IF(K48&gt;=85,"ممتاز",IF(K48&gt;=75,"جيد جدا",IF(K48&gt;=65,"جيد",IF(K48&gt;=60,"مقبول","راسب"))))</f>
        <v>جيد جدا</v>
      </c>
      <c r="M48" s="28" t="s">
        <v>200</v>
      </c>
      <c r="N48" s="22">
        <v>24.5</v>
      </c>
      <c r="O48" s="22">
        <v>61.88</v>
      </c>
      <c r="P48" s="29" t="str">
        <f>IF(AND(N48&gt;=24),IF(O48&gt;=85,"ممتاز",IF(O48&gt;=75,"جيد جداً",IF(O48&gt;=65,"جيد",IF(O48&gt;=60,"مقبول","راسب")))),"راسب ")</f>
        <v>مقبول</v>
      </c>
      <c r="Q48" s="28" t="s">
        <v>200</v>
      </c>
      <c r="R48" s="32">
        <v>70.25</v>
      </c>
      <c r="S48" s="29" t="str">
        <f>IF(R48&gt;=85,"ممتاز",IF(R48&gt;=75,"جيد جدا",IF(R48&gt;=65,"جيد",IF(R48&gt;=60,"مقبول","راسب"))))</f>
        <v>جيد</v>
      </c>
      <c r="T48" s="28" t="s">
        <v>200</v>
      </c>
      <c r="U48" s="29"/>
      <c r="V48" s="32">
        <f>SUM(E48,H48,K48,O48,R48)</f>
        <v>561.07999999999993</v>
      </c>
      <c r="W48" s="18" t="str">
        <f>IF(AND(H48&gt;=180,E48&gt;=120,O48&gt;=60,K48&gt;=60,R48&gt;=60,D48&gt;=30,N48&gt;=24),IF(V48&gt;=680,"ممتاز",IF(V48&gt;=600,"جيد جدا",IF(V48&gt;=520,"جيد",IF(V48&gt;=480,"مقبول","راسب")))),"راسب")</f>
        <v>جيد</v>
      </c>
      <c r="X48" s="19">
        <f>IF(AND(O48&gt;=60,R48&gt;=60,K48&gt;=60,H48&gt;=180,E48&gt;=120,D48&gt;=30,N48&gt;=24),(V48/800)*100%,0)</f>
        <v>0.70134999999999992</v>
      </c>
    </row>
    <row r="49" spans="1:24" x14ac:dyDescent="0.35">
      <c r="A49" s="15">
        <v>40</v>
      </c>
      <c r="B49" s="15">
        <v>15419</v>
      </c>
      <c r="C49" s="15" t="s">
        <v>222</v>
      </c>
      <c r="D49" s="30">
        <v>36</v>
      </c>
      <c r="E49" s="32">
        <v>121.1</v>
      </c>
      <c r="F49" s="28" t="str">
        <f>IF(AND(D49&gt;=30),IF(E49&gt;=170,"ممتاز",IF(E49&gt;=150,"جيد جداً",IF(E49&gt;=130,"جيد",IF(E49&gt;=120,"مقبول","راسب")))),"راسب ")</f>
        <v>مقبول</v>
      </c>
      <c r="G49" s="28" t="s">
        <v>200</v>
      </c>
      <c r="H49" s="36">
        <v>183</v>
      </c>
      <c r="I49" s="18" t="str">
        <f>IF(H49&gt;=255,"ممتاز",IF(H49&gt;=225,"جيد جدا",IF(H49&gt;=195,"جيد",IF(H49&gt;=180,"مقبول","راسب"))))</f>
        <v>مقبول</v>
      </c>
      <c r="J49" s="28" t="s">
        <v>200</v>
      </c>
      <c r="K49" s="37">
        <v>62.72</v>
      </c>
      <c r="L49" s="28" t="str">
        <f>IF(K49&gt;=85,"ممتاز",IF(K49&gt;=75,"جيد جدا",IF(K49&gt;=65,"جيد",IF(K49&gt;=60,"مقبول","راسب"))))</f>
        <v>مقبول</v>
      </c>
      <c r="M49" s="28" t="s">
        <v>200</v>
      </c>
      <c r="N49" s="17">
        <v>31</v>
      </c>
      <c r="O49" s="37">
        <v>77.5</v>
      </c>
      <c r="P49" s="29" t="str">
        <f>IF(AND(N49&gt;=24),IF(O49&gt;=85,"ممتاز",IF(O49&gt;=75,"جيد جداً",IF(O49&gt;=65,"جيد",IF(O49&gt;=60,"مقبول","راسب")))),"راسب ")</f>
        <v>جيد جداً</v>
      </c>
      <c r="Q49" s="28" t="s">
        <v>316</v>
      </c>
      <c r="R49" s="37">
        <v>69.375</v>
      </c>
      <c r="S49" s="29" t="str">
        <f>IF(R49&gt;=85,"ممتاز",IF(R49&gt;=75,"جيد جدا",IF(R49&gt;=65,"جيد",IF(R49&gt;=60,"مقبول","راسب"))))</f>
        <v>جيد</v>
      </c>
      <c r="T49" s="28" t="s">
        <v>316</v>
      </c>
      <c r="U49" s="29"/>
      <c r="V49" s="32">
        <f>SUM(E49,H49,K49,O49,R49)</f>
        <v>513.69500000000005</v>
      </c>
      <c r="W49" s="18" t="str">
        <f>IF(AND(H49&gt;=180,E49&gt;=120,O49&gt;=60,K49&gt;=60,R49&gt;=60,D49&gt;=30,N49&gt;=24),IF(V49&gt;=680,"ممتاز",IF(V49&gt;=600,"جيد جدا",IF(V49&gt;=520,"جيد",IF(V49&gt;=480,"مقبول","راسب")))),"راسب")</f>
        <v>مقبول</v>
      </c>
      <c r="X49" s="19">
        <f>IF(AND(O49&gt;=60,R49&gt;=60,K49&gt;=60,H49&gt;=180,E49&gt;=120,D49&gt;=30,N49&gt;=24),(V49/800)*100%,0)</f>
        <v>0.64211875000000007</v>
      </c>
    </row>
    <row r="50" spans="1:24" x14ac:dyDescent="0.35">
      <c r="A50" s="15">
        <v>41</v>
      </c>
      <c r="B50" s="15">
        <v>15510</v>
      </c>
      <c r="C50" s="15" t="s">
        <v>161</v>
      </c>
      <c r="D50" s="30">
        <v>44</v>
      </c>
      <c r="E50" s="30">
        <v>120</v>
      </c>
      <c r="F50" s="28" t="str">
        <f>IF(AND(D50&gt;=30),IF(E50&gt;=170,"ممتاز",IF(E50&gt;=150,"جيد جداً",IF(E50&gt;=130,"جيد",IF(E50&gt;=120,"مقبول","راسب")))),"راسب ")</f>
        <v>مقبول</v>
      </c>
      <c r="G50" s="28" t="s">
        <v>200</v>
      </c>
      <c r="H50" s="32">
        <v>183.5</v>
      </c>
      <c r="I50" s="18" t="str">
        <f>IF(H50&gt;=255,"ممتاز",IF(H50&gt;=225,"جيد جدا",IF(H50&gt;=195,"جيد",IF(H50&gt;=180,"مقبول","راسب"))))</f>
        <v>مقبول</v>
      </c>
      <c r="J50" s="28" t="s">
        <v>200</v>
      </c>
      <c r="K50" s="31">
        <v>61</v>
      </c>
      <c r="L50" s="28" t="str">
        <f>IF(K50&gt;=85,"ممتاز",IF(K50&gt;=75,"جيد جدا",IF(K50&gt;=65,"جيد",IF(K50&gt;=60,"مقبول","راسب"))))</f>
        <v>مقبول</v>
      </c>
      <c r="M50" s="28" t="s">
        <v>200</v>
      </c>
      <c r="N50" s="17">
        <v>25</v>
      </c>
      <c r="O50" s="17">
        <v>62.5</v>
      </c>
      <c r="P50" s="29" t="str">
        <f>IF(AND(N50&gt;=24),IF(O50&gt;=85,"ممتاز",IF(O50&gt;=75,"جيد جداً",IF(O50&gt;=65,"جيد",IF(O50&gt;=60,"مقبول","راسب")))),"راسب ")</f>
        <v>مقبول</v>
      </c>
      <c r="Q50" s="28" t="s">
        <v>200</v>
      </c>
      <c r="R50" s="37">
        <v>69.375</v>
      </c>
      <c r="S50" s="29" t="str">
        <f>IF(R50&gt;=85,"ممتاز",IF(R50&gt;=75,"جيد جدا",IF(R50&gt;=65,"جيد",IF(R50&gt;=60,"مقبول","راسب"))))</f>
        <v>جيد</v>
      </c>
      <c r="T50" s="28" t="s">
        <v>316</v>
      </c>
      <c r="U50" s="29"/>
      <c r="V50" s="32">
        <f>SUM(E50,H50,K50,O50,R50)</f>
        <v>496.375</v>
      </c>
      <c r="W50" s="18" t="str">
        <f>IF(AND(H50&gt;=180,E50&gt;=120,O50&gt;=60,K50&gt;=60,R50&gt;=60,D50&gt;=30,N50&gt;=24),IF(V50&gt;=680,"ممتاز",IF(V50&gt;=600,"جيد جدا",IF(V50&gt;=520,"جيد",IF(V50&gt;=480,"مقبول","راسب")))),"راسب")</f>
        <v>مقبول</v>
      </c>
      <c r="X50" s="19">
        <f>IF(AND(O50&gt;=60,R50&gt;=60,K50&gt;=60,H50&gt;=180,E50&gt;=120,D50&gt;=30,N50&gt;=24),(V50/800)*100%,0)</f>
        <v>0.62046875000000001</v>
      </c>
    </row>
    <row r="51" spans="1:24" x14ac:dyDescent="0.35">
      <c r="A51" s="15">
        <v>42</v>
      </c>
      <c r="B51" s="16">
        <v>15541</v>
      </c>
      <c r="C51" s="16" t="s">
        <v>223</v>
      </c>
      <c r="D51" s="30">
        <v>41.5</v>
      </c>
      <c r="E51" s="32">
        <v>137</v>
      </c>
      <c r="F51" s="28" t="str">
        <f>IF(AND(D51&gt;=30),IF(E51&gt;=170,"ممتاز",IF(E51&gt;=150,"جيد جداً",IF(E51&gt;=130,"جيد",IF(E51&gt;=120,"مقبول","راسب")))),"راسب ")</f>
        <v>جيد</v>
      </c>
      <c r="G51" s="28" t="s">
        <v>200</v>
      </c>
      <c r="H51" s="36">
        <v>203</v>
      </c>
      <c r="I51" s="18" t="str">
        <f>IF(H51&gt;=255,"ممتاز",IF(H51&gt;=225,"جيد جدا",IF(H51&gt;=195,"جيد",IF(H51&gt;=180,"مقبول","راسب"))))</f>
        <v>جيد</v>
      </c>
      <c r="J51" s="28" t="s">
        <v>200</v>
      </c>
      <c r="K51" s="37">
        <v>68.08</v>
      </c>
      <c r="L51" s="28" t="str">
        <f>IF(K51&gt;=85,"ممتاز",IF(K51&gt;=75,"جيد جدا",IF(K51&gt;=65,"جيد",IF(K51&gt;=60,"مقبول","راسب"))))</f>
        <v>جيد</v>
      </c>
      <c r="M51" s="28" t="s">
        <v>200</v>
      </c>
      <c r="N51" s="17">
        <v>34</v>
      </c>
      <c r="O51" s="37">
        <v>85</v>
      </c>
      <c r="P51" s="29" t="str">
        <f>IF(AND(N51&gt;=24),IF(O51&gt;=85,"ممتاز",IF(O51&gt;=75,"جيد جداً",IF(O51&gt;=65,"جيد",IF(O51&gt;=60,"مقبول","راسب")))),"راسب ")</f>
        <v>ممتاز</v>
      </c>
      <c r="Q51" s="28" t="s">
        <v>316</v>
      </c>
      <c r="R51" s="37">
        <v>69.375</v>
      </c>
      <c r="S51" s="29" t="str">
        <f>IF(R51&gt;=85,"ممتاز",IF(R51&gt;=75,"جيد جدا",IF(R51&gt;=65,"جيد",IF(R51&gt;=60,"مقبول","راسب"))))</f>
        <v>جيد</v>
      </c>
      <c r="T51" s="28" t="s">
        <v>316</v>
      </c>
      <c r="U51" s="29"/>
      <c r="V51" s="32">
        <f>SUM(E51,H51,K51,O51,R51)</f>
        <v>562.45499999999993</v>
      </c>
      <c r="W51" s="18" t="str">
        <f>IF(AND(H51&gt;=180,E51&gt;=120,O51&gt;=60,K51&gt;=60,R51&gt;=60,D51&gt;=30,N51&gt;=24),IF(V51&gt;=680,"ممتاز",IF(V51&gt;=600,"جيد جدا",IF(V51&gt;=520,"جيد",IF(V51&gt;=480,"مقبول","راسب")))),"راسب")</f>
        <v>جيد</v>
      </c>
      <c r="X51" s="19">
        <f>IF(AND(O51&gt;=60,R51&gt;=60,K51&gt;=60,H51&gt;=180,E51&gt;=120,D51&gt;=30,N51&gt;=24),(V51/800)*100%,0)</f>
        <v>0.70306874999999991</v>
      </c>
    </row>
    <row r="52" spans="1:24" x14ac:dyDescent="0.35">
      <c r="A52" s="15">
        <v>43</v>
      </c>
      <c r="B52" s="25">
        <v>16677</v>
      </c>
      <c r="C52" s="26" t="s">
        <v>237</v>
      </c>
      <c r="D52" s="30">
        <v>37.630000000000003</v>
      </c>
      <c r="E52" s="32">
        <v>146.13</v>
      </c>
      <c r="F52" s="28" t="str">
        <f>IF(AND(D52&gt;=30),IF(E52&gt;=170,"ممتاز",IF(E52&gt;=150,"جيد جداً",IF(E52&gt;=130,"جيد",IF(E52&gt;=120,"مقبول","راسب")))),"راسب ")</f>
        <v>جيد</v>
      </c>
      <c r="G52" s="28" t="s">
        <v>200</v>
      </c>
      <c r="H52" s="36">
        <v>184</v>
      </c>
      <c r="I52" s="18" t="str">
        <f>IF(H52&gt;=255,"ممتاز",IF(H52&gt;=225,"جيد جدا",IF(H52&gt;=195,"جيد",IF(H52&gt;=180,"مقبول","راسب"))))</f>
        <v>مقبول</v>
      </c>
      <c r="J52" s="28" t="s">
        <v>200</v>
      </c>
      <c r="K52" s="37">
        <v>79.430000000000007</v>
      </c>
      <c r="L52" s="28" t="str">
        <f>IF(K52&gt;=85,"ممتاز",IF(K52&gt;=75,"جيد جدا",IF(K52&gt;=65,"جيد",IF(K52&gt;=60,"مقبول","راسب"))))</f>
        <v>جيد جدا</v>
      </c>
      <c r="M52" s="28" t="s">
        <v>200</v>
      </c>
      <c r="N52" s="17">
        <v>0</v>
      </c>
      <c r="O52" s="37">
        <v>0</v>
      </c>
      <c r="P52" s="29" t="str">
        <f>IF(AND(N52&gt;=24),IF(O52&gt;=85,"ممتاز",IF(O52&gt;=75,"جيد جداً",IF(O52&gt;=65,"جيد",IF(O52&gt;=60,"مقبول","راسب")))),"راسب ")</f>
        <v xml:space="preserve">راسب </v>
      </c>
      <c r="Q52" s="28" t="s">
        <v>315</v>
      </c>
      <c r="R52" s="37">
        <v>69.25</v>
      </c>
      <c r="S52" s="29" t="str">
        <f>IF(R52&gt;=85,"ممتاز",IF(R52&gt;=75,"جيد جدا",IF(R52&gt;=65,"جيد",IF(R52&gt;=60,"مقبول","راسب"))))</f>
        <v>جيد</v>
      </c>
      <c r="T52" s="28" t="s">
        <v>200</v>
      </c>
      <c r="U52" s="29"/>
      <c r="V52" s="32">
        <f>SUM(E52,H52,K52,O52,R52)</f>
        <v>478.81</v>
      </c>
      <c r="W52" s="18" t="str">
        <f>IF(AND(H52&gt;=180,E52&gt;=120,O52&gt;=60,K52&gt;=60,R52&gt;=60,D52&gt;=30,N52&gt;=24),IF(V52&gt;=680,"ممتاز",IF(V52&gt;=600,"جيد جدا",IF(V52&gt;=520,"جيد",IF(V52&gt;=480,"مقبول","راسب")))),"راسب")</f>
        <v>راسب</v>
      </c>
      <c r="X52" s="19">
        <f>IF(AND(O52&gt;=60,R52&gt;=60,K52&gt;=60,H52&gt;=180,E52&gt;=120,D52&gt;=30,N52&gt;=24),(V52/800)*100%,0)</f>
        <v>0</v>
      </c>
    </row>
    <row r="53" spans="1:24" x14ac:dyDescent="0.35">
      <c r="A53" s="15">
        <v>44</v>
      </c>
      <c r="B53" s="23">
        <v>18074</v>
      </c>
      <c r="C53" s="23" t="s">
        <v>257</v>
      </c>
      <c r="D53" s="30">
        <v>36</v>
      </c>
      <c r="E53" s="32">
        <v>122.5</v>
      </c>
      <c r="F53" s="28" t="str">
        <f>IF(AND(D53&gt;=30),IF(E53&gt;=170,"ممتاز",IF(E53&gt;=150,"جيد جداً",IF(E53&gt;=130,"جيد",IF(E53&gt;=120,"مقبول","راسب")))),"راسب ")</f>
        <v>مقبول</v>
      </c>
      <c r="G53" s="28" t="s">
        <v>200</v>
      </c>
      <c r="H53" s="36">
        <v>171.66666666666669</v>
      </c>
      <c r="I53" s="18" t="str">
        <f>IF(H53&gt;=255,"ممتاز",IF(H53&gt;=225,"جيد جدا",IF(H53&gt;=195,"جيد",IF(H53&gt;=180,"مقبول","راسب"))))</f>
        <v>راسب</v>
      </c>
      <c r="J53" s="28" t="s">
        <v>316</v>
      </c>
      <c r="K53" s="31">
        <v>60</v>
      </c>
      <c r="L53" s="28" t="str">
        <f>IF(K53&gt;=85,"ممتاز",IF(K53&gt;=75,"جيد جدا",IF(K53&gt;=65,"جيد",IF(K53&gt;=60,"مقبول","راسب"))))</f>
        <v>مقبول</v>
      </c>
      <c r="M53" s="28" t="s">
        <v>200</v>
      </c>
      <c r="N53" s="17">
        <v>27</v>
      </c>
      <c r="O53" s="37">
        <v>64.5</v>
      </c>
      <c r="P53" s="29" t="str">
        <f>IF(AND(N53&gt;=24),IF(O53&gt;=85,"ممتاز",IF(O53&gt;=75,"جيد جداً",IF(O53&gt;=65,"جيد",IF(O53&gt;=60,"مقبول","راسب")))),"راسب ")</f>
        <v>مقبول</v>
      </c>
      <c r="Q53" s="28" t="s">
        <v>200</v>
      </c>
      <c r="R53" s="37">
        <v>69.0625</v>
      </c>
      <c r="S53" s="29" t="str">
        <f>IF(R53&gt;=85,"ممتاز",IF(R53&gt;=75,"جيد جدا",IF(R53&gt;=65,"جيد",IF(R53&gt;=60,"مقبول","راسب"))))</f>
        <v>جيد</v>
      </c>
      <c r="T53" s="28" t="s">
        <v>316</v>
      </c>
      <c r="U53" s="29"/>
      <c r="V53" s="32">
        <f>SUM(E53,H53,K53,O53,R53)</f>
        <v>487.72916666666669</v>
      </c>
      <c r="W53" s="18" t="str">
        <f>IF(AND(H53&gt;=180,E53&gt;=120,O53&gt;=60,K53&gt;=60,R53&gt;=60,D53&gt;=30,N53&gt;=24),IF(V53&gt;=680,"ممتاز",IF(V53&gt;=600,"جيد جدا",IF(V53&gt;=520,"جيد",IF(V53&gt;=480,"مقبول","راسب")))),"راسب")</f>
        <v>راسب</v>
      </c>
      <c r="X53" s="19">
        <f>IF(AND(O53&gt;=60,R53&gt;=60,K53&gt;=60,H53&gt;=180,E53&gt;=120,D53&gt;=30,N53&gt;=24),(V53/800)*100%,0)</f>
        <v>0</v>
      </c>
    </row>
    <row r="54" spans="1:24" x14ac:dyDescent="0.35">
      <c r="A54" s="15">
        <v>45</v>
      </c>
      <c r="B54" s="15">
        <v>16691</v>
      </c>
      <c r="C54" s="15" t="s">
        <v>238</v>
      </c>
      <c r="D54" s="30">
        <v>40.75</v>
      </c>
      <c r="E54" s="32">
        <v>153.35</v>
      </c>
      <c r="F54" s="28" t="str">
        <f>IF(AND(D54&gt;=30),IF(E54&gt;=170,"ممتاز",IF(E54&gt;=150,"جيد جداً",IF(E54&gt;=130,"جيد",IF(E54&gt;=120,"مقبول","راسب")))),"راسب ")</f>
        <v>جيد جداً</v>
      </c>
      <c r="G54" s="28" t="s">
        <v>200</v>
      </c>
      <c r="H54" s="36">
        <v>213</v>
      </c>
      <c r="I54" s="18" t="str">
        <f>IF(H54&gt;=255,"ممتاز",IF(H54&gt;=225,"جيد جدا",IF(H54&gt;=195,"جيد",IF(H54&gt;=180,"مقبول","راسب"))))</f>
        <v>جيد</v>
      </c>
      <c r="J54" s="28" t="s">
        <v>200</v>
      </c>
      <c r="K54" s="37">
        <v>78.430000000000007</v>
      </c>
      <c r="L54" s="28" t="str">
        <f>IF(K54&gt;=85,"ممتاز",IF(K54&gt;=75,"جيد جدا",IF(K54&gt;=65,"جيد",IF(K54&gt;=60,"مقبول","راسب"))))</f>
        <v>جيد جدا</v>
      </c>
      <c r="M54" s="28" t="s">
        <v>200</v>
      </c>
      <c r="N54" s="17">
        <v>31</v>
      </c>
      <c r="O54" s="37">
        <v>78.75</v>
      </c>
      <c r="P54" s="29" t="str">
        <f>IF(AND(N54&gt;=24),IF(O54&gt;=85,"ممتاز",IF(O54&gt;=75,"جيد جداً",IF(O54&gt;=65,"جيد",IF(O54&gt;=60,"مقبول","راسب")))),"راسب ")</f>
        <v>جيد جداً</v>
      </c>
      <c r="Q54" s="28" t="s">
        <v>316</v>
      </c>
      <c r="R54" s="37">
        <v>69</v>
      </c>
      <c r="S54" s="29" t="str">
        <f>IF(R54&gt;=85,"ممتاز",IF(R54&gt;=75,"جيد جدا",IF(R54&gt;=65,"جيد",IF(R54&gt;=60,"مقبول","راسب"))))</f>
        <v>جيد</v>
      </c>
      <c r="T54" s="28" t="s">
        <v>200</v>
      </c>
      <c r="U54" s="29"/>
      <c r="V54" s="32">
        <f>SUM(E54,H54,K54,O54,R54)</f>
        <v>592.53</v>
      </c>
      <c r="W54" s="18" t="str">
        <f>IF(AND(H54&gt;=180,E54&gt;=120,O54&gt;=60,K54&gt;=60,R54&gt;=60,D54&gt;=30,N54&gt;=24),IF(V54&gt;=680,"ممتاز",IF(V54&gt;=600,"جيد جدا",IF(V54&gt;=520,"جيد",IF(V54&gt;=480,"مقبول","راسب")))),"راسب")</f>
        <v>جيد</v>
      </c>
      <c r="X54" s="19">
        <f>IF(AND(O54&gt;=60,R54&gt;=60,K54&gt;=60,H54&gt;=180,E54&gt;=120,D54&gt;=30,N54&gt;=24),(V54/800)*100%,0)</f>
        <v>0.7406625</v>
      </c>
    </row>
    <row r="55" spans="1:24" x14ac:dyDescent="0.35">
      <c r="A55" s="15">
        <v>46</v>
      </c>
      <c r="B55" s="15">
        <v>13999</v>
      </c>
      <c r="C55" s="15" t="s">
        <v>151</v>
      </c>
      <c r="D55" s="32">
        <v>41.5</v>
      </c>
      <c r="E55" s="32">
        <v>127.75</v>
      </c>
      <c r="F55" s="28" t="str">
        <f>IF(AND(D55&gt;=30),IF(E55&gt;=170,"ممتاز",IF(E55&gt;=150,"جيد جداً",IF(E55&gt;=130,"جيد",IF(E55&gt;=120,"مقبول","راسب")))),"راسب ")</f>
        <v>مقبول</v>
      </c>
      <c r="G55" s="28" t="s">
        <v>200</v>
      </c>
      <c r="H55" s="30">
        <v>192</v>
      </c>
      <c r="I55" s="18" t="str">
        <f>IF(H55&gt;=255,"ممتاز",IF(H55&gt;=225,"جيد جدا",IF(H55&gt;=195,"جيد",IF(H55&gt;=180,"مقبول","راسب"))))</f>
        <v>مقبول</v>
      </c>
      <c r="J55" s="28" t="s">
        <v>200</v>
      </c>
      <c r="K55" s="32">
        <v>68.58</v>
      </c>
      <c r="L55" s="28" t="str">
        <f>IF(K55&gt;=85,"ممتاز",IF(K55&gt;=75,"جيد جدا",IF(K55&gt;=65,"جيد",IF(K55&gt;=60,"مقبول","راسب"))))</f>
        <v>جيد</v>
      </c>
      <c r="M55" s="28" t="s">
        <v>200</v>
      </c>
      <c r="N55" s="17">
        <v>0</v>
      </c>
      <c r="O55" s="37">
        <v>0</v>
      </c>
      <c r="P55" s="29" t="str">
        <f>IF(AND(N55&gt;=24),IF(O55&gt;=85,"ممتاز",IF(O55&gt;=75,"جيد جداً",IF(O55&gt;=65,"جيد",IF(O55&gt;=60,"مقبول","راسب")))),"راسب ")</f>
        <v xml:space="preserve">راسب </v>
      </c>
      <c r="Q55" s="28" t="s">
        <v>315</v>
      </c>
      <c r="R55" s="30">
        <v>68.75</v>
      </c>
      <c r="S55" s="29" t="str">
        <f>IF(R55&gt;=85,"ممتاز",IF(R55&gt;=75,"جيد جدا",IF(R55&gt;=65,"جيد",IF(R55&gt;=60,"مقبول","راسب"))))</f>
        <v>جيد</v>
      </c>
      <c r="T55" s="28" t="s">
        <v>200</v>
      </c>
      <c r="U55" s="29"/>
      <c r="V55" s="32">
        <f>SUM(E55,H55,K55,O55,R55)</f>
        <v>457.08</v>
      </c>
      <c r="W55" s="18" t="str">
        <f>IF(AND(H55&gt;=180,E55&gt;=120,O55&gt;=60,K55&gt;=60,R55&gt;=60,D55&gt;=30,N55&gt;=24),IF(V55&gt;=680,"ممتاز",IF(V55&gt;=600,"جيد جدا",IF(V55&gt;=520,"جيد",IF(V55&gt;=480,"مقبول","راسب")))),"راسب")</f>
        <v>راسب</v>
      </c>
      <c r="X55" s="19">
        <f>IF(AND(O55&gt;=60,R55&gt;=60,K55&gt;=60,H55&gt;=180,E55&gt;=120,D55&gt;=30,N55&gt;=24),(V55/800)*100%,0)</f>
        <v>0</v>
      </c>
    </row>
    <row r="56" spans="1:24" x14ac:dyDescent="0.35">
      <c r="A56" s="15">
        <v>47</v>
      </c>
      <c r="B56" s="23">
        <v>16468</v>
      </c>
      <c r="C56" s="23" t="s">
        <v>172</v>
      </c>
      <c r="D56" s="30">
        <v>39.75</v>
      </c>
      <c r="E56" s="30">
        <v>123.35</v>
      </c>
      <c r="F56" s="28" t="str">
        <f>IF(AND(D56&gt;=30),IF(E56&gt;=170,"ممتاز",IF(E56&gt;=150,"جيد جداً",IF(E56&gt;=130,"جيد",IF(E56&gt;=120,"مقبول","راسب")))),"راسب ")</f>
        <v>مقبول</v>
      </c>
      <c r="G56" s="28" t="s">
        <v>200</v>
      </c>
      <c r="H56" s="30">
        <v>180.5</v>
      </c>
      <c r="I56" s="18" t="str">
        <f>IF(H56&gt;=255,"ممتاز",IF(H56&gt;=225,"جيد جدا",IF(H56&gt;=195,"جيد",IF(H56&gt;=180,"مقبول","راسب"))))</f>
        <v>مقبول</v>
      </c>
      <c r="J56" s="28" t="s">
        <v>200</v>
      </c>
      <c r="K56" s="31">
        <v>75</v>
      </c>
      <c r="L56" s="28" t="str">
        <f>IF(K56&gt;=85,"ممتاز",IF(K56&gt;=75,"جيد جدا",IF(K56&gt;=65,"جيد",IF(K56&gt;=60,"مقبول","راسب"))))</f>
        <v>جيد جدا</v>
      </c>
      <c r="M56" s="28" t="s">
        <v>200</v>
      </c>
      <c r="N56" s="17">
        <v>26</v>
      </c>
      <c r="O56" s="37">
        <v>68.125</v>
      </c>
      <c r="P56" s="29" t="str">
        <f>IF(AND(N56&gt;=24),IF(O56&gt;=85,"ممتاز",IF(O56&gt;=75,"جيد جداً",IF(O56&gt;=65,"جيد",IF(O56&gt;=60,"مقبول","راسب")))),"راسب ")</f>
        <v>جيد</v>
      </c>
      <c r="Q56" s="28" t="s">
        <v>316</v>
      </c>
      <c r="R56" s="37">
        <v>68.75</v>
      </c>
      <c r="S56" s="29" t="str">
        <f>IF(R56&gt;=85,"ممتاز",IF(R56&gt;=75,"جيد جدا",IF(R56&gt;=65,"جيد",IF(R56&gt;=60,"مقبول","راسب"))))</f>
        <v>جيد</v>
      </c>
      <c r="T56" s="28" t="s">
        <v>316</v>
      </c>
      <c r="U56" s="29"/>
      <c r="V56" s="32">
        <f>SUM(E56,H56,K56,O56,R56)</f>
        <v>515.72500000000002</v>
      </c>
      <c r="W56" s="18" t="str">
        <f>IF(AND(H56&gt;=180,E56&gt;=120,O56&gt;=60,K56&gt;=60,R56&gt;=60,D56&gt;=30,N56&gt;=24),IF(V56&gt;=680,"ممتاز",IF(V56&gt;=600,"جيد جدا",IF(V56&gt;=520,"جيد",IF(V56&gt;=480,"مقبول","راسب")))),"راسب")</f>
        <v>مقبول</v>
      </c>
      <c r="X56" s="19">
        <f>IF(AND(O56&gt;=60,R56&gt;=60,K56&gt;=60,H56&gt;=180,E56&gt;=120,D56&gt;=30,N56&gt;=24),(V56/800)*100%,0)</f>
        <v>0.64465625000000004</v>
      </c>
    </row>
    <row r="57" spans="1:24" x14ac:dyDescent="0.35">
      <c r="A57" s="15">
        <v>48</v>
      </c>
      <c r="B57" s="23">
        <v>16544</v>
      </c>
      <c r="C57" s="23" t="s">
        <v>173</v>
      </c>
      <c r="D57" s="30">
        <v>39.799999999999997</v>
      </c>
      <c r="E57" s="30">
        <v>108.05</v>
      </c>
      <c r="F57" s="28" t="str">
        <f>IF(AND(D57&gt;=30),IF(E57&gt;=170,"ممتاز",IF(E57&gt;=150,"جيد جداً",IF(E57&gt;=130,"جيد",IF(E57&gt;=120,"مقبول","راسب")))),"راسب ")</f>
        <v>راسب</v>
      </c>
      <c r="G57" s="28" t="s">
        <v>316</v>
      </c>
      <c r="H57" s="30">
        <v>189.3</v>
      </c>
      <c r="I57" s="18" t="str">
        <f>IF(H57&gt;=255,"ممتاز",IF(H57&gt;=225,"جيد جدا",IF(H57&gt;=195,"جيد",IF(H57&gt;=180,"مقبول","راسب"))))</f>
        <v>مقبول</v>
      </c>
      <c r="J57" s="28" t="s">
        <v>200</v>
      </c>
      <c r="K57" s="31">
        <v>62.29</v>
      </c>
      <c r="L57" s="28" t="str">
        <f>IF(K57&gt;=85,"ممتاز",IF(K57&gt;=75,"جيد جدا",IF(K57&gt;=65,"جيد",IF(K57&gt;=60,"مقبول","راسب"))))</f>
        <v>مقبول</v>
      </c>
      <c r="M57" s="28" t="s">
        <v>200</v>
      </c>
      <c r="N57" s="17">
        <v>24</v>
      </c>
      <c r="O57" s="17">
        <v>65.63</v>
      </c>
      <c r="P57" s="29" t="str">
        <f>IF(AND(N57&gt;=24),IF(O57&gt;=85,"ممتاز",IF(O57&gt;=75,"جيد جداً",IF(O57&gt;=65,"جيد",IF(O57&gt;=60,"مقبول","راسب")))),"راسب ")</f>
        <v>جيد</v>
      </c>
      <c r="Q57" s="28" t="s">
        <v>200</v>
      </c>
      <c r="R57" s="37">
        <v>68.75</v>
      </c>
      <c r="S57" s="29" t="str">
        <f>IF(R57&gt;=85,"ممتاز",IF(R57&gt;=75,"جيد جدا",IF(R57&gt;=65,"جيد",IF(R57&gt;=60,"مقبول","راسب"))))</f>
        <v>جيد</v>
      </c>
      <c r="T57" s="28" t="s">
        <v>316</v>
      </c>
      <c r="U57" s="29"/>
      <c r="V57" s="32">
        <f>SUM(E57,H57,K57,O57,R57)</f>
        <v>494.02000000000004</v>
      </c>
      <c r="W57" s="18" t="str">
        <f>IF(AND(H57&gt;=180,E57&gt;=120,O57&gt;=60,K57&gt;=60,R57&gt;=60,D57&gt;=30,N57&gt;=24),IF(V57&gt;=680,"ممتاز",IF(V57&gt;=600,"جيد جدا",IF(V57&gt;=520,"جيد",IF(V57&gt;=480,"مقبول","راسب")))),"راسب")</f>
        <v>راسب</v>
      </c>
      <c r="X57" s="19">
        <f>IF(AND(O57&gt;=60,R57&gt;=60,K57&gt;=60,H57&gt;=180,E57&gt;=120,D57&gt;=30,N57&gt;=24),(V57/800)*100%,0)</f>
        <v>0</v>
      </c>
    </row>
    <row r="58" spans="1:24" x14ac:dyDescent="0.35">
      <c r="A58" s="15">
        <v>49</v>
      </c>
      <c r="B58" s="23">
        <v>21152</v>
      </c>
      <c r="C58" s="23" t="s">
        <v>311</v>
      </c>
      <c r="D58" s="30">
        <v>41</v>
      </c>
      <c r="E58" s="32">
        <v>138.80000000000001</v>
      </c>
      <c r="F58" s="28" t="str">
        <f>IF(AND(D58&gt;=30),IF(E58&gt;=170,"ممتاز",IF(E58&gt;=150,"جيد جداً",IF(E58&gt;=130,"جيد",IF(E58&gt;=120,"مقبول","راسب")))),"راسب ")</f>
        <v>جيد</v>
      </c>
      <c r="G58" s="28" t="s">
        <v>200</v>
      </c>
      <c r="H58" s="36">
        <v>156.66666666666669</v>
      </c>
      <c r="I58" s="18" t="str">
        <f>IF(H58&gt;=255,"ممتاز",IF(H58&gt;=225,"جيد جدا",IF(H58&gt;=195,"جيد",IF(H58&gt;=180,"مقبول","راسب"))))</f>
        <v>راسب</v>
      </c>
      <c r="J58" s="28" t="s">
        <v>316</v>
      </c>
      <c r="K58" s="31">
        <v>60</v>
      </c>
      <c r="L58" s="28" t="str">
        <f>IF(K58&gt;=85,"ممتاز",IF(K58&gt;=75,"جيد جدا",IF(K58&gt;=65,"جيد",IF(K58&gt;=60,"مقبول","راسب"))))</f>
        <v>مقبول</v>
      </c>
      <c r="M58" s="28" t="s">
        <v>200</v>
      </c>
      <c r="N58" s="17">
        <v>28</v>
      </c>
      <c r="O58" s="37">
        <v>62.5</v>
      </c>
      <c r="P58" s="29" t="str">
        <f>IF(AND(N58&gt;=24),IF(O58&gt;=85,"ممتاز",IF(O58&gt;=75,"جيد جداً",IF(O58&gt;=65,"جيد",IF(O58&gt;=60,"مقبول","راسب")))),"راسب ")</f>
        <v>مقبول</v>
      </c>
      <c r="Q58" s="28" t="s">
        <v>200</v>
      </c>
      <c r="R58" s="37">
        <v>68.75</v>
      </c>
      <c r="S58" s="29" t="str">
        <f>IF(R58&gt;=85,"ممتاز",IF(R58&gt;=75,"جيد جدا",IF(R58&gt;=65,"جيد",IF(R58&gt;=60,"مقبول","راسب"))))</f>
        <v>جيد</v>
      </c>
      <c r="T58" s="28" t="s">
        <v>316</v>
      </c>
      <c r="U58" s="29"/>
      <c r="V58" s="32">
        <f>SUM(E58,H58,K58,O58,R58)</f>
        <v>486.7166666666667</v>
      </c>
      <c r="W58" s="18" t="str">
        <f>IF(AND(H58&gt;=180,E58&gt;=120,O58&gt;=60,K58&gt;=60,R58&gt;=60,D58&gt;=30,N58&gt;=24),IF(V58&gt;=680,"ممتاز",IF(V58&gt;=600,"جيد جدا",IF(V58&gt;=520,"جيد",IF(V58&gt;=480,"مقبول","راسب")))),"راسب")</f>
        <v>راسب</v>
      </c>
      <c r="X58" s="19">
        <f>IF(AND(O58&gt;=60,R58&gt;=60,K58&gt;=60,H58&gt;=180,E58&gt;=120,D58&gt;=30,N58&gt;=24),(V58/800)*100%,0)</f>
        <v>0</v>
      </c>
    </row>
    <row r="59" spans="1:24" x14ac:dyDescent="0.35">
      <c r="A59" s="15">
        <v>50</v>
      </c>
      <c r="B59" s="21">
        <v>6097</v>
      </c>
      <c r="C59" s="21" t="s">
        <v>34</v>
      </c>
      <c r="D59" s="30">
        <v>39.75</v>
      </c>
      <c r="E59" s="30">
        <v>128.75</v>
      </c>
      <c r="F59" s="28" t="str">
        <f>IF(AND(D59&gt;=30),IF(E59&gt;=170,"ممتاز",IF(E59&gt;=150,"جيد جداً",IF(E59&gt;=130,"جيد",IF(E59&gt;=120,"مقبول","راسب")))),"راسب ")</f>
        <v>مقبول</v>
      </c>
      <c r="G59" s="28" t="s">
        <v>200</v>
      </c>
      <c r="H59" s="30">
        <v>195</v>
      </c>
      <c r="I59" s="18" t="str">
        <f>IF(H59&gt;=255,"ممتاز",IF(H59&gt;=225,"جيد جدا",IF(H59&gt;=195,"جيد",IF(H59&gt;=180,"مقبول","راسب"))))</f>
        <v>جيد</v>
      </c>
      <c r="J59" s="28" t="s">
        <v>200</v>
      </c>
      <c r="K59" s="31">
        <v>60</v>
      </c>
      <c r="L59" s="28" t="str">
        <f>IF(K59&gt;=85,"ممتاز",IF(K59&gt;=75,"جيد جدا",IF(K59&gt;=65,"جيد",IF(K59&gt;=60,"مقبول","راسب"))))</f>
        <v>مقبول</v>
      </c>
      <c r="M59" s="28" t="s">
        <v>200</v>
      </c>
      <c r="N59" s="17">
        <v>25</v>
      </c>
      <c r="O59" s="17">
        <v>65.63</v>
      </c>
      <c r="P59" s="29" t="str">
        <f>IF(AND(N59&gt;=24),IF(O59&gt;=85,"ممتاز",IF(O59&gt;=75,"جيد جداً",IF(O59&gt;=65,"جيد",IF(O59&gt;=60,"مقبول","راسب")))),"راسب ")</f>
        <v>جيد</v>
      </c>
      <c r="Q59" s="28" t="s">
        <v>200</v>
      </c>
      <c r="R59" s="37">
        <v>68.4375</v>
      </c>
      <c r="S59" s="29" t="str">
        <f>IF(R59&gt;=85,"ممتاز",IF(R59&gt;=75,"جيد جدا",IF(R59&gt;=65,"جيد",IF(R59&gt;=60,"مقبول","راسب"))))</f>
        <v>جيد</v>
      </c>
      <c r="T59" s="28" t="s">
        <v>316</v>
      </c>
      <c r="U59" s="29"/>
      <c r="V59" s="32">
        <f>SUM(E59,H59,K59,O59,R59)</f>
        <v>517.8175</v>
      </c>
      <c r="W59" s="18" t="str">
        <f>IF(AND(H59&gt;=180,E59&gt;=120,O59&gt;=60,K59&gt;=60,R59&gt;=60,D59&gt;=30,N59&gt;=24),IF(V59&gt;=680,"ممتاز",IF(V59&gt;=600,"جيد جدا",IF(V59&gt;=520,"جيد",IF(V59&gt;=480,"مقبول","راسب")))),"راسب")</f>
        <v>مقبول</v>
      </c>
      <c r="X59" s="19">
        <f>IF(AND(O59&gt;=60,R59&gt;=60,K59&gt;=60,H59&gt;=180,E59&gt;=120,D59&gt;=30,N59&gt;=24),(V59/800)*100%,0)</f>
        <v>0.64727187499999994</v>
      </c>
    </row>
    <row r="60" spans="1:24" x14ac:dyDescent="0.35">
      <c r="A60" s="15">
        <v>51</v>
      </c>
      <c r="B60" s="15">
        <v>6780</v>
      </c>
      <c r="C60" s="15" t="s">
        <v>38</v>
      </c>
      <c r="D60" s="30">
        <v>36</v>
      </c>
      <c r="E60" s="30">
        <v>130</v>
      </c>
      <c r="F60" s="28" t="str">
        <f>IF(AND(D60&gt;=30),IF(E60&gt;=170,"ممتاز",IF(E60&gt;=150,"جيد جداً",IF(E60&gt;=130,"جيد",IF(E60&gt;=120,"مقبول","راسب")))),"راسب ")</f>
        <v>جيد</v>
      </c>
      <c r="G60" s="28" t="s">
        <v>200</v>
      </c>
      <c r="H60" s="32">
        <v>229</v>
      </c>
      <c r="I60" s="18" t="str">
        <f>IF(H60&gt;=255,"ممتاز",IF(H60&gt;=225,"جيد جدا",IF(H60&gt;=195,"جيد",IF(H60&gt;=180,"مقبول","راسب"))))</f>
        <v>جيد جدا</v>
      </c>
      <c r="J60" s="28" t="s">
        <v>200</v>
      </c>
      <c r="K60" s="37">
        <v>0</v>
      </c>
      <c r="L60" s="28" t="str">
        <f>IF(K60&gt;=85,"ممتاز",IF(K60&gt;=75,"جيد جدا",IF(K60&gt;=65,"جيد",IF(K60&gt;=60,"مقبول","راسب"))))</f>
        <v>راسب</v>
      </c>
      <c r="M60" s="28" t="s">
        <v>315</v>
      </c>
      <c r="N60" s="17">
        <v>0</v>
      </c>
      <c r="O60" s="37">
        <v>0</v>
      </c>
      <c r="P60" s="29" t="str">
        <f>IF(AND(N60&gt;=24),IF(O60&gt;=85,"ممتاز",IF(O60&gt;=75,"جيد جداً",IF(O60&gt;=65,"جيد",IF(O60&gt;=60,"مقبول","راسب")))),"راسب ")</f>
        <v xml:space="preserve">راسب </v>
      </c>
      <c r="Q60" s="28" t="s">
        <v>315</v>
      </c>
      <c r="R60" s="30">
        <v>68</v>
      </c>
      <c r="S60" s="29" t="str">
        <f>IF(R60&gt;=85,"ممتاز",IF(R60&gt;=75,"جيد جدا",IF(R60&gt;=65,"جيد",IF(R60&gt;=60,"مقبول","راسب"))))</f>
        <v>جيد</v>
      </c>
      <c r="T60" s="28" t="s">
        <v>200</v>
      </c>
      <c r="U60" s="29"/>
      <c r="V60" s="32">
        <f>SUM(E60,H60,K60,O60,R60)</f>
        <v>427</v>
      </c>
      <c r="W60" s="18" t="str">
        <f>IF(AND(H60&gt;=180,E60&gt;=120,O60&gt;=60,K60&gt;=60,R60&gt;=60,D60&gt;=30,N60&gt;=24),IF(V60&gt;=680,"ممتاز",IF(V60&gt;=600,"جيد جدا",IF(V60&gt;=520,"جيد",IF(V60&gt;=480,"مقبول","راسب")))),"راسب")</f>
        <v>راسب</v>
      </c>
      <c r="X60" s="19">
        <f>IF(AND(O60&gt;=60,R60&gt;=60,K60&gt;=60,H60&gt;=180,E60&gt;=120,D60&gt;=30,N60&gt;=24),(V60/800)*100%,0)</f>
        <v>0</v>
      </c>
    </row>
    <row r="61" spans="1:24" x14ac:dyDescent="0.35">
      <c r="A61" s="15">
        <v>52</v>
      </c>
      <c r="B61" s="15">
        <v>16957</v>
      </c>
      <c r="C61" s="15" t="s">
        <v>132</v>
      </c>
      <c r="D61" s="30">
        <v>53</v>
      </c>
      <c r="E61" s="30">
        <v>135</v>
      </c>
      <c r="F61" s="28" t="str">
        <f>IF(AND(D61&gt;=30),IF(E61&gt;=170,"ممتاز",IF(E61&gt;=150,"جيد جداً",IF(E61&gt;=130,"جيد",IF(E61&gt;=120,"مقبول","راسب")))),"راسب ")</f>
        <v>جيد</v>
      </c>
      <c r="G61" s="28" t="s">
        <v>200</v>
      </c>
      <c r="H61" s="30">
        <v>181</v>
      </c>
      <c r="I61" s="18" t="str">
        <f>IF(H61&gt;=255,"ممتاز",IF(H61&gt;=225,"جيد جدا",IF(H61&gt;=195,"جيد",IF(H61&gt;=180,"مقبول","راسب"))))</f>
        <v>مقبول</v>
      </c>
      <c r="J61" s="28" t="s">
        <v>200</v>
      </c>
      <c r="K61" s="37">
        <v>0</v>
      </c>
      <c r="L61" s="28" t="str">
        <f>IF(K61&gt;=85,"ممتاز",IF(K61&gt;=75,"جيد جدا",IF(K61&gt;=65,"جيد",IF(K61&gt;=60,"مقبول","راسب"))))</f>
        <v>راسب</v>
      </c>
      <c r="M61" s="28" t="s">
        <v>315</v>
      </c>
      <c r="N61" s="17">
        <v>0</v>
      </c>
      <c r="O61" s="37">
        <v>0</v>
      </c>
      <c r="P61" s="29" t="str">
        <f>IF(AND(N61&gt;=24),IF(O61&gt;=85,"ممتاز",IF(O61&gt;=75,"جيد جداً",IF(O61&gt;=65,"جيد",IF(O61&gt;=60,"مقبول","راسب")))),"راسب ")</f>
        <v xml:space="preserve">راسب </v>
      </c>
      <c r="Q61" s="28" t="s">
        <v>315</v>
      </c>
      <c r="R61" s="30">
        <v>68</v>
      </c>
      <c r="S61" s="29" t="str">
        <f>IF(R61&gt;=85,"ممتاز",IF(R61&gt;=75,"جيد جدا",IF(R61&gt;=65,"جيد",IF(R61&gt;=60,"مقبول","راسب"))))</f>
        <v>جيد</v>
      </c>
      <c r="T61" s="28" t="s">
        <v>200</v>
      </c>
      <c r="U61" s="29"/>
      <c r="V61" s="32">
        <f>SUM(E61,H61,K61,O61,R61)</f>
        <v>384</v>
      </c>
      <c r="W61" s="18" t="str">
        <f>IF(AND(H61&gt;=180,E61&gt;=120,O61&gt;=60,K61&gt;=60,R61&gt;=60,D61&gt;=30,N61&gt;=24),IF(V61&gt;=680,"ممتاز",IF(V61&gt;=600,"جيد جدا",IF(V61&gt;=520,"جيد",IF(V61&gt;=480,"مقبول","راسب")))),"راسب")</f>
        <v>راسب</v>
      </c>
      <c r="X61" s="19">
        <f>IF(AND(O61&gt;=60,R61&gt;=60,K61&gt;=60,H61&gt;=180,E61&gt;=120,D61&gt;=30,N61&gt;=24),(V61/800)*100%,0)</f>
        <v>0</v>
      </c>
    </row>
    <row r="62" spans="1:24" x14ac:dyDescent="0.35">
      <c r="A62" s="15">
        <v>53</v>
      </c>
      <c r="B62" s="15">
        <v>16766</v>
      </c>
      <c r="C62" s="15" t="s">
        <v>241</v>
      </c>
      <c r="D62" s="30">
        <v>45.75</v>
      </c>
      <c r="E62" s="32">
        <v>158.55000000000001</v>
      </c>
      <c r="F62" s="28" t="str">
        <f>IF(AND(D62&gt;=30),IF(E62&gt;=170,"ممتاز",IF(E62&gt;=150,"جيد جداً",IF(E62&gt;=130,"جيد",IF(E62&gt;=120,"مقبول","راسب")))),"راسب ")</f>
        <v>جيد جداً</v>
      </c>
      <c r="G62" s="28" t="s">
        <v>200</v>
      </c>
      <c r="H62" s="36">
        <v>217</v>
      </c>
      <c r="I62" s="18" t="str">
        <f>IF(H62&gt;=255,"ممتاز",IF(H62&gt;=225,"جيد جدا",IF(H62&gt;=195,"جيد",IF(H62&gt;=180,"مقبول","راسب"))))</f>
        <v>جيد</v>
      </c>
      <c r="J62" s="28" t="s">
        <v>200</v>
      </c>
      <c r="K62" s="37">
        <v>71</v>
      </c>
      <c r="L62" s="28" t="str">
        <f>IF(K62&gt;=85,"ممتاز",IF(K62&gt;=75,"جيد جدا",IF(K62&gt;=65,"جيد",IF(K62&gt;=60,"مقبول","راسب"))))</f>
        <v>جيد</v>
      </c>
      <c r="M62" s="28" t="s">
        <v>200</v>
      </c>
      <c r="N62" s="17">
        <v>0</v>
      </c>
      <c r="O62" s="37">
        <v>0</v>
      </c>
      <c r="P62" s="29" t="str">
        <f>IF(AND(N62&gt;=24),IF(O62&gt;=85,"ممتاز",IF(O62&gt;=75,"جيد جداً",IF(O62&gt;=65,"جيد",IF(O62&gt;=60,"مقبول","راسب")))),"راسب ")</f>
        <v xml:space="preserve">راسب </v>
      </c>
      <c r="Q62" s="28" t="s">
        <v>315</v>
      </c>
      <c r="R62" s="37">
        <v>67.75</v>
      </c>
      <c r="S62" s="29" t="str">
        <f>IF(R62&gt;=85,"ممتاز",IF(R62&gt;=75,"جيد جدا",IF(R62&gt;=65,"جيد",IF(R62&gt;=60,"مقبول","راسب"))))</f>
        <v>جيد</v>
      </c>
      <c r="T62" s="28" t="s">
        <v>200</v>
      </c>
      <c r="U62" s="29"/>
      <c r="V62" s="32">
        <f>SUM(E62,H62,K62,O62,R62)</f>
        <v>514.29999999999995</v>
      </c>
      <c r="W62" s="18" t="str">
        <f>IF(AND(H62&gt;=180,E62&gt;=120,O62&gt;=60,K62&gt;=60,R62&gt;=60,D62&gt;=30,N62&gt;=24),IF(V62&gt;=680,"ممتاز",IF(V62&gt;=600,"جيد جدا",IF(V62&gt;=520,"جيد",IF(V62&gt;=480,"مقبول","راسب")))),"راسب")</f>
        <v>راسب</v>
      </c>
      <c r="X62" s="19">
        <f>IF(AND(O62&gt;=60,R62&gt;=60,K62&gt;=60,H62&gt;=180,E62&gt;=120,D62&gt;=30,N62&gt;=24),(V62/800)*100%,0)</f>
        <v>0</v>
      </c>
    </row>
    <row r="63" spans="1:24" x14ac:dyDescent="0.35">
      <c r="A63" s="15">
        <v>54</v>
      </c>
      <c r="B63" s="15">
        <v>8837</v>
      </c>
      <c r="C63" s="15" t="s">
        <v>202</v>
      </c>
      <c r="D63" s="30">
        <v>36.6</v>
      </c>
      <c r="E63" s="30">
        <v>123.1</v>
      </c>
      <c r="F63" s="28" t="str">
        <f>IF(AND(D63&gt;=30),IF(E63&gt;=170,"ممتاز",IF(E63&gt;=150,"جيد جداً",IF(E63&gt;=130,"جيد",IF(E63&gt;=120,"مقبول","راسب")))),"راسب ")</f>
        <v>مقبول</v>
      </c>
      <c r="G63" s="28" t="s">
        <v>316</v>
      </c>
      <c r="H63" s="36">
        <v>180</v>
      </c>
      <c r="I63" s="18" t="str">
        <f>IF(H63&gt;=255,"ممتاز",IF(H63&gt;=225,"جيد جدا",IF(H63&gt;=195,"جيد",IF(H63&gt;=180,"مقبول","راسب"))))</f>
        <v>مقبول</v>
      </c>
      <c r="J63" s="28" t="s">
        <v>200</v>
      </c>
      <c r="K63" s="37">
        <v>80.56</v>
      </c>
      <c r="L63" s="28" t="str">
        <f>IF(K63&gt;=85,"ممتاز",IF(K63&gt;=75,"جيد جدا",IF(K63&gt;=65,"جيد",IF(K63&gt;=60,"مقبول","راسب"))))</f>
        <v>جيد جدا</v>
      </c>
      <c r="M63" s="28" t="s">
        <v>200</v>
      </c>
      <c r="N63" s="17">
        <v>32</v>
      </c>
      <c r="O63" s="37">
        <v>78.125</v>
      </c>
      <c r="P63" s="29" t="str">
        <f>IF(AND(N63&gt;=24),IF(O63&gt;=85,"ممتاز",IF(O63&gt;=75,"جيد جداً",IF(O63&gt;=65,"جيد",IF(O63&gt;=60,"مقبول","راسب")))),"راسب ")</f>
        <v>جيد جداً</v>
      </c>
      <c r="Q63" s="28" t="s">
        <v>316</v>
      </c>
      <c r="R63" s="37">
        <v>67.5</v>
      </c>
      <c r="S63" s="29" t="str">
        <f>IF(R63&gt;=85,"ممتاز",IF(R63&gt;=75,"جيد جدا",IF(R63&gt;=65,"جيد",IF(R63&gt;=60,"مقبول","راسب"))))</f>
        <v>جيد</v>
      </c>
      <c r="T63" s="28" t="s">
        <v>316</v>
      </c>
      <c r="U63" s="29"/>
      <c r="V63" s="32">
        <f>SUM(E63,H63,K63,O63,R63)</f>
        <v>529.28500000000008</v>
      </c>
      <c r="W63" s="18" t="str">
        <f>IF(AND(H63&gt;=180,E63&gt;=120,O63&gt;=60,K63&gt;=60,R63&gt;=60,D63&gt;=30,N63&gt;=24),IF(V63&gt;=680,"ممتاز",IF(V63&gt;=600,"جيد جدا",IF(V63&gt;=520,"جيد",IF(V63&gt;=480,"مقبول","راسب")))),"راسب")</f>
        <v>جيد</v>
      </c>
      <c r="X63" s="19">
        <f>IF(AND(O63&gt;=60,R63&gt;=60,K63&gt;=60,H63&gt;=180,E63&gt;=120,D63&gt;=30,N63&gt;=24),(V63/800)*100%,0)</f>
        <v>0.66160625000000006</v>
      </c>
    </row>
    <row r="64" spans="1:24" x14ac:dyDescent="0.35">
      <c r="A64" s="15">
        <v>55</v>
      </c>
      <c r="B64" s="23">
        <v>16163</v>
      </c>
      <c r="C64" s="23" t="s">
        <v>124</v>
      </c>
      <c r="D64" s="30">
        <v>44</v>
      </c>
      <c r="E64" s="30">
        <v>139</v>
      </c>
      <c r="F64" s="28" t="str">
        <f>IF(AND(D64&gt;=30),IF(E64&gt;=170,"ممتاز",IF(E64&gt;=150,"جيد جداً",IF(E64&gt;=130,"جيد",IF(E64&gt;=120,"مقبول","راسب")))),"راسب ")</f>
        <v>جيد</v>
      </c>
      <c r="G64" s="28" t="s">
        <v>200</v>
      </c>
      <c r="H64" s="36">
        <v>70</v>
      </c>
      <c r="I64" s="18" t="str">
        <f>IF(H64&gt;=255,"ممتاز",IF(H64&gt;=225,"جيد جدا",IF(H64&gt;=195,"جيد",IF(H64&gt;=180,"مقبول","راسب"))))</f>
        <v>راسب</v>
      </c>
      <c r="J64" s="28" t="s">
        <v>316</v>
      </c>
      <c r="K64" s="31">
        <v>66</v>
      </c>
      <c r="L64" s="28" t="str">
        <f>IF(K64&gt;=85,"ممتاز",IF(K64&gt;=75,"جيد جدا",IF(K64&gt;=65,"جيد",IF(K64&gt;=60,"مقبول","راسب"))))</f>
        <v>جيد</v>
      </c>
      <c r="M64" s="28" t="s">
        <v>200</v>
      </c>
      <c r="N64" s="17">
        <v>36</v>
      </c>
      <c r="O64" s="37">
        <v>87.5</v>
      </c>
      <c r="P64" s="29" t="str">
        <f>IF(AND(N64&gt;=24),IF(O64&gt;=85,"ممتاز",IF(O64&gt;=75,"جيد جداً",IF(O64&gt;=65,"جيد",IF(O64&gt;=60,"مقبول","راسب")))),"راسب ")</f>
        <v>ممتاز</v>
      </c>
      <c r="Q64" s="28" t="s">
        <v>316</v>
      </c>
      <c r="R64" s="30">
        <v>67.5</v>
      </c>
      <c r="S64" s="29" t="str">
        <f>IF(R64&gt;=85,"ممتاز",IF(R64&gt;=75,"جيد جدا",IF(R64&gt;=65,"جيد",IF(R64&gt;=60,"مقبول","راسب"))))</f>
        <v>جيد</v>
      </c>
      <c r="T64" s="28" t="s">
        <v>200</v>
      </c>
      <c r="U64" s="29"/>
      <c r="V64" s="32">
        <f>SUM(E64,H64,K64,O64,R64)</f>
        <v>430</v>
      </c>
      <c r="W64" s="18" t="str">
        <f>IF(AND(H64&gt;=180,E64&gt;=120,O64&gt;=60,K64&gt;=60,R64&gt;=60,D64&gt;=30,N64&gt;=24),IF(V64&gt;=680,"ممتاز",IF(V64&gt;=600,"جيد جدا",IF(V64&gt;=520,"جيد",IF(V64&gt;=480,"مقبول","راسب")))),"راسب")</f>
        <v>راسب</v>
      </c>
      <c r="X64" s="19">
        <f>IF(AND(O64&gt;=60,R64&gt;=60,K64&gt;=60,H64&gt;=180,E64&gt;=120,D64&gt;=30,N64&gt;=24),(V64/800)*100%,0)</f>
        <v>0</v>
      </c>
    </row>
    <row r="65" spans="1:24" x14ac:dyDescent="0.35">
      <c r="A65" s="15">
        <v>56</v>
      </c>
      <c r="B65" s="15">
        <v>17108</v>
      </c>
      <c r="C65" s="15" t="s">
        <v>245</v>
      </c>
      <c r="D65" s="30">
        <v>38.75</v>
      </c>
      <c r="E65" s="32">
        <v>146.4</v>
      </c>
      <c r="F65" s="28" t="str">
        <f>IF(AND(D65&gt;=30),IF(E65&gt;=170,"ممتاز",IF(E65&gt;=150,"جيد جداً",IF(E65&gt;=130,"جيد",IF(E65&gt;=120,"مقبول","راسب")))),"راسب ")</f>
        <v>جيد</v>
      </c>
      <c r="G65" s="28" t="s">
        <v>200</v>
      </c>
      <c r="H65" s="36">
        <v>180</v>
      </c>
      <c r="I65" s="18" t="str">
        <f>IF(H65&gt;=255,"ممتاز",IF(H65&gt;=225,"جيد جدا",IF(H65&gt;=195,"جيد",IF(H65&gt;=180,"مقبول","راسب"))))</f>
        <v>مقبول</v>
      </c>
      <c r="J65" s="28" t="s">
        <v>200</v>
      </c>
      <c r="K65" s="37">
        <v>70.86</v>
      </c>
      <c r="L65" s="28" t="str">
        <f>IF(K65&gt;=85,"ممتاز",IF(K65&gt;=75,"جيد جدا",IF(K65&gt;=65,"جيد",IF(K65&gt;=60,"مقبول","راسب"))))</f>
        <v>جيد</v>
      </c>
      <c r="M65" s="28" t="s">
        <v>200</v>
      </c>
      <c r="N65" s="17">
        <v>30</v>
      </c>
      <c r="O65" s="37">
        <v>64.5</v>
      </c>
      <c r="P65" s="29" t="str">
        <f>IF(AND(N65&gt;=24),IF(O65&gt;=85,"ممتاز",IF(O65&gt;=75,"جيد جداً",IF(O65&gt;=65,"جيد",IF(O65&gt;=60,"مقبول","راسب")))),"راسب ")</f>
        <v>مقبول</v>
      </c>
      <c r="Q65" s="28" t="s">
        <v>200</v>
      </c>
      <c r="R65" s="37">
        <v>67.5</v>
      </c>
      <c r="S65" s="29" t="str">
        <f>IF(R65&gt;=85,"ممتاز",IF(R65&gt;=75,"جيد جدا",IF(R65&gt;=65,"جيد",IF(R65&gt;=60,"مقبول","راسب"))))</f>
        <v>جيد</v>
      </c>
      <c r="T65" s="28" t="s">
        <v>316</v>
      </c>
      <c r="U65" s="29"/>
      <c r="V65" s="32">
        <f>SUM(E65,H65,K65,O65,R65)</f>
        <v>529.26</v>
      </c>
      <c r="W65" s="18" t="str">
        <f>IF(AND(H65&gt;=180,E65&gt;=120,O65&gt;=60,K65&gt;=60,R65&gt;=60,D65&gt;=30,N65&gt;=24),IF(V65&gt;=680,"ممتاز",IF(V65&gt;=600,"جيد جدا",IF(V65&gt;=520,"جيد",IF(V65&gt;=480,"مقبول","راسب")))),"راسب")</f>
        <v>جيد</v>
      </c>
      <c r="X65" s="19">
        <f>IF(AND(O65&gt;=60,R65&gt;=60,K65&gt;=60,H65&gt;=180,E65&gt;=120,D65&gt;=30,N65&gt;=24),(V65/800)*100%,0)</f>
        <v>0.66157500000000002</v>
      </c>
    </row>
    <row r="66" spans="1:24" x14ac:dyDescent="0.35">
      <c r="A66" s="15">
        <v>57</v>
      </c>
      <c r="B66" s="15">
        <v>17278</v>
      </c>
      <c r="C66" s="15" t="s">
        <v>249</v>
      </c>
      <c r="D66" s="30">
        <v>50</v>
      </c>
      <c r="E66" s="30">
        <v>169</v>
      </c>
      <c r="F66" s="28" t="str">
        <f>IF(AND(D66&gt;=30),IF(E66&gt;=170,"ممتاز",IF(E66&gt;=150,"جيد جداً",IF(E66&gt;=130,"جيد",IF(E66&gt;=120,"مقبول","راسب")))),"راسب ")</f>
        <v>جيد جداً</v>
      </c>
      <c r="G66" s="28" t="s">
        <v>316</v>
      </c>
      <c r="H66" s="36">
        <v>256</v>
      </c>
      <c r="I66" s="18" t="str">
        <f>IF(H66&gt;=255,"ممتاز",IF(H66&gt;=225,"جيد جدا",IF(H66&gt;=195,"جيد",IF(H66&gt;=180,"مقبول","راسب"))))</f>
        <v>ممتاز</v>
      </c>
      <c r="J66" s="28" t="s">
        <v>200</v>
      </c>
      <c r="K66" s="37">
        <v>86.15</v>
      </c>
      <c r="L66" s="28" t="str">
        <f>IF(K66&gt;=85,"ممتاز",IF(K66&gt;=75,"جيد جدا",IF(K66&gt;=65,"جيد",IF(K66&gt;=60,"مقبول","راسب"))))</f>
        <v>ممتاز</v>
      </c>
      <c r="M66" s="28" t="s">
        <v>200</v>
      </c>
      <c r="N66" s="17">
        <v>26</v>
      </c>
      <c r="O66" s="37">
        <v>76.875</v>
      </c>
      <c r="P66" s="29" t="str">
        <f>IF(AND(N66&gt;=24),IF(O66&gt;=85,"ممتاز",IF(O66&gt;=75,"جيد جداً",IF(O66&gt;=65,"جيد",IF(O66&gt;=60,"مقبول","راسب")))),"راسب ")</f>
        <v>جيد جداً</v>
      </c>
      <c r="Q66" s="28" t="s">
        <v>316</v>
      </c>
      <c r="R66" s="37">
        <v>67.25</v>
      </c>
      <c r="S66" s="29" t="str">
        <f>IF(R66&gt;=85,"ممتاز",IF(R66&gt;=75,"جيد جدا",IF(R66&gt;=65,"جيد",IF(R66&gt;=60,"مقبول","راسب"))))</f>
        <v>جيد</v>
      </c>
      <c r="T66" s="28" t="s">
        <v>200</v>
      </c>
      <c r="U66" s="29"/>
      <c r="V66" s="32">
        <f>SUM(E66,H66,K66,O66,R66)</f>
        <v>655.27499999999998</v>
      </c>
      <c r="W66" s="18" t="str">
        <f>IF(AND(H66&gt;=180,E66&gt;=120,O66&gt;=60,K66&gt;=60,R66&gt;=60,D66&gt;=30,N66&gt;=24),IF(V66&gt;=680,"ممتاز",IF(V66&gt;=600,"جيد جدا",IF(V66&gt;=520,"جيد",IF(V66&gt;=480,"مقبول","راسب")))),"راسب")</f>
        <v>جيد جدا</v>
      </c>
      <c r="X66" s="19">
        <f>IF(AND(O66&gt;=60,R66&gt;=60,K66&gt;=60,H66&gt;=180,E66&gt;=120,D66&gt;=30,N66&gt;=24),(V66/800)*100%,0)</f>
        <v>0.81909374999999995</v>
      </c>
    </row>
    <row r="67" spans="1:24" x14ac:dyDescent="0.35">
      <c r="A67" s="15">
        <v>58</v>
      </c>
      <c r="B67" s="23">
        <v>19003</v>
      </c>
      <c r="C67" s="23" t="s">
        <v>284</v>
      </c>
      <c r="D67" s="30">
        <v>38.5</v>
      </c>
      <c r="E67" s="32">
        <v>131.65</v>
      </c>
      <c r="F67" s="28" t="str">
        <f>IF(AND(D67&gt;=30),IF(E67&gt;=170,"ممتاز",IF(E67&gt;=150,"جيد جداً",IF(E67&gt;=130,"جيد",IF(E67&gt;=120,"مقبول","راسب")))),"راسب ")</f>
        <v>جيد</v>
      </c>
      <c r="G67" s="28" t="s">
        <v>200</v>
      </c>
      <c r="H67" s="36">
        <v>180</v>
      </c>
      <c r="I67" s="18" t="str">
        <f>IF(H67&gt;=255,"ممتاز",IF(H67&gt;=225,"جيد جدا",IF(H67&gt;=195,"جيد",IF(H67&gt;=180,"مقبول","راسب"))))</f>
        <v>مقبول</v>
      </c>
      <c r="J67" s="28" t="s">
        <v>200</v>
      </c>
      <c r="K67" s="37">
        <v>74.08</v>
      </c>
      <c r="L67" s="28" t="str">
        <f>IF(K67&gt;=85,"ممتاز",IF(K67&gt;=75,"جيد جدا",IF(K67&gt;=65,"جيد",IF(K67&gt;=60,"مقبول","راسب"))))</f>
        <v>جيد</v>
      </c>
      <c r="M67" s="28" t="s">
        <v>200</v>
      </c>
      <c r="N67" s="17">
        <v>24</v>
      </c>
      <c r="O67" s="37">
        <v>60</v>
      </c>
      <c r="P67" s="29" t="str">
        <f>IF(AND(N67&gt;=24),IF(O67&gt;=85,"ممتاز",IF(O67&gt;=75,"جيد جداً",IF(O67&gt;=65,"جيد",IF(O67&gt;=60,"مقبول","راسب")))),"راسب ")</f>
        <v>مقبول</v>
      </c>
      <c r="Q67" s="28" t="s">
        <v>316</v>
      </c>
      <c r="R67" s="37">
        <v>67.1875</v>
      </c>
      <c r="S67" s="29" t="str">
        <f>IF(R67&gt;=85,"ممتاز",IF(R67&gt;=75,"جيد جدا",IF(R67&gt;=65,"جيد",IF(R67&gt;=60,"مقبول","راسب"))))</f>
        <v>جيد</v>
      </c>
      <c r="T67" s="28" t="s">
        <v>316</v>
      </c>
      <c r="U67" s="29"/>
      <c r="V67" s="32">
        <f>SUM(E67,H67,K67,O67,R67)</f>
        <v>512.91750000000002</v>
      </c>
      <c r="W67" s="18" t="str">
        <f>IF(AND(H67&gt;=180,E67&gt;=120,O67&gt;=60,K67&gt;=60,R67&gt;=60,D67&gt;=30,N67&gt;=24),IF(V67&gt;=680,"ممتاز",IF(V67&gt;=600,"جيد جدا",IF(V67&gt;=520,"جيد",IF(V67&gt;=480,"مقبول","راسب")))),"راسب")</f>
        <v>مقبول</v>
      </c>
      <c r="X67" s="19">
        <f>IF(AND(O67&gt;=60,R67&gt;=60,K67&gt;=60,H67&gt;=180,E67&gt;=120,D67&gt;=30,N67&gt;=24),(V67/800)*100%,0)</f>
        <v>0.641146875</v>
      </c>
    </row>
    <row r="68" spans="1:24" x14ac:dyDescent="0.35">
      <c r="A68" s="15">
        <v>59</v>
      </c>
      <c r="B68" s="15">
        <v>19079</v>
      </c>
      <c r="C68" s="15" t="s">
        <v>286</v>
      </c>
      <c r="D68" s="30">
        <v>43.5</v>
      </c>
      <c r="E68" s="30">
        <v>125.5</v>
      </c>
      <c r="F68" s="28" t="str">
        <f>IF(AND(D68&gt;=30),IF(E68&gt;=170,"ممتاز",IF(E68&gt;=150,"جيد جداً",IF(E68&gt;=130,"جيد",IF(E68&gt;=120,"مقبول","راسب")))),"راسب ")</f>
        <v>مقبول</v>
      </c>
      <c r="G68" s="28" t="s">
        <v>316</v>
      </c>
      <c r="H68" s="36">
        <v>185</v>
      </c>
      <c r="I68" s="18" t="str">
        <f>IF(H68&gt;=255,"ممتاز",IF(H68&gt;=225,"جيد جدا",IF(H68&gt;=195,"جيد",IF(H68&gt;=180,"مقبول","راسب"))))</f>
        <v>مقبول</v>
      </c>
      <c r="J68" s="28" t="s">
        <v>316</v>
      </c>
      <c r="K68" s="37">
        <v>62</v>
      </c>
      <c r="L68" s="28" t="str">
        <f>IF(K68&gt;=85,"ممتاز",IF(K68&gt;=75,"جيد جدا",IF(K68&gt;=65,"جيد",IF(K68&gt;=60,"مقبول","راسب"))))</f>
        <v>مقبول</v>
      </c>
      <c r="M68" s="28" t="s">
        <v>316</v>
      </c>
      <c r="N68" s="17">
        <v>28</v>
      </c>
      <c r="O68" s="37">
        <v>68.75</v>
      </c>
      <c r="P68" s="29" t="str">
        <f>IF(AND(N68&gt;=24),IF(O68&gt;=85,"ممتاز",IF(O68&gt;=75,"جيد جداً",IF(O68&gt;=65,"جيد",IF(O68&gt;=60,"مقبول","راسب")))),"راسب ")</f>
        <v>جيد</v>
      </c>
      <c r="Q68" s="28" t="s">
        <v>316</v>
      </c>
      <c r="R68" s="37">
        <v>67.1875</v>
      </c>
      <c r="S68" s="29" t="str">
        <f>IF(R68&gt;=85,"ممتاز",IF(R68&gt;=75,"جيد جدا",IF(R68&gt;=65,"جيد",IF(R68&gt;=60,"مقبول","راسب"))))</f>
        <v>جيد</v>
      </c>
      <c r="T68" s="28" t="s">
        <v>316</v>
      </c>
      <c r="U68" s="29"/>
      <c r="V68" s="32">
        <f>SUM(E68,H68,K68,O68,R68)</f>
        <v>508.4375</v>
      </c>
      <c r="W68" s="18" t="str">
        <f>IF(AND(H68&gt;=180,E68&gt;=120,O68&gt;=60,K68&gt;=60,R68&gt;=60,D68&gt;=30,N68&gt;=24),IF(V68&gt;=680,"ممتاز",IF(V68&gt;=600,"جيد جدا",IF(V68&gt;=520,"جيد",IF(V68&gt;=480,"مقبول","راسب")))),"راسب")</f>
        <v>مقبول</v>
      </c>
      <c r="X68" s="19">
        <f>IF(AND(O68&gt;=60,R68&gt;=60,K68&gt;=60,H68&gt;=180,E68&gt;=120,D68&gt;=30,N68&gt;=24),(V68/800)*100%,0)</f>
        <v>0.63554687499999996</v>
      </c>
    </row>
    <row r="69" spans="1:24" x14ac:dyDescent="0.35">
      <c r="A69" s="15">
        <v>60</v>
      </c>
      <c r="B69" s="15">
        <v>11239</v>
      </c>
      <c r="C69" s="15" t="s">
        <v>71</v>
      </c>
      <c r="D69" s="30">
        <v>47</v>
      </c>
      <c r="E69" s="30">
        <v>125.5</v>
      </c>
      <c r="F69" s="28" t="str">
        <f>IF(AND(D69&gt;=30),IF(E69&gt;=170,"ممتاز",IF(E69&gt;=150,"جيد جداً",IF(E69&gt;=130,"جيد",IF(E69&gt;=120,"مقبول","راسب")))),"راسب ")</f>
        <v>مقبول</v>
      </c>
      <c r="G69" s="28" t="s">
        <v>200</v>
      </c>
      <c r="H69" s="36">
        <v>0</v>
      </c>
      <c r="I69" s="18" t="str">
        <f>IF(H69&gt;=255,"ممتاز",IF(H69&gt;=225,"جيد جدا",IF(H69&gt;=195,"جيد",IF(H69&gt;=180,"مقبول","راسب"))))</f>
        <v>راسب</v>
      </c>
      <c r="J69" s="28" t="s">
        <v>315</v>
      </c>
      <c r="K69" s="37">
        <v>0</v>
      </c>
      <c r="L69" s="28" t="str">
        <f>IF(K69&gt;=85,"ممتاز",IF(K69&gt;=75,"جيد جدا",IF(K69&gt;=65,"جيد",IF(K69&gt;=60,"مقبول","راسب"))))</f>
        <v>راسب</v>
      </c>
      <c r="M69" s="28" t="s">
        <v>315</v>
      </c>
      <c r="N69" s="17">
        <v>0</v>
      </c>
      <c r="O69" s="37">
        <v>0</v>
      </c>
      <c r="P69" s="29" t="str">
        <f>IF(AND(N69&gt;=24),IF(O69&gt;=85,"ممتاز",IF(O69&gt;=75,"جيد جداً",IF(O69&gt;=65,"جيد",IF(O69&gt;=60,"مقبول","راسب")))),"راسب ")</f>
        <v xml:space="preserve">راسب </v>
      </c>
      <c r="Q69" s="28" t="s">
        <v>315</v>
      </c>
      <c r="R69" s="37">
        <v>66.875</v>
      </c>
      <c r="S69" s="29" t="str">
        <f>IF(R69&gt;=85,"ممتاز",IF(R69&gt;=75,"جيد جدا",IF(R69&gt;=65,"جيد",IF(R69&gt;=60,"مقبول","راسب"))))</f>
        <v>جيد</v>
      </c>
      <c r="T69" s="28" t="s">
        <v>316</v>
      </c>
      <c r="U69" s="29"/>
      <c r="V69" s="32">
        <f>SUM(E69,H69,K69,O69,R69)</f>
        <v>192.375</v>
      </c>
      <c r="W69" s="18" t="str">
        <f>IF(AND(H69&gt;=180,E69&gt;=120,O69&gt;=60,K69&gt;=60,R69&gt;=60,D69&gt;=30,N69&gt;=24),IF(V69&gt;=680,"ممتاز",IF(V69&gt;=600,"جيد جدا",IF(V69&gt;=520,"جيد",IF(V69&gt;=480,"مقبول","راسب")))),"راسب")</f>
        <v>راسب</v>
      </c>
      <c r="X69" s="19">
        <f>IF(AND(O69&gt;=60,R69&gt;=60,K69&gt;=60,H69&gt;=180,E69&gt;=120,D69&gt;=30,N69&gt;=24),(V69/800)*100%,0)</f>
        <v>0</v>
      </c>
    </row>
    <row r="70" spans="1:24" x14ac:dyDescent="0.35">
      <c r="A70" s="15">
        <v>61</v>
      </c>
      <c r="B70" s="23">
        <v>17544</v>
      </c>
      <c r="C70" s="23" t="s">
        <v>182</v>
      </c>
      <c r="D70" s="30">
        <v>38.5</v>
      </c>
      <c r="E70" s="30">
        <v>144.30000000000001</v>
      </c>
      <c r="F70" s="28" t="str">
        <f>IF(AND(D70&gt;=30),IF(E70&gt;=170,"ممتاز",IF(E70&gt;=150,"جيد جداً",IF(E70&gt;=130,"جيد",IF(E70&gt;=120,"مقبول","راسب")))),"راسب ")</f>
        <v>جيد</v>
      </c>
      <c r="G70" s="28" t="s">
        <v>200</v>
      </c>
      <c r="H70" s="32">
        <v>217.5</v>
      </c>
      <c r="I70" s="18" t="str">
        <f>IF(H70&gt;=255,"ممتاز",IF(H70&gt;=225,"جيد جدا",IF(H70&gt;=195,"جيد",IF(H70&gt;=180,"مقبول","راسب"))))</f>
        <v>جيد</v>
      </c>
      <c r="J70" s="28" t="s">
        <v>200</v>
      </c>
      <c r="K70" s="32">
        <v>65.5</v>
      </c>
      <c r="L70" s="28" t="str">
        <f>IF(K70&gt;=85,"ممتاز",IF(K70&gt;=75,"جيد جدا",IF(K70&gt;=65,"جيد",IF(K70&gt;=60,"مقبول","راسب"))))</f>
        <v>جيد</v>
      </c>
      <c r="M70" s="28" t="s">
        <v>200</v>
      </c>
      <c r="N70" s="17">
        <v>24</v>
      </c>
      <c r="O70" s="37">
        <v>74.375</v>
      </c>
      <c r="P70" s="29" t="str">
        <f>IF(AND(N70&gt;=24),IF(O70&gt;=85,"ممتاز",IF(O70&gt;=75,"جيد جداً",IF(O70&gt;=65,"جيد",IF(O70&gt;=60,"مقبول","راسب")))),"راسب ")</f>
        <v>جيد</v>
      </c>
      <c r="Q70" s="28" t="s">
        <v>316</v>
      </c>
      <c r="R70" s="32">
        <v>66.75</v>
      </c>
      <c r="S70" s="29" t="str">
        <f>IF(R70&gt;=85,"ممتاز",IF(R70&gt;=75,"جيد جدا",IF(R70&gt;=65,"جيد",IF(R70&gt;=60,"مقبول","راسب"))))</f>
        <v>جيد</v>
      </c>
      <c r="T70" s="28" t="s">
        <v>200</v>
      </c>
      <c r="U70" s="29"/>
      <c r="V70" s="32">
        <f>SUM(E70,H70,K70,O70,R70)</f>
        <v>568.42499999999995</v>
      </c>
      <c r="W70" s="18" t="str">
        <f>IF(AND(H70&gt;=180,E70&gt;=120,O70&gt;=60,K70&gt;=60,R70&gt;=60,D70&gt;=30,N70&gt;=24),IF(V70&gt;=680,"ممتاز",IF(V70&gt;=600,"جيد جدا",IF(V70&gt;=520,"جيد",IF(V70&gt;=480,"مقبول","راسب")))),"راسب")</f>
        <v>جيد</v>
      </c>
      <c r="X70" s="19">
        <f>IF(AND(O70&gt;=60,R70&gt;=60,K70&gt;=60,H70&gt;=180,E70&gt;=120,D70&gt;=30,N70&gt;=24),(V70/800)*100%,0)</f>
        <v>0.71053124999999995</v>
      </c>
    </row>
    <row r="71" spans="1:24" x14ac:dyDescent="0.35">
      <c r="A71" s="15">
        <v>62</v>
      </c>
      <c r="B71" s="16">
        <v>16358</v>
      </c>
      <c r="C71" s="16" t="s">
        <v>234</v>
      </c>
      <c r="D71" s="30">
        <v>36</v>
      </c>
      <c r="E71" s="32">
        <v>130.9</v>
      </c>
      <c r="F71" s="28" t="str">
        <f>IF(AND(D71&gt;=30),IF(E71&gt;=170,"ممتاز",IF(E71&gt;=150,"جيد جداً",IF(E71&gt;=130,"جيد",IF(E71&gt;=120,"مقبول","راسب")))),"راسب ")</f>
        <v>جيد</v>
      </c>
      <c r="G71" s="28" t="s">
        <v>200</v>
      </c>
      <c r="H71" s="36">
        <v>101.66666666666667</v>
      </c>
      <c r="I71" s="18" t="str">
        <f>IF(H71&gt;=255,"ممتاز",IF(H71&gt;=225,"جيد جدا",IF(H71&gt;=195,"جيد",IF(H71&gt;=180,"مقبول","راسب"))))</f>
        <v>راسب</v>
      </c>
      <c r="J71" s="28" t="s">
        <v>316</v>
      </c>
      <c r="K71" s="37">
        <v>66.22</v>
      </c>
      <c r="L71" s="28" t="str">
        <f>IF(K71&gt;=85,"ممتاز",IF(K71&gt;=75,"جيد جدا",IF(K71&gt;=65,"جيد",IF(K71&gt;=60,"مقبول","راسب"))))</f>
        <v>جيد</v>
      </c>
      <c r="M71" s="28" t="s">
        <v>200</v>
      </c>
      <c r="N71" s="17">
        <v>16</v>
      </c>
      <c r="O71" s="37">
        <v>53.75</v>
      </c>
      <c r="P71" s="29" t="str">
        <f>IF(AND(N71&gt;=24),IF(O71&gt;=85,"ممتاز",IF(O71&gt;=75,"جيد جداً",IF(O71&gt;=65,"جيد",IF(O71&gt;=60,"مقبول","راسب")))),"راسب ")</f>
        <v xml:space="preserve">راسب </v>
      </c>
      <c r="Q71" s="28" t="s">
        <v>316</v>
      </c>
      <c r="R71" s="37">
        <v>66.25</v>
      </c>
      <c r="S71" s="29" t="str">
        <f>IF(R71&gt;=85,"ممتاز",IF(R71&gt;=75,"جيد جدا",IF(R71&gt;=65,"جيد",IF(R71&gt;=60,"مقبول","راسب"))))</f>
        <v>جيد</v>
      </c>
      <c r="T71" s="28" t="s">
        <v>316</v>
      </c>
      <c r="U71" s="29"/>
      <c r="V71" s="32">
        <f>SUM(E71,H71,K71,O71,R71)</f>
        <v>418.78666666666663</v>
      </c>
      <c r="W71" s="18" t="str">
        <f>IF(AND(H71&gt;=180,E71&gt;=120,O71&gt;=60,K71&gt;=60,R71&gt;=60,D71&gt;=30,N71&gt;=24),IF(V71&gt;=680,"ممتاز",IF(V71&gt;=600,"جيد جدا",IF(V71&gt;=520,"جيد",IF(V71&gt;=480,"مقبول","راسب")))),"راسب")</f>
        <v>راسب</v>
      </c>
      <c r="X71" s="19">
        <f>IF(AND(O71&gt;=60,R71&gt;=60,K71&gt;=60,H71&gt;=180,E71&gt;=120,D71&gt;=30,N71&gt;=24),(V71/800)*100%,0)</f>
        <v>0</v>
      </c>
    </row>
    <row r="72" spans="1:24" x14ac:dyDescent="0.35">
      <c r="A72" s="15">
        <v>63</v>
      </c>
      <c r="B72" s="23">
        <v>7333</v>
      </c>
      <c r="C72" s="23" t="s">
        <v>42</v>
      </c>
      <c r="D72" s="30">
        <v>0</v>
      </c>
      <c r="E72" s="30">
        <v>0</v>
      </c>
      <c r="F72" s="28" t="str">
        <f>IF(AND(D72&gt;=30),IF(E72&gt;=170,"ممتاز",IF(E72&gt;=150,"جيد جداً",IF(E72&gt;=130,"جيد",IF(E72&gt;=120,"مقبول","راسب")))),"راسب ")</f>
        <v xml:space="preserve">راسب </v>
      </c>
      <c r="G72" s="28" t="s">
        <v>315</v>
      </c>
      <c r="H72" s="36">
        <v>146.66666666666669</v>
      </c>
      <c r="I72" s="18" t="str">
        <f>IF(H72&gt;=255,"ممتاز",IF(H72&gt;=225,"جيد جدا",IF(H72&gt;=195,"جيد",IF(H72&gt;=180,"مقبول","راسب"))))</f>
        <v>راسب</v>
      </c>
      <c r="J72" s="28" t="s">
        <v>316</v>
      </c>
      <c r="K72" s="37">
        <v>67</v>
      </c>
      <c r="L72" s="28" t="str">
        <f>IF(K72&gt;=85,"ممتاز",IF(K72&gt;=75,"جيد جدا",IF(K72&gt;=65,"جيد",IF(K72&gt;=60,"مقبول","راسب"))))</f>
        <v>جيد</v>
      </c>
      <c r="M72" s="28" t="s">
        <v>316</v>
      </c>
      <c r="N72" s="17">
        <v>0</v>
      </c>
      <c r="O72" s="37">
        <v>0</v>
      </c>
      <c r="P72" s="29" t="str">
        <f>IF(AND(N72&gt;=24),IF(O72&gt;=85,"ممتاز",IF(O72&gt;=75,"جيد جداً",IF(O72&gt;=65,"جيد",IF(O72&gt;=60,"مقبول","راسب")))),"راسب ")</f>
        <v xml:space="preserve">راسب </v>
      </c>
      <c r="Q72" s="28" t="s">
        <v>315</v>
      </c>
      <c r="R72" s="30">
        <v>66</v>
      </c>
      <c r="S72" s="29" t="str">
        <f>IF(R72&gt;=85,"ممتاز",IF(R72&gt;=75,"جيد جدا",IF(R72&gt;=65,"جيد",IF(R72&gt;=60,"مقبول","راسب"))))</f>
        <v>جيد</v>
      </c>
      <c r="T72" s="28" t="s">
        <v>200</v>
      </c>
      <c r="U72" s="29"/>
      <c r="V72" s="32">
        <f>SUM(E72,H72,K72,O72,R72)</f>
        <v>279.66666666666669</v>
      </c>
      <c r="W72" s="18" t="str">
        <f>IF(AND(H72&gt;=180,E72&gt;=120,O72&gt;=60,K72&gt;=60,R72&gt;=60,D72&gt;=30,N72&gt;=24),IF(V72&gt;=680,"ممتاز",IF(V72&gt;=600,"جيد جدا",IF(V72&gt;=520,"جيد",IF(V72&gt;=480,"مقبول","راسب")))),"راسب")</f>
        <v>راسب</v>
      </c>
      <c r="X72" s="19">
        <f>IF(AND(O72&gt;=60,R72&gt;=60,K72&gt;=60,H72&gt;=180,E72&gt;=120,D72&gt;=30,N72&gt;=24),(V72/800)*100%,0)</f>
        <v>0</v>
      </c>
    </row>
    <row r="73" spans="1:24" x14ac:dyDescent="0.35">
      <c r="A73" s="15">
        <v>64</v>
      </c>
      <c r="B73" s="15">
        <v>8258</v>
      </c>
      <c r="C73" s="15" t="s">
        <v>199</v>
      </c>
      <c r="D73" s="30">
        <v>0</v>
      </c>
      <c r="E73" s="30">
        <v>0</v>
      </c>
      <c r="F73" s="28" t="str">
        <f>IF(AND(D73&gt;=30),IF(E73&gt;=170,"ممتاز",IF(E73&gt;=150,"جيد جداً",IF(E73&gt;=130,"جيد",IF(E73&gt;=120,"مقبول","راسب")))),"راسب ")</f>
        <v xml:space="preserve">راسب </v>
      </c>
      <c r="G73" s="28" t="s">
        <v>315</v>
      </c>
      <c r="H73" s="30">
        <v>198</v>
      </c>
      <c r="I73" s="18" t="str">
        <f>IF(H73&gt;=255,"ممتاز",IF(H73&gt;=225,"جيد جدا",IF(H73&gt;=195,"جيد",IF(H73&gt;=180,"مقبول","راسب"))))</f>
        <v>جيد</v>
      </c>
      <c r="J73" s="28" t="s">
        <v>200</v>
      </c>
      <c r="K73" s="31">
        <v>71</v>
      </c>
      <c r="L73" s="28" t="str">
        <f>IF(K73&gt;=85,"ممتاز",IF(K73&gt;=75,"جيد جدا",IF(K73&gt;=65,"جيد",IF(K73&gt;=60,"مقبول","راسب"))))</f>
        <v>جيد</v>
      </c>
      <c r="M73" s="28" t="s">
        <v>200</v>
      </c>
      <c r="N73" s="17">
        <v>32</v>
      </c>
      <c r="O73" s="17">
        <v>62</v>
      </c>
      <c r="P73" s="29" t="str">
        <f>IF(AND(N73&gt;=24),IF(O73&gt;=85,"ممتاز",IF(O73&gt;=75,"جيد جداً",IF(O73&gt;=65,"جيد",IF(O73&gt;=60,"مقبول","راسب")))),"راسب ")</f>
        <v>مقبول</v>
      </c>
      <c r="Q73" s="28" t="s">
        <v>200</v>
      </c>
      <c r="R73" s="30">
        <v>66</v>
      </c>
      <c r="S73" s="29" t="str">
        <f>IF(R73&gt;=85,"ممتاز",IF(R73&gt;=75,"جيد جدا",IF(R73&gt;=65,"جيد",IF(R73&gt;=60,"مقبول","راسب"))))</f>
        <v>جيد</v>
      </c>
      <c r="T73" s="28" t="s">
        <v>200</v>
      </c>
      <c r="U73" s="29"/>
      <c r="V73" s="32">
        <f>SUM(E73,H73,K73,O73,R73)</f>
        <v>397</v>
      </c>
      <c r="W73" s="18" t="str">
        <f>IF(AND(H73&gt;=180,E73&gt;=120,O73&gt;=60,K73&gt;=60,R73&gt;=60,D73&gt;=30,N73&gt;=24),IF(V73&gt;=680,"ممتاز",IF(V73&gt;=600,"جيد جدا",IF(V73&gt;=520,"جيد",IF(V73&gt;=480,"مقبول","راسب")))),"راسب")</f>
        <v>راسب</v>
      </c>
      <c r="X73" s="19">
        <f>IF(AND(O73&gt;=60,R73&gt;=60,K73&gt;=60,H73&gt;=180,E73&gt;=120,D73&gt;=30,N73&gt;=24),(V73/800)*100%,0)</f>
        <v>0</v>
      </c>
    </row>
    <row r="74" spans="1:24" x14ac:dyDescent="0.35">
      <c r="A74" s="15">
        <v>65</v>
      </c>
      <c r="B74" s="15">
        <v>9477</v>
      </c>
      <c r="C74" s="15" t="s">
        <v>61</v>
      </c>
      <c r="D74" s="30">
        <v>36</v>
      </c>
      <c r="E74" s="30">
        <v>120</v>
      </c>
      <c r="F74" s="28" t="str">
        <f>IF(AND(D74&gt;=30),IF(E74&gt;=170,"ممتاز",IF(E74&gt;=150,"جيد جداً",IF(E74&gt;=130,"جيد",IF(E74&gt;=120,"مقبول","راسب")))),"راسب ")</f>
        <v>مقبول</v>
      </c>
      <c r="G74" s="28" t="s">
        <v>200</v>
      </c>
      <c r="H74" s="32">
        <v>251</v>
      </c>
      <c r="I74" s="18" t="str">
        <f>IF(H74&gt;=255,"ممتاز",IF(H74&gt;=225,"جيد جدا",IF(H74&gt;=195,"جيد",IF(H74&gt;=180,"مقبول","راسب"))))</f>
        <v>جيد جدا</v>
      </c>
      <c r="J74" s="28" t="s">
        <v>200</v>
      </c>
      <c r="K74" s="37">
        <v>0</v>
      </c>
      <c r="L74" s="28" t="str">
        <f>IF(K74&gt;=85,"ممتاز",IF(K74&gt;=75,"جيد جدا",IF(K74&gt;=65,"جيد",IF(K74&gt;=60,"مقبول","راسب"))))</f>
        <v>راسب</v>
      </c>
      <c r="M74" s="28" t="s">
        <v>315</v>
      </c>
      <c r="N74" s="17">
        <v>0</v>
      </c>
      <c r="O74" s="37">
        <v>0</v>
      </c>
      <c r="P74" s="29" t="str">
        <f>IF(AND(N74&gt;=24),IF(O74&gt;=85,"ممتاز",IF(O74&gt;=75,"جيد جداً",IF(O74&gt;=65,"جيد",IF(O74&gt;=60,"مقبول","راسب")))),"راسب ")</f>
        <v xml:space="preserve">راسب </v>
      </c>
      <c r="Q74" s="28" t="s">
        <v>315</v>
      </c>
      <c r="R74" s="32">
        <v>66</v>
      </c>
      <c r="S74" s="29" t="str">
        <f>IF(R74&gt;=85,"ممتاز",IF(R74&gt;=75,"جيد جدا",IF(R74&gt;=65,"جيد",IF(R74&gt;=60,"مقبول","راسب"))))</f>
        <v>جيد</v>
      </c>
      <c r="T74" s="28" t="s">
        <v>200</v>
      </c>
      <c r="U74" s="29"/>
      <c r="V74" s="32">
        <f>SUM(E74,H74,K74,O74,R74)</f>
        <v>437</v>
      </c>
      <c r="W74" s="18" t="str">
        <f>IF(AND(H74&gt;=180,E74&gt;=120,O74&gt;=60,K74&gt;=60,R74&gt;=60,D74&gt;=30,N74&gt;=24),IF(V74&gt;=680,"ممتاز",IF(V74&gt;=600,"جيد جدا",IF(V74&gt;=520,"جيد",IF(V74&gt;=480,"مقبول","راسب")))),"راسب")</f>
        <v>راسب</v>
      </c>
      <c r="X74" s="19">
        <f>IF(AND(O74&gt;=60,R74&gt;=60,K74&gt;=60,H74&gt;=180,E74&gt;=120,D74&gt;=30,N74&gt;=24),(V74/800)*100%,0)</f>
        <v>0</v>
      </c>
    </row>
    <row r="75" spans="1:24" x14ac:dyDescent="0.35">
      <c r="A75" s="15">
        <v>66</v>
      </c>
      <c r="B75" s="23">
        <v>18618</v>
      </c>
      <c r="C75" s="23" t="s">
        <v>272</v>
      </c>
      <c r="D75" s="30">
        <v>41.3</v>
      </c>
      <c r="E75" s="30">
        <v>131.55000000000001</v>
      </c>
      <c r="F75" s="28" t="str">
        <f>IF(AND(D75&gt;=30),IF(E75&gt;=170,"ممتاز",IF(E75&gt;=150,"جيد جداً",IF(E75&gt;=130,"جيد",IF(E75&gt;=120,"مقبول","راسب")))),"راسب ")</f>
        <v>جيد</v>
      </c>
      <c r="G75" s="28" t="s">
        <v>316</v>
      </c>
      <c r="H75" s="36">
        <v>182</v>
      </c>
      <c r="I75" s="18" t="str">
        <f>IF(H75&gt;=255,"ممتاز",IF(H75&gt;=225,"جيد جدا",IF(H75&gt;=195,"جيد",IF(H75&gt;=180,"مقبول","راسب"))))</f>
        <v>مقبول</v>
      </c>
      <c r="J75" s="28" t="s">
        <v>200</v>
      </c>
      <c r="K75" s="31">
        <v>60</v>
      </c>
      <c r="L75" s="28" t="str">
        <f>IF(K75&gt;=85,"ممتاز",IF(K75&gt;=75,"جيد جدا",IF(K75&gt;=65,"جيد",IF(K75&gt;=60,"مقبول","راسب"))))</f>
        <v>مقبول</v>
      </c>
      <c r="M75" s="28" t="s">
        <v>200</v>
      </c>
      <c r="N75" s="17">
        <v>30</v>
      </c>
      <c r="O75" s="37">
        <v>62.5</v>
      </c>
      <c r="P75" s="29" t="str">
        <f>IF(AND(N75&gt;=24),IF(O75&gt;=85,"ممتاز",IF(O75&gt;=75,"جيد جداً",IF(O75&gt;=65,"جيد",IF(O75&gt;=60,"مقبول","راسب")))),"راسب ")</f>
        <v>مقبول</v>
      </c>
      <c r="Q75" s="28" t="s">
        <v>200</v>
      </c>
      <c r="R75" s="37">
        <v>65.9375</v>
      </c>
      <c r="S75" s="29" t="str">
        <f>IF(R75&gt;=85,"ممتاز",IF(R75&gt;=75,"جيد جدا",IF(R75&gt;=65,"جيد",IF(R75&gt;=60,"مقبول","راسب"))))</f>
        <v>جيد</v>
      </c>
      <c r="T75" s="28" t="s">
        <v>316</v>
      </c>
      <c r="U75" s="29"/>
      <c r="V75" s="32">
        <f>SUM(E75,H75,K75,O75,R75)</f>
        <v>501.98750000000001</v>
      </c>
      <c r="W75" s="18" t="str">
        <f>IF(AND(H75&gt;=180,E75&gt;=120,O75&gt;=60,K75&gt;=60,R75&gt;=60,D75&gt;=30,N75&gt;=24),IF(V75&gt;=680,"ممتاز",IF(V75&gt;=600,"جيد جدا",IF(V75&gt;=520,"جيد",IF(V75&gt;=480,"مقبول","راسب")))),"راسب")</f>
        <v>مقبول</v>
      </c>
      <c r="X75" s="19">
        <f>IF(AND(O75&gt;=60,R75&gt;=60,K75&gt;=60,H75&gt;=180,E75&gt;=120,D75&gt;=30,N75&gt;=24),(V75/800)*100%,0)</f>
        <v>0.62748437499999998</v>
      </c>
    </row>
    <row r="76" spans="1:24" x14ac:dyDescent="0.35">
      <c r="A76" s="15">
        <v>67</v>
      </c>
      <c r="B76" s="23">
        <v>18990</v>
      </c>
      <c r="C76" s="23" t="s">
        <v>283</v>
      </c>
      <c r="D76" s="30">
        <v>36</v>
      </c>
      <c r="E76" s="32">
        <v>121.8</v>
      </c>
      <c r="F76" s="28" t="str">
        <f>IF(AND(D76&gt;=30),IF(E76&gt;=170,"ممتاز",IF(E76&gt;=150,"جيد جداً",IF(E76&gt;=130,"جيد",IF(E76&gt;=120,"مقبول","راسب")))),"راسب ")</f>
        <v>مقبول</v>
      </c>
      <c r="G76" s="28" t="s">
        <v>200</v>
      </c>
      <c r="H76" s="36">
        <v>180</v>
      </c>
      <c r="I76" s="18" t="str">
        <f>IF(H76&gt;=255,"ممتاز",IF(H76&gt;=225,"جيد جدا",IF(H76&gt;=195,"جيد",IF(H76&gt;=180,"مقبول","راسب"))))</f>
        <v>مقبول</v>
      </c>
      <c r="J76" s="28" t="s">
        <v>316</v>
      </c>
      <c r="K76" s="37">
        <v>73.290000000000006</v>
      </c>
      <c r="L76" s="28" t="str">
        <f>IF(K76&gt;=85,"ممتاز",IF(K76&gt;=75,"جيد جدا",IF(K76&gt;=65,"جيد",IF(K76&gt;=60,"مقبول","راسب"))))</f>
        <v>جيد</v>
      </c>
      <c r="M76" s="28" t="s">
        <v>200</v>
      </c>
      <c r="N76" s="17">
        <v>14.5</v>
      </c>
      <c r="O76" s="37">
        <v>52.5</v>
      </c>
      <c r="P76" s="29" t="str">
        <f>IF(AND(N76&gt;=24),IF(O76&gt;=85,"ممتاز",IF(O76&gt;=75,"جيد جداً",IF(O76&gt;=65,"جيد",IF(O76&gt;=60,"مقبول","راسب")))),"راسب ")</f>
        <v xml:space="preserve">راسب </v>
      </c>
      <c r="Q76" s="28" t="s">
        <v>316</v>
      </c>
      <c r="R76" s="37">
        <v>65.9375</v>
      </c>
      <c r="S76" s="29" t="str">
        <f>IF(R76&gt;=85,"ممتاز",IF(R76&gt;=75,"جيد جدا",IF(R76&gt;=65,"جيد",IF(R76&gt;=60,"مقبول","راسب"))))</f>
        <v>جيد</v>
      </c>
      <c r="T76" s="28" t="s">
        <v>316</v>
      </c>
      <c r="U76" s="29"/>
      <c r="V76" s="32">
        <f>SUM(E76,H76,K76,O76,R76)</f>
        <v>493.52750000000003</v>
      </c>
      <c r="W76" s="18" t="str">
        <f>IF(AND(H76&gt;=180,E76&gt;=120,O76&gt;=60,K76&gt;=60,R76&gt;=60,D76&gt;=30,N76&gt;=24),IF(V76&gt;=680,"ممتاز",IF(V76&gt;=600,"جيد جدا",IF(V76&gt;=520,"جيد",IF(V76&gt;=480,"مقبول","راسب")))),"راسب")</f>
        <v>راسب</v>
      </c>
      <c r="X76" s="19">
        <f>IF(AND(O76&gt;=60,R76&gt;=60,K76&gt;=60,H76&gt;=180,E76&gt;=120,D76&gt;=30,N76&gt;=24),(V76/800)*100%,0)</f>
        <v>0</v>
      </c>
    </row>
    <row r="77" spans="1:24" x14ac:dyDescent="0.35">
      <c r="A77" s="15">
        <v>68</v>
      </c>
      <c r="B77" s="23">
        <v>20656</v>
      </c>
      <c r="C77" s="23" t="s">
        <v>305</v>
      </c>
      <c r="D77" s="30">
        <v>44</v>
      </c>
      <c r="E77" s="32">
        <v>143.4</v>
      </c>
      <c r="F77" s="28" t="str">
        <f>IF(AND(D77&gt;=30),IF(E77&gt;=170,"ممتاز",IF(E77&gt;=150,"جيد جداً",IF(E77&gt;=130,"جيد",IF(E77&gt;=120,"مقبول","راسب")))),"راسب ")</f>
        <v>جيد</v>
      </c>
      <c r="G77" s="28" t="s">
        <v>200</v>
      </c>
      <c r="H77" s="36">
        <v>198.33333333333334</v>
      </c>
      <c r="I77" s="18" t="str">
        <f>IF(H77&gt;=255,"ممتاز",IF(H77&gt;=225,"جيد جدا",IF(H77&gt;=195,"جيد",IF(H77&gt;=180,"مقبول","راسب"))))</f>
        <v>جيد</v>
      </c>
      <c r="J77" s="28" t="s">
        <v>316</v>
      </c>
      <c r="K77" s="37">
        <v>65.63</v>
      </c>
      <c r="L77" s="28" t="str">
        <f>IF(K77&gt;=85,"ممتاز",IF(K77&gt;=75,"جيد جدا",IF(K77&gt;=65,"جيد",IF(K77&gt;=60,"مقبول","راسب"))))</f>
        <v>جيد</v>
      </c>
      <c r="M77" s="28" t="s">
        <v>200</v>
      </c>
      <c r="N77" s="17">
        <v>29</v>
      </c>
      <c r="O77" s="37">
        <v>66.5</v>
      </c>
      <c r="P77" s="29" t="str">
        <f>IF(AND(N77&gt;=24),IF(O77&gt;=85,"ممتاز",IF(O77&gt;=75,"جيد جداً",IF(O77&gt;=65,"جيد",IF(O77&gt;=60,"مقبول","راسب")))),"راسب ")</f>
        <v>جيد</v>
      </c>
      <c r="Q77" s="28" t="s">
        <v>200</v>
      </c>
      <c r="R77" s="37">
        <v>65.75</v>
      </c>
      <c r="S77" s="29" t="str">
        <f>IF(R77&gt;=85,"ممتاز",IF(R77&gt;=75,"جيد جدا",IF(R77&gt;=65,"جيد",IF(R77&gt;=60,"مقبول","راسب"))))</f>
        <v>جيد</v>
      </c>
      <c r="T77" s="28" t="s">
        <v>200</v>
      </c>
      <c r="U77" s="29"/>
      <c r="V77" s="32">
        <f>SUM(E77,H77,K77,O77,R77)</f>
        <v>539.61333333333334</v>
      </c>
      <c r="W77" s="18" t="str">
        <f>IF(AND(H77&gt;=180,E77&gt;=120,O77&gt;=60,K77&gt;=60,R77&gt;=60,D77&gt;=30,N77&gt;=24),IF(V77&gt;=680,"ممتاز",IF(V77&gt;=600,"جيد جدا",IF(V77&gt;=520,"جيد",IF(V77&gt;=480,"مقبول","راسب")))),"راسب")</f>
        <v>جيد</v>
      </c>
      <c r="X77" s="19">
        <f>IF(AND(O77&gt;=60,R77&gt;=60,K77&gt;=60,H77&gt;=180,E77&gt;=120,D77&gt;=30,N77&gt;=24),(V77/800)*100%,0)</f>
        <v>0.67451666666666665</v>
      </c>
    </row>
    <row r="78" spans="1:24" x14ac:dyDescent="0.35">
      <c r="A78" s="15">
        <v>69</v>
      </c>
      <c r="B78" s="23">
        <v>17250</v>
      </c>
      <c r="C78" s="23" t="s">
        <v>247</v>
      </c>
      <c r="D78" s="30">
        <v>37.25</v>
      </c>
      <c r="E78" s="32">
        <v>128.85</v>
      </c>
      <c r="F78" s="28" t="str">
        <f>IF(AND(D78&gt;=30),IF(E78&gt;=170,"ممتاز",IF(E78&gt;=150,"جيد جداً",IF(E78&gt;=130,"جيد",IF(E78&gt;=120,"مقبول","راسب")))),"راسب ")</f>
        <v>مقبول</v>
      </c>
      <c r="G78" s="28" t="s">
        <v>200</v>
      </c>
      <c r="H78" s="36">
        <v>202</v>
      </c>
      <c r="I78" s="18" t="str">
        <f>IF(H78&gt;=255,"ممتاز",IF(H78&gt;=225,"جيد جدا",IF(H78&gt;=195,"جيد",IF(H78&gt;=180,"مقبول","راسب"))))</f>
        <v>جيد</v>
      </c>
      <c r="J78" s="28" t="s">
        <v>200</v>
      </c>
      <c r="K78" s="37">
        <v>72.790000000000006</v>
      </c>
      <c r="L78" s="28" t="str">
        <f>IF(K78&gt;=85,"ممتاز",IF(K78&gt;=75,"جيد جدا",IF(K78&gt;=65,"جيد",IF(K78&gt;=60,"مقبول","راسب"))))</f>
        <v>جيد</v>
      </c>
      <c r="M78" s="28" t="s">
        <v>200</v>
      </c>
      <c r="N78" s="17">
        <v>30</v>
      </c>
      <c r="O78" s="37">
        <v>61.5</v>
      </c>
      <c r="P78" s="29" t="str">
        <f>IF(AND(N78&gt;=24),IF(O78&gt;=85,"ممتاز",IF(O78&gt;=75,"جيد جداً",IF(O78&gt;=65,"جيد",IF(O78&gt;=60,"مقبول","راسب")))),"راسب ")</f>
        <v>مقبول</v>
      </c>
      <c r="Q78" s="28" t="s">
        <v>200</v>
      </c>
      <c r="R78" s="37">
        <v>65.625</v>
      </c>
      <c r="S78" s="29" t="str">
        <f>IF(R78&gt;=85,"ممتاز",IF(R78&gt;=75,"جيد جدا",IF(R78&gt;=65,"جيد",IF(R78&gt;=60,"مقبول","راسب"))))</f>
        <v>جيد</v>
      </c>
      <c r="T78" s="28" t="s">
        <v>316</v>
      </c>
      <c r="U78" s="29"/>
      <c r="V78" s="32">
        <f>SUM(E78,H78,K78,O78,R78)</f>
        <v>530.7650000000001</v>
      </c>
      <c r="W78" s="18" t="str">
        <f>IF(AND(H78&gt;=180,E78&gt;=120,O78&gt;=60,K78&gt;=60,R78&gt;=60,D78&gt;=30,N78&gt;=24),IF(V78&gt;=680,"ممتاز",IF(V78&gt;=600,"جيد جدا",IF(V78&gt;=520,"جيد",IF(V78&gt;=480,"مقبول","راسب")))),"راسب")</f>
        <v>جيد</v>
      </c>
      <c r="X78" s="19">
        <f>IF(AND(O78&gt;=60,R78&gt;=60,K78&gt;=60,H78&gt;=180,E78&gt;=120,D78&gt;=30,N78&gt;=24),(V78/800)*100%,0)</f>
        <v>0.66345625000000008</v>
      </c>
    </row>
    <row r="79" spans="1:24" x14ac:dyDescent="0.35">
      <c r="A79" s="15">
        <v>70</v>
      </c>
      <c r="B79" s="24">
        <v>17276</v>
      </c>
      <c r="C79" s="20" t="s">
        <v>248</v>
      </c>
      <c r="D79" s="30">
        <v>40</v>
      </c>
      <c r="E79" s="32">
        <v>135.19999999999999</v>
      </c>
      <c r="F79" s="28" t="str">
        <f>IF(AND(D79&gt;=30),IF(E79&gt;=170,"ممتاز",IF(E79&gt;=150,"جيد جداً",IF(E79&gt;=130,"جيد",IF(E79&gt;=120,"مقبول","راسب")))),"راسب ")</f>
        <v>جيد</v>
      </c>
      <c r="G79" s="28" t="s">
        <v>200</v>
      </c>
      <c r="H79" s="36">
        <v>181.66666666666669</v>
      </c>
      <c r="I79" s="18" t="str">
        <f>IF(H79&gt;=255,"ممتاز",IF(H79&gt;=225,"جيد جدا",IF(H79&gt;=195,"جيد",IF(H79&gt;=180,"مقبول","راسب"))))</f>
        <v>مقبول</v>
      </c>
      <c r="J79" s="28" t="s">
        <v>316</v>
      </c>
      <c r="K79" s="37">
        <v>64.45</v>
      </c>
      <c r="L79" s="28" t="str">
        <f>IF(K79&gt;=85,"ممتاز",IF(K79&gt;=75,"جيد جدا",IF(K79&gt;=65,"جيد",IF(K79&gt;=60,"مقبول","راسب"))))</f>
        <v>مقبول</v>
      </c>
      <c r="M79" s="28" t="s">
        <v>200</v>
      </c>
      <c r="N79" s="17">
        <v>29</v>
      </c>
      <c r="O79" s="37">
        <v>61.5</v>
      </c>
      <c r="P79" s="29" t="str">
        <f>IF(AND(N79&gt;=24),IF(O79&gt;=85,"ممتاز",IF(O79&gt;=75,"جيد جداً",IF(O79&gt;=65,"جيد",IF(O79&gt;=60,"مقبول","راسب")))),"راسب ")</f>
        <v>مقبول</v>
      </c>
      <c r="Q79" s="28" t="s">
        <v>200</v>
      </c>
      <c r="R79" s="37">
        <v>65.625</v>
      </c>
      <c r="S79" s="29" t="str">
        <f>IF(R79&gt;=85,"ممتاز",IF(R79&gt;=75,"جيد جدا",IF(R79&gt;=65,"جيد",IF(R79&gt;=60,"مقبول","راسب"))))</f>
        <v>جيد</v>
      </c>
      <c r="T79" s="28" t="s">
        <v>316</v>
      </c>
      <c r="U79" s="29"/>
      <c r="V79" s="32">
        <f>SUM(E79,H79,K79,O79,R79)</f>
        <v>508.44166666666666</v>
      </c>
      <c r="W79" s="18" t="str">
        <f>IF(AND(H79&gt;=180,E79&gt;=120,O79&gt;=60,K79&gt;=60,R79&gt;=60,D79&gt;=30,N79&gt;=24),IF(V79&gt;=680,"ممتاز",IF(V79&gt;=600,"جيد جدا",IF(V79&gt;=520,"جيد",IF(V79&gt;=480,"مقبول","راسب")))),"راسب")</f>
        <v>مقبول</v>
      </c>
      <c r="X79" s="19">
        <f>IF(AND(O79&gt;=60,R79&gt;=60,K79&gt;=60,H79&gt;=180,E79&gt;=120,D79&gt;=30,N79&gt;=24),(V79/800)*100%,0)</f>
        <v>0.63555208333333335</v>
      </c>
    </row>
    <row r="80" spans="1:24" x14ac:dyDescent="0.35">
      <c r="A80" s="15">
        <v>71</v>
      </c>
      <c r="B80" s="23">
        <v>18298</v>
      </c>
      <c r="C80" s="23" t="s">
        <v>265</v>
      </c>
      <c r="D80" s="30">
        <v>41</v>
      </c>
      <c r="E80" s="32">
        <v>143.25</v>
      </c>
      <c r="F80" s="28" t="str">
        <f>IF(AND(D80&gt;=30),IF(E80&gt;=170,"ممتاز",IF(E80&gt;=150,"جيد جداً",IF(E80&gt;=130,"جيد",IF(E80&gt;=120,"مقبول","راسب")))),"راسب ")</f>
        <v>جيد</v>
      </c>
      <c r="G80" s="28" t="s">
        <v>200</v>
      </c>
      <c r="H80" s="36">
        <v>180</v>
      </c>
      <c r="I80" s="18" t="str">
        <f>IF(H80&gt;=255,"ممتاز",IF(H80&gt;=225,"جيد جدا",IF(H80&gt;=195,"جيد",IF(H80&gt;=180,"مقبول","راسب"))))</f>
        <v>مقبول</v>
      </c>
      <c r="J80" s="28" t="s">
        <v>200</v>
      </c>
      <c r="K80" s="37">
        <v>72.5</v>
      </c>
      <c r="L80" s="28" t="str">
        <f>IF(K80&gt;=85,"ممتاز",IF(K80&gt;=75,"جيد جدا",IF(K80&gt;=65,"جيد",IF(K80&gt;=60,"مقبول","راسب"))))</f>
        <v>جيد</v>
      </c>
      <c r="M80" s="28" t="s">
        <v>200</v>
      </c>
      <c r="N80" s="17">
        <v>24</v>
      </c>
      <c r="O80" s="37">
        <v>68.5</v>
      </c>
      <c r="P80" s="29" t="str">
        <f>IF(AND(N80&gt;=24),IF(O80&gt;=85,"ممتاز",IF(O80&gt;=75,"جيد جداً",IF(O80&gt;=65,"جيد",IF(O80&gt;=60,"مقبول","راسب")))),"راسب ")</f>
        <v>جيد</v>
      </c>
      <c r="Q80" s="28" t="s">
        <v>200</v>
      </c>
      <c r="R80" s="37">
        <v>65.625</v>
      </c>
      <c r="S80" s="29" t="str">
        <f>IF(R80&gt;=85,"ممتاز",IF(R80&gt;=75,"جيد جدا",IF(R80&gt;=65,"جيد",IF(R80&gt;=60,"مقبول","راسب"))))</f>
        <v>جيد</v>
      </c>
      <c r="T80" s="28" t="s">
        <v>316</v>
      </c>
      <c r="U80" s="29"/>
      <c r="V80" s="32">
        <f>SUM(E80,H80,K80,O80,R80)</f>
        <v>529.875</v>
      </c>
      <c r="W80" s="18" t="str">
        <f>IF(AND(H80&gt;=180,E80&gt;=120,O80&gt;=60,K80&gt;=60,R80&gt;=60,D80&gt;=30,N80&gt;=24),IF(V80&gt;=680,"ممتاز",IF(V80&gt;=600,"جيد جدا",IF(V80&gt;=520,"جيد",IF(V80&gt;=480,"مقبول","راسب")))),"راسب")</f>
        <v>جيد</v>
      </c>
      <c r="X80" s="19">
        <f>IF(AND(O80&gt;=60,R80&gt;=60,K80&gt;=60,H80&gt;=180,E80&gt;=120,D80&gt;=30,N80&gt;=24),(V80/800)*100%,0)</f>
        <v>0.66234375000000001</v>
      </c>
    </row>
    <row r="81" spans="1:24" x14ac:dyDescent="0.35">
      <c r="A81" s="15">
        <v>72</v>
      </c>
      <c r="B81" s="15">
        <v>15299</v>
      </c>
      <c r="C81" s="15" t="s">
        <v>218</v>
      </c>
      <c r="D81" s="30">
        <v>40</v>
      </c>
      <c r="E81" s="32">
        <v>138.6</v>
      </c>
      <c r="F81" s="28" t="str">
        <f>IF(AND(D81&gt;=30),IF(E81&gt;=170,"ممتاز",IF(E81&gt;=150,"جيد جداً",IF(E81&gt;=130,"جيد",IF(E81&gt;=120,"مقبول","راسب")))),"راسب ")</f>
        <v>جيد</v>
      </c>
      <c r="G81" s="28" t="s">
        <v>200</v>
      </c>
      <c r="H81" s="36">
        <v>198</v>
      </c>
      <c r="I81" s="18" t="str">
        <f>IF(H81&gt;=255,"ممتاز",IF(H81&gt;=225,"جيد جدا",IF(H81&gt;=195,"جيد",IF(H81&gt;=180,"مقبول","راسب"))))</f>
        <v>جيد</v>
      </c>
      <c r="J81" s="28" t="s">
        <v>200</v>
      </c>
      <c r="K81" s="37">
        <v>80.569999999999993</v>
      </c>
      <c r="L81" s="28" t="str">
        <f>IF(K81&gt;=85,"ممتاز",IF(K81&gt;=75,"جيد جدا",IF(K81&gt;=65,"جيد",IF(K81&gt;=60,"مقبول","راسب"))))</f>
        <v>جيد جدا</v>
      </c>
      <c r="M81" s="28" t="s">
        <v>200</v>
      </c>
      <c r="N81" s="17">
        <v>33</v>
      </c>
      <c r="O81" s="37">
        <v>76.25</v>
      </c>
      <c r="P81" s="29" t="str">
        <f>IF(AND(N81&gt;=24),IF(O81&gt;=85,"ممتاز",IF(O81&gt;=75,"جيد جداً",IF(O81&gt;=65,"جيد",IF(O81&gt;=60,"مقبول","راسب")))),"راسب ")</f>
        <v>جيد جداً</v>
      </c>
      <c r="Q81" s="28" t="s">
        <v>316</v>
      </c>
      <c r="R81" s="37">
        <v>65.5</v>
      </c>
      <c r="S81" s="29" t="str">
        <f>IF(R81&gt;=85,"ممتاز",IF(R81&gt;=75,"جيد جدا",IF(R81&gt;=65,"جيد",IF(R81&gt;=60,"مقبول","راسب"))))</f>
        <v>جيد</v>
      </c>
      <c r="T81" s="28" t="s">
        <v>200</v>
      </c>
      <c r="U81" s="29"/>
      <c r="V81" s="32">
        <f>SUM(E81,H81,K81,O81,R81)</f>
        <v>558.92000000000007</v>
      </c>
      <c r="W81" s="18" t="str">
        <f>IF(AND(H81&gt;=180,E81&gt;=120,O81&gt;=60,K81&gt;=60,R81&gt;=60,D81&gt;=30,N81&gt;=24),IF(V81&gt;=680,"ممتاز",IF(V81&gt;=600,"جيد جدا",IF(V81&gt;=520,"جيد",IF(V81&gt;=480,"مقبول","راسب")))),"راسب")</f>
        <v>جيد</v>
      </c>
      <c r="X81" s="19">
        <f>IF(AND(O81&gt;=60,R81&gt;=60,K81&gt;=60,H81&gt;=180,E81&gt;=120,D81&gt;=30,N81&gt;=24),(V81/800)*100%,0)</f>
        <v>0.6986500000000001</v>
      </c>
    </row>
    <row r="82" spans="1:24" x14ac:dyDescent="0.35">
      <c r="A82" s="15">
        <v>73</v>
      </c>
      <c r="B82" s="23">
        <v>18057</v>
      </c>
      <c r="C82" s="23" t="s">
        <v>256</v>
      </c>
      <c r="D82" s="30">
        <v>36.75</v>
      </c>
      <c r="E82" s="32">
        <v>136.5</v>
      </c>
      <c r="F82" s="28" t="str">
        <f>IF(AND(D82&gt;=30),IF(E82&gt;=170,"ممتاز",IF(E82&gt;=150,"جيد جداً",IF(E82&gt;=130,"جيد",IF(E82&gt;=120,"مقبول","راسب")))),"راسب ")</f>
        <v>جيد</v>
      </c>
      <c r="G82" s="28" t="s">
        <v>200</v>
      </c>
      <c r="H82" s="36">
        <v>231</v>
      </c>
      <c r="I82" s="18" t="str">
        <f>IF(H82&gt;=255,"ممتاز",IF(H82&gt;=225,"جيد جدا",IF(H82&gt;=195,"جيد",IF(H82&gt;=180,"مقبول","راسب"))))</f>
        <v>جيد جدا</v>
      </c>
      <c r="J82" s="28" t="s">
        <v>200</v>
      </c>
      <c r="K82" s="37">
        <v>78.72</v>
      </c>
      <c r="L82" s="28" t="str">
        <f>IF(K82&gt;=85,"ممتاز",IF(K82&gt;=75,"جيد جدا",IF(K82&gt;=65,"جيد",IF(K82&gt;=60,"مقبول","راسب"))))</f>
        <v>جيد جدا</v>
      </c>
      <c r="M82" s="28" t="s">
        <v>200</v>
      </c>
      <c r="N82" s="17">
        <v>24</v>
      </c>
      <c r="O82" s="37">
        <v>62</v>
      </c>
      <c r="P82" s="29" t="str">
        <f>IF(AND(N82&gt;=24),IF(O82&gt;=85,"ممتاز",IF(O82&gt;=75,"جيد جداً",IF(O82&gt;=65,"جيد",IF(O82&gt;=60,"مقبول","راسب")))),"راسب ")</f>
        <v>مقبول</v>
      </c>
      <c r="Q82" s="28" t="s">
        <v>200</v>
      </c>
      <c r="R82" s="37">
        <v>65.3125</v>
      </c>
      <c r="S82" s="29" t="str">
        <f>IF(R82&gt;=85,"ممتاز",IF(R82&gt;=75,"جيد جدا",IF(R82&gt;=65,"جيد",IF(R82&gt;=60,"مقبول","راسب"))))</f>
        <v>جيد</v>
      </c>
      <c r="T82" s="28" t="s">
        <v>316</v>
      </c>
      <c r="U82" s="29"/>
      <c r="V82" s="32">
        <f>SUM(E82,H82,K82,O82,R82)</f>
        <v>573.53250000000003</v>
      </c>
      <c r="W82" s="18" t="str">
        <f>IF(AND(H82&gt;=180,E82&gt;=120,O82&gt;=60,K82&gt;=60,R82&gt;=60,D82&gt;=30,N82&gt;=24),IF(V82&gt;=680,"ممتاز",IF(V82&gt;=600,"جيد جدا",IF(V82&gt;=520,"جيد",IF(V82&gt;=480,"مقبول","راسب")))),"راسب")</f>
        <v>جيد</v>
      </c>
      <c r="X82" s="19">
        <f>IF(AND(O82&gt;=60,R82&gt;=60,K82&gt;=60,H82&gt;=180,E82&gt;=120,D82&gt;=30,N82&gt;=24),(V82/800)*100%,0)</f>
        <v>0.71691562500000006</v>
      </c>
    </row>
    <row r="83" spans="1:24" x14ac:dyDescent="0.35">
      <c r="A83" s="15">
        <v>74</v>
      </c>
      <c r="B83" s="15">
        <v>7830</v>
      </c>
      <c r="C83" s="15" t="s">
        <v>45</v>
      </c>
      <c r="D83" s="30">
        <v>0</v>
      </c>
      <c r="E83" s="30">
        <v>0</v>
      </c>
      <c r="F83" s="28" t="str">
        <f>IF(AND(D83&gt;=30),IF(E83&gt;=170,"ممتاز",IF(E83&gt;=150,"جيد جداً",IF(E83&gt;=130,"جيد",IF(E83&gt;=120,"مقبول","راسب")))),"راسب ")</f>
        <v xml:space="preserve">راسب </v>
      </c>
      <c r="G83" s="28" t="s">
        <v>315</v>
      </c>
      <c r="H83" s="36">
        <v>0</v>
      </c>
      <c r="I83" s="18" t="str">
        <f>IF(H83&gt;=255,"ممتاز",IF(H83&gt;=225,"جيد جدا",IF(H83&gt;=195,"جيد",IF(H83&gt;=180,"مقبول","راسب"))))</f>
        <v>راسب</v>
      </c>
      <c r="J83" s="28" t="s">
        <v>315</v>
      </c>
      <c r="K83" s="37">
        <v>0</v>
      </c>
      <c r="L83" s="28" t="str">
        <f>IF(K83&gt;=85,"ممتاز",IF(K83&gt;=75,"جيد جدا",IF(K83&gt;=65,"جيد",IF(K83&gt;=60,"مقبول","راسب"))))</f>
        <v>راسب</v>
      </c>
      <c r="M83" s="28" t="s">
        <v>315</v>
      </c>
      <c r="N83" s="17">
        <v>0</v>
      </c>
      <c r="O83" s="37">
        <v>0</v>
      </c>
      <c r="P83" s="29" t="str">
        <f>IF(AND(N83&gt;=24),IF(O83&gt;=85,"ممتاز",IF(O83&gt;=75,"جيد جداً",IF(O83&gt;=65,"جيد",IF(O83&gt;=60,"مقبول","راسب")))),"راسب ")</f>
        <v xml:space="preserve">راسب </v>
      </c>
      <c r="Q83" s="28" t="s">
        <v>315</v>
      </c>
      <c r="R83" s="30">
        <v>65</v>
      </c>
      <c r="S83" s="29" t="str">
        <f>IF(R83&gt;=85,"ممتاز",IF(R83&gt;=75,"جيد جدا",IF(R83&gt;=65,"جيد",IF(R83&gt;=60,"مقبول","راسب"))))</f>
        <v>جيد</v>
      </c>
      <c r="T83" s="28" t="s">
        <v>200</v>
      </c>
      <c r="U83" s="29"/>
      <c r="V83" s="32">
        <f>SUM(E83,H83,K83,O83,R83)</f>
        <v>65</v>
      </c>
      <c r="W83" s="18" t="str">
        <f>IF(AND(H83&gt;=180,E83&gt;=120,O83&gt;=60,K83&gt;=60,R83&gt;=60,D83&gt;=30,N83&gt;=24),IF(V83&gt;=680,"ممتاز",IF(V83&gt;=600,"جيد جدا",IF(V83&gt;=520,"جيد",IF(V83&gt;=480,"مقبول","راسب")))),"راسب")</f>
        <v>راسب</v>
      </c>
      <c r="X83" s="19">
        <f>IF(AND(O83&gt;=60,R83&gt;=60,K83&gt;=60,H83&gt;=180,E83&gt;=120,D83&gt;=30,N83&gt;=24),(V83/800)*100%,0)</f>
        <v>0</v>
      </c>
    </row>
    <row r="84" spans="1:24" x14ac:dyDescent="0.35">
      <c r="A84" s="15">
        <v>75</v>
      </c>
      <c r="B84" s="24">
        <v>12602</v>
      </c>
      <c r="C84" s="24" t="s">
        <v>205</v>
      </c>
      <c r="D84" s="30">
        <v>0</v>
      </c>
      <c r="E84" s="30">
        <v>0</v>
      </c>
      <c r="F84" s="28" t="str">
        <f>IF(AND(D84&gt;=30),IF(E84&gt;=170,"ممتاز",IF(E84&gt;=150,"جيد جداً",IF(E84&gt;=130,"جيد",IF(E84&gt;=120,"مقبول","راسب")))),"راسب ")</f>
        <v xml:space="preserve">راسب </v>
      </c>
      <c r="G84" s="28" t="s">
        <v>315</v>
      </c>
      <c r="H84" s="36">
        <v>161.66666666666669</v>
      </c>
      <c r="I84" s="18" t="str">
        <f>IF(H84&gt;=255,"ممتاز",IF(H84&gt;=225,"جيد جدا",IF(H84&gt;=195,"جيد",IF(H84&gt;=180,"مقبول","راسب"))))</f>
        <v>راسب</v>
      </c>
      <c r="J84" s="28" t="s">
        <v>316</v>
      </c>
      <c r="K84" s="37">
        <v>52</v>
      </c>
      <c r="L84" s="28" t="str">
        <f>IF(K84&gt;=85,"ممتاز",IF(K84&gt;=75,"جيد جدا",IF(K84&gt;=65,"جيد",IF(K84&gt;=60,"مقبول","راسب"))))</f>
        <v>راسب</v>
      </c>
      <c r="M84" s="28" t="s">
        <v>316</v>
      </c>
      <c r="N84" s="17">
        <v>0</v>
      </c>
      <c r="O84" s="37">
        <v>0</v>
      </c>
      <c r="P84" s="29" t="str">
        <f>IF(AND(N84&gt;=24),IF(O84&gt;=85,"ممتاز",IF(O84&gt;=75,"جيد جداً",IF(O84&gt;=65,"جيد",IF(O84&gt;=60,"مقبول","راسب")))),"راسب ")</f>
        <v xml:space="preserve">راسب </v>
      </c>
      <c r="Q84" s="28" t="s">
        <v>315</v>
      </c>
      <c r="R84" s="37">
        <v>65</v>
      </c>
      <c r="S84" s="29" t="str">
        <f>IF(R84&gt;=85,"ممتاز",IF(R84&gt;=75,"جيد جدا",IF(R84&gt;=65,"جيد",IF(R84&gt;=60,"مقبول","راسب"))))</f>
        <v>جيد</v>
      </c>
      <c r="T84" s="28" t="s">
        <v>316</v>
      </c>
      <c r="U84" s="29"/>
      <c r="V84" s="32">
        <f>SUM(E84,H84,K84,O84,R84)</f>
        <v>278.66666666666669</v>
      </c>
      <c r="W84" s="18" t="str">
        <f>IF(AND(H84&gt;=180,E84&gt;=120,O84&gt;=60,K84&gt;=60,R84&gt;=60,D84&gt;=30,N84&gt;=24),IF(V84&gt;=680,"ممتاز",IF(V84&gt;=600,"جيد جدا",IF(V84&gt;=520,"جيد",IF(V84&gt;=480,"مقبول","راسب")))),"راسب")</f>
        <v>راسب</v>
      </c>
      <c r="X84" s="19">
        <f>IF(AND(O84&gt;=60,R84&gt;=60,K84&gt;=60,H84&gt;=180,E84&gt;=120,D84&gt;=30,N84&gt;=24),(V84/800)*100%,0)</f>
        <v>0</v>
      </c>
    </row>
    <row r="85" spans="1:24" x14ac:dyDescent="0.35">
      <c r="A85" s="15">
        <v>76</v>
      </c>
      <c r="B85" s="25">
        <v>15376</v>
      </c>
      <c r="C85" s="26" t="s">
        <v>221</v>
      </c>
      <c r="D85" s="30">
        <v>50</v>
      </c>
      <c r="E85" s="30">
        <v>126.55</v>
      </c>
      <c r="F85" s="28" t="str">
        <f>IF(AND(D85&gt;=30),IF(E85&gt;=170,"ممتاز",IF(E85&gt;=150,"جيد جداً",IF(E85&gt;=130,"جيد",IF(E85&gt;=120,"مقبول","راسب")))),"راسب ")</f>
        <v>مقبول</v>
      </c>
      <c r="G85" s="28" t="s">
        <v>316</v>
      </c>
      <c r="H85" s="36">
        <v>0</v>
      </c>
      <c r="I85" s="18" t="str">
        <f>IF(H85&gt;=255,"ممتاز",IF(H85&gt;=225,"جيد جدا",IF(H85&gt;=195,"جيد",IF(H85&gt;=180,"مقبول","راسب"))))</f>
        <v>راسب</v>
      </c>
      <c r="J85" s="28" t="s">
        <v>315</v>
      </c>
      <c r="K85" s="37">
        <v>71.150000000000006</v>
      </c>
      <c r="L85" s="28" t="str">
        <f>IF(K85&gt;=85,"ممتاز",IF(K85&gt;=75,"جيد جدا",IF(K85&gt;=65,"جيد",IF(K85&gt;=60,"مقبول","راسب"))))</f>
        <v>جيد</v>
      </c>
      <c r="M85" s="28" t="s">
        <v>200</v>
      </c>
      <c r="N85" s="17">
        <v>28</v>
      </c>
      <c r="O85" s="37">
        <v>68.5</v>
      </c>
      <c r="P85" s="29" t="str">
        <f>IF(AND(N85&gt;=24),IF(O85&gt;=85,"ممتاز",IF(O85&gt;=75,"جيد جداً",IF(O85&gt;=65,"جيد",IF(O85&gt;=60,"مقبول","راسب")))),"راسب ")</f>
        <v>جيد</v>
      </c>
      <c r="Q85" s="28" t="s">
        <v>200</v>
      </c>
      <c r="R85" s="37">
        <v>65</v>
      </c>
      <c r="S85" s="29" t="str">
        <f>IF(R85&gt;=85,"ممتاز",IF(R85&gt;=75,"جيد جدا",IF(R85&gt;=65,"جيد",IF(R85&gt;=60,"مقبول","راسب"))))</f>
        <v>جيد</v>
      </c>
      <c r="T85" s="28" t="s">
        <v>316</v>
      </c>
      <c r="U85" s="29"/>
      <c r="V85" s="32">
        <f>SUM(E85,H85,K85,O85,R85)</f>
        <v>331.2</v>
      </c>
      <c r="W85" s="18" t="str">
        <f>IF(AND(H85&gt;=180,E85&gt;=120,O85&gt;=60,K85&gt;=60,R85&gt;=60,D85&gt;=30,N85&gt;=24),IF(V85&gt;=680,"ممتاز",IF(V85&gt;=600,"جيد جدا",IF(V85&gt;=520,"جيد",IF(V85&gt;=480,"مقبول","راسب")))),"راسب")</f>
        <v>راسب</v>
      </c>
      <c r="X85" s="19">
        <f>IF(AND(O85&gt;=60,R85&gt;=60,K85&gt;=60,H85&gt;=180,E85&gt;=120,D85&gt;=30,N85&gt;=24),(V85/800)*100%,0)</f>
        <v>0</v>
      </c>
    </row>
    <row r="86" spans="1:24" x14ac:dyDescent="0.35">
      <c r="A86" s="15">
        <v>77</v>
      </c>
      <c r="B86" s="23">
        <v>16221</v>
      </c>
      <c r="C86" s="23" t="s">
        <v>170</v>
      </c>
      <c r="D86" s="30">
        <v>46.3</v>
      </c>
      <c r="E86" s="30">
        <v>128.55000000000001</v>
      </c>
      <c r="F86" s="28" t="str">
        <f>IF(AND(D86&gt;=30),IF(E86&gt;=170,"ممتاز",IF(E86&gt;=150,"جيد جداً",IF(E86&gt;=130,"جيد",IF(E86&gt;=120,"مقبول","راسب")))),"راسب ")</f>
        <v>مقبول</v>
      </c>
      <c r="G86" s="28" t="s">
        <v>200</v>
      </c>
      <c r="H86" s="30">
        <v>185.5</v>
      </c>
      <c r="I86" s="18" t="str">
        <f>IF(H86&gt;=255,"ممتاز",IF(H86&gt;=225,"جيد جدا",IF(H86&gt;=195,"جيد",IF(H86&gt;=180,"مقبول","راسب"))))</f>
        <v>مقبول</v>
      </c>
      <c r="J86" s="28" t="s">
        <v>200</v>
      </c>
      <c r="K86" s="31">
        <v>64</v>
      </c>
      <c r="L86" s="28" t="str">
        <f>IF(K86&gt;=85,"ممتاز",IF(K86&gt;=75,"جيد جدا",IF(K86&gt;=65,"جيد",IF(K86&gt;=60,"مقبول","راسب"))))</f>
        <v>مقبول</v>
      </c>
      <c r="M86" s="28" t="s">
        <v>200</v>
      </c>
      <c r="N86" s="17">
        <v>32</v>
      </c>
      <c r="O86" s="37">
        <v>81.875</v>
      </c>
      <c r="P86" s="29" t="str">
        <f>IF(AND(N86&gt;=24),IF(O86&gt;=85,"ممتاز",IF(O86&gt;=75,"جيد جداً",IF(O86&gt;=65,"جيد",IF(O86&gt;=60,"مقبول","راسب")))),"راسب ")</f>
        <v>جيد جداً</v>
      </c>
      <c r="Q86" s="28" t="s">
        <v>316</v>
      </c>
      <c r="R86" s="30">
        <v>65</v>
      </c>
      <c r="S86" s="29" t="str">
        <f>IF(R86&gt;=85,"ممتاز",IF(R86&gt;=75,"جيد جدا",IF(R86&gt;=65,"جيد",IF(R86&gt;=60,"مقبول","راسب"))))</f>
        <v>جيد</v>
      </c>
      <c r="T86" s="28" t="s">
        <v>200</v>
      </c>
      <c r="U86" s="29"/>
      <c r="V86" s="32">
        <f>SUM(E86,H86,K86,O86,R86)</f>
        <v>524.92499999999995</v>
      </c>
      <c r="W86" s="18" t="str">
        <f>IF(AND(H86&gt;=180,E86&gt;=120,O86&gt;=60,K86&gt;=60,R86&gt;=60,D86&gt;=30,N86&gt;=24),IF(V86&gt;=680,"ممتاز",IF(V86&gt;=600,"جيد جدا",IF(V86&gt;=520,"جيد",IF(V86&gt;=480,"مقبول","راسب")))),"راسب")</f>
        <v>جيد</v>
      </c>
      <c r="X86" s="19">
        <f>IF(AND(O86&gt;=60,R86&gt;=60,K86&gt;=60,H86&gt;=180,E86&gt;=120,D86&gt;=30,N86&gt;=24),(V86/800)*100%,0)</f>
        <v>0.65615625</v>
      </c>
    </row>
    <row r="87" spans="1:24" x14ac:dyDescent="0.35">
      <c r="A87" s="15">
        <v>78</v>
      </c>
      <c r="B87" s="23">
        <v>21127</v>
      </c>
      <c r="C87" s="23" t="s">
        <v>309</v>
      </c>
      <c r="D87" s="30">
        <v>46.25</v>
      </c>
      <c r="E87" s="32">
        <v>148.25</v>
      </c>
      <c r="F87" s="28" t="str">
        <f>IF(AND(D87&gt;=30),IF(E87&gt;=170,"ممتاز",IF(E87&gt;=150,"جيد جداً",IF(E87&gt;=130,"جيد",IF(E87&gt;=120,"مقبول","راسب")))),"راسب ")</f>
        <v>جيد</v>
      </c>
      <c r="G87" s="28" t="s">
        <v>200</v>
      </c>
      <c r="H87" s="36">
        <v>181.66666666666669</v>
      </c>
      <c r="I87" s="18" t="str">
        <f>IF(H87&gt;=255,"ممتاز",IF(H87&gt;=225,"جيد جدا",IF(H87&gt;=195,"جيد",IF(H87&gt;=180,"مقبول","راسب"))))</f>
        <v>مقبول</v>
      </c>
      <c r="J87" s="28" t="s">
        <v>316</v>
      </c>
      <c r="K87" s="37">
        <v>63.86</v>
      </c>
      <c r="L87" s="28" t="str">
        <f>IF(K87&gt;=85,"ممتاز",IF(K87&gt;=75,"جيد جدا",IF(K87&gt;=65,"جيد",IF(K87&gt;=60,"مقبول","راسب"))))</f>
        <v>مقبول</v>
      </c>
      <c r="M87" s="28" t="s">
        <v>200</v>
      </c>
      <c r="N87" s="17">
        <v>29</v>
      </c>
      <c r="O87" s="37">
        <v>66.5</v>
      </c>
      <c r="P87" s="29" t="str">
        <f>IF(AND(N87&gt;=24),IF(O87&gt;=85,"ممتاز",IF(O87&gt;=75,"جيد جداً",IF(O87&gt;=65,"جيد",IF(O87&gt;=60,"مقبول","راسب")))),"راسب ")</f>
        <v>جيد</v>
      </c>
      <c r="Q87" s="28" t="s">
        <v>200</v>
      </c>
      <c r="R87" s="37">
        <v>65</v>
      </c>
      <c r="S87" s="29" t="str">
        <f>IF(R87&gt;=85,"ممتاز",IF(R87&gt;=75,"جيد جدا",IF(R87&gt;=65,"جيد",IF(R87&gt;=60,"مقبول","راسب"))))</f>
        <v>جيد</v>
      </c>
      <c r="T87" s="28" t="s">
        <v>200</v>
      </c>
      <c r="U87" s="29"/>
      <c r="V87" s="32">
        <f>SUM(E87,H87,K87,O87,R87)</f>
        <v>525.27666666666664</v>
      </c>
      <c r="W87" s="18" t="str">
        <f>IF(AND(H87&gt;=180,E87&gt;=120,O87&gt;=60,K87&gt;=60,R87&gt;=60,D87&gt;=30,N87&gt;=24),IF(V87&gt;=680,"ممتاز",IF(V87&gt;=600,"جيد جدا",IF(V87&gt;=520,"جيد",IF(V87&gt;=480,"مقبول","راسب")))),"راسب")</f>
        <v>جيد</v>
      </c>
      <c r="X87" s="19">
        <f>IF(AND(O87&gt;=60,R87&gt;=60,K87&gt;=60,H87&gt;=180,E87&gt;=120,D87&gt;=30,N87&gt;=24),(V87/800)*100%,0)</f>
        <v>0.65659583333333327</v>
      </c>
    </row>
    <row r="88" spans="1:24" x14ac:dyDescent="0.35">
      <c r="A88" s="15">
        <v>79</v>
      </c>
      <c r="B88" s="23">
        <v>16160</v>
      </c>
      <c r="C88" s="23" t="s">
        <v>169</v>
      </c>
      <c r="D88" s="32">
        <v>45.3</v>
      </c>
      <c r="E88" s="32">
        <v>129.30000000000001</v>
      </c>
      <c r="F88" s="28" t="str">
        <f>IF(AND(D88&gt;=30),IF(E88&gt;=170,"ممتاز",IF(E88&gt;=150,"جيد جداً",IF(E88&gt;=130,"جيد",IF(E88&gt;=120,"مقبول","راسب")))),"راسب ")</f>
        <v>مقبول</v>
      </c>
      <c r="G88" s="28" t="s">
        <v>200</v>
      </c>
      <c r="H88" s="32">
        <v>180</v>
      </c>
      <c r="I88" s="18" t="str">
        <f>IF(H88&gt;=255,"ممتاز",IF(H88&gt;=225,"جيد جدا",IF(H88&gt;=195,"جيد",IF(H88&gt;=180,"مقبول","راسب"))))</f>
        <v>مقبول</v>
      </c>
      <c r="J88" s="28" t="s">
        <v>200</v>
      </c>
      <c r="K88" s="32">
        <v>67.5</v>
      </c>
      <c r="L88" s="28" t="str">
        <f>IF(K88&gt;=85,"ممتاز",IF(K88&gt;=75,"جيد جدا",IF(K88&gt;=65,"جيد",IF(K88&gt;=60,"مقبول","راسب"))))</f>
        <v>جيد</v>
      </c>
      <c r="M88" s="28" t="s">
        <v>200</v>
      </c>
      <c r="N88" s="17">
        <v>26</v>
      </c>
      <c r="O88" s="17">
        <v>72.5</v>
      </c>
      <c r="P88" s="29" t="str">
        <f>IF(AND(N88&gt;=24),IF(O88&gt;=85,"ممتاز",IF(O88&gt;=75,"جيد جداً",IF(O88&gt;=65,"جيد",IF(O88&gt;=60,"مقبول","راسب")))),"راسب ")</f>
        <v>جيد</v>
      </c>
      <c r="Q88" s="28" t="s">
        <v>200</v>
      </c>
      <c r="R88" s="37">
        <v>64.0625</v>
      </c>
      <c r="S88" s="29" t="str">
        <f>IF(R88&gt;=85,"ممتاز",IF(R88&gt;=75,"جيد جدا",IF(R88&gt;=65,"جيد",IF(R88&gt;=60,"مقبول","راسب"))))</f>
        <v>مقبول</v>
      </c>
      <c r="T88" s="28" t="s">
        <v>316</v>
      </c>
      <c r="U88" s="29"/>
      <c r="V88" s="32">
        <f>SUM(E88,H88,K88,O88,R88)</f>
        <v>513.36249999999995</v>
      </c>
      <c r="W88" s="18" t="str">
        <f>IF(AND(H88&gt;=180,E88&gt;=120,O88&gt;=60,K88&gt;=60,R88&gt;=60,D88&gt;=30,N88&gt;=24),IF(V88&gt;=680,"ممتاز",IF(V88&gt;=600,"جيد جدا",IF(V88&gt;=520,"جيد",IF(V88&gt;=480,"مقبول","راسب")))),"راسب")</f>
        <v>مقبول</v>
      </c>
      <c r="X88" s="19">
        <f>IF(AND(O88&gt;=60,R88&gt;=60,K88&gt;=60,H88&gt;=180,E88&gt;=120,D88&gt;=30,N88&gt;=24),(V88/800)*100%,0)</f>
        <v>0.64170312499999993</v>
      </c>
    </row>
    <row r="89" spans="1:24" x14ac:dyDescent="0.35">
      <c r="A89" s="15">
        <v>80</v>
      </c>
      <c r="B89" s="15">
        <v>8512</v>
      </c>
      <c r="C89" s="15" t="s">
        <v>50</v>
      </c>
      <c r="D89" s="30">
        <v>0</v>
      </c>
      <c r="E89" s="30">
        <v>0</v>
      </c>
      <c r="F89" s="28" t="str">
        <f>IF(AND(D89&gt;=30),IF(E89&gt;=170,"ممتاز",IF(E89&gt;=150,"جيد جداً",IF(E89&gt;=130,"جيد",IF(E89&gt;=120,"مقبول","راسب")))),"راسب ")</f>
        <v xml:space="preserve">راسب </v>
      </c>
      <c r="G89" s="28" t="s">
        <v>315</v>
      </c>
      <c r="H89" s="30">
        <v>200</v>
      </c>
      <c r="I89" s="18" t="str">
        <f>IF(H89&gt;=255,"ممتاز",IF(H89&gt;=225,"جيد جدا",IF(H89&gt;=195,"جيد",IF(H89&gt;=180,"مقبول","راسب"))))</f>
        <v>جيد</v>
      </c>
      <c r="J89" s="28" t="s">
        <v>200</v>
      </c>
      <c r="K89" s="37">
        <v>0</v>
      </c>
      <c r="L89" s="28" t="str">
        <f>IF(K89&gt;=85,"ممتاز",IF(K89&gt;=75,"جيد جدا",IF(K89&gt;=65,"جيد",IF(K89&gt;=60,"مقبول","راسب"))))</f>
        <v>راسب</v>
      </c>
      <c r="M89" s="28" t="s">
        <v>315</v>
      </c>
      <c r="N89" s="17">
        <v>0</v>
      </c>
      <c r="O89" s="37">
        <v>0</v>
      </c>
      <c r="P89" s="29" t="str">
        <f>IF(AND(N89&gt;=24),IF(O89&gt;=85,"ممتاز",IF(O89&gt;=75,"جيد جداً",IF(O89&gt;=65,"جيد",IF(O89&gt;=60,"مقبول","راسب")))),"راسب ")</f>
        <v xml:space="preserve">راسب </v>
      </c>
      <c r="Q89" s="28" t="s">
        <v>315</v>
      </c>
      <c r="R89" s="30">
        <v>64</v>
      </c>
      <c r="S89" s="29" t="str">
        <f>IF(R89&gt;=85,"ممتاز",IF(R89&gt;=75,"جيد جدا",IF(R89&gt;=65,"جيد",IF(R89&gt;=60,"مقبول","راسب"))))</f>
        <v>مقبول</v>
      </c>
      <c r="T89" s="28" t="s">
        <v>200</v>
      </c>
      <c r="U89" s="29"/>
      <c r="V89" s="32">
        <f>SUM(E89,H89,K89,O89,R89)</f>
        <v>264</v>
      </c>
      <c r="W89" s="18" t="str">
        <f>IF(AND(H89&gt;=180,E89&gt;=120,O89&gt;=60,K89&gt;=60,R89&gt;=60,D89&gt;=30,N89&gt;=24),IF(V89&gt;=680,"ممتاز",IF(V89&gt;=600,"جيد جدا",IF(V89&gt;=520,"جيد",IF(V89&gt;=480,"مقبول","راسب")))),"راسب")</f>
        <v>راسب</v>
      </c>
      <c r="X89" s="19">
        <f>IF(AND(O89&gt;=60,R89&gt;=60,K89&gt;=60,H89&gt;=180,E89&gt;=120,D89&gt;=30,N89&gt;=24),(V89/800)*100%,0)</f>
        <v>0</v>
      </c>
    </row>
    <row r="90" spans="1:24" x14ac:dyDescent="0.35">
      <c r="A90" s="15">
        <v>81</v>
      </c>
      <c r="B90" s="15">
        <v>10490</v>
      </c>
      <c r="C90" s="15" t="s">
        <v>64</v>
      </c>
      <c r="D90" s="30">
        <v>0</v>
      </c>
      <c r="E90" s="30">
        <v>0</v>
      </c>
      <c r="F90" s="28" t="str">
        <f>IF(AND(D90&gt;=30),IF(E90&gt;=170,"ممتاز",IF(E90&gt;=150,"جيد جداً",IF(E90&gt;=130,"جيد",IF(E90&gt;=120,"مقبول","راسب")))),"راسب ")</f>
        <v xml:space="preserve">راسب </v>
      </c>
      <c r="G90" s="28" t="s">
        <v>315</v>
      </c>
      <c r="H90" s="32">
        <v>199</v>
      </c>
      <c r="I90" s="18" t="str">
        <f>IF(H90&gt;=255,"ممتاز",IF(H90&gt;=225,"جيد جدا",IF(H90&gt;=195,"جيد",IF(H90&gt;=180,"مقبول","راسب"))))</f>
        <v>جيد</v>
      </c>
      <c r="J90" s="28" t="s">
        <v>200</v>
      </c>
      <c r="K90" s="37">
        <v>0</v>
      </c>
      <c r="L90" s="28" t="str">
        <f>IF(K90&gt;=85,"ممتاز",IF(K90&gt;=75,"جيد جدا",IF(K90&gt;=65,"جيد",IF(K90&gt;=60,"مقبول","راسب"))))</f>
        <v>راسب</v>
      </c>
      <c r="M90" s="28" t="s">
        <v>315</v>
      </c>
      <c r="N90" s="17">
        <v>24</v>
      </c>
      <c r="O90" s="17">
        <v>65</v>
      </c>
      <c r="P90" s="29" t="str">
        <f>IF(AND(N90&gt;=24),IF(O90&gt;=85,"ممتاز",IF(O90&gt;=75,"جيد جداً",IF(O90&gt;=65,"جيد",IF(O90&gt;=60,"مقبول","راسب")))),"راسب ")</f>
        <v>جيد</v>
      </c>
      <c r="Q90" s="28" t="s">
        <v>200</v>
      </c>
      <c r="R90" s="30">
        <v>64</v>
      </c>
      <c r="S90" s="29" t="str">
        <f>IF(R90&gt;=85,"ممتاز",IF(R90&gt;=75,"جيد جدا",IF(R90&gt;=65,"جيد",IF(R90&gt;=60,"مقبول","راسب"))))</f>
        <v>مقبول</v>
      </c>
      <c r="T90" s="28" t="s">
        <v>200</v>
      </c>
      <c r="U90" s="29"/>
      <c r="V90" s="32">
        <f>SUM(E90,H90,K90,O90,R90)</f>
        <v>328</v>
      </c>
      <c r="W90" s="18" t="str">
        <f>IF(AND(H90&gt;=180,E90&gt;=120,O90&gt;=60,K90&gt;=60,R90&gt;=60,D90&gt;=30,N90&gt;=24),IF(V90&gt;=680,"ممتاز",IF(V90&gt;=600,"جيد جدا",IF(V90&gt;=520,"جيد",IF(V90&gt;=480,"مقبول","راسب")))),"راسب")</f>
        <v>راسب</v>
      </c>
      <c r="X90" s="19">
        <f>IF(AND(O90&gt;=60,R90&gt;=60,K90&gt;=60,H90&gt;=180,E90&gt;=120,D90&gt;=30,N90&gt;=24),(V90/800)*100%,0)</f>
        <v>0</v>
      </c>
    </row>
    <row r="91" spans="1:24" x14ac:dyDescent="0.35">
      <c r="A91" s="15">
        <v>82</v>
      </c>
      <c r="B91" s="24">
        <v>11628</v>
      </c>
      <c r="C91" s="20" t="s">
        <v>74</v>
      </c>
      <c r="D91" s="30">
        <v>0</v>
      </c>
      <c r="E91" s="30">
        <v>0</v>
      </c>
      <c r="F91" s="28" t="str">
        <f>IF(AND(D91&gt;=30),IF(E91&gt;=170,"ممتاز",IF(E91&gt;=150,"جيد جداً",IF(E91&gt;=130,"جيد",IF(E91&gt;=120,"مقبول","راسب")))),"راسب ")</f>
        <v xml:space="preserve">راسب </v>
      </c>
      <c r="G91" s="28" t="s">
        <v>315</v>
      </c>
      <c r="H91" s="30">
        <v>203</v>
      </c>
      <c r="I91" s="18" t="str">
        <f>IF(H91&gt;=255,"ممتاز",IF(H91&gt;=225,"جيد جدا",IF(H91&gt;=195,"جيد",IF(H91&gt;=180,"مقبول","راسب"))))</f>
        <v>جيد</v>
      </c>
      <c r="J91" s="28" t="s">
        <v>200</v>
      </c>
      <c r="K91" s="31">
        <v>60</v>
      </c>
      <c r="L91" s="28" t="str">
        <f>IF(K91&gt;=85,"ممتاز",IF(K91&gt;=75,"جيد جدا",IF(K91&gt;=65,"جيد",IF(K91&gt;=60,"مقبول","راسب"))))</f>
        <v>مقبول</v>
      </c>
      <c r="M91" s="28" t="s">
        <v>200</v>
      </c>
      <c r="N91" s="17">
        <v>24</v>
      </c>
      <c r="O91" s="17">
        <v>60</v>
      </c>
      <c r="P91" s="29" t="str">
        <f>IF(AND(N91&gt;=24),IF(O91&gt;=85,"ممتاز",IF(O91&gt;=75,"جيد جداً",IF(O91&gt;=65,"جيد",IF(O91&gt;=60,"مقبول","راسب")))),"راسب ")</f>
        <v>مقبول</v>
      </c>
      <c r="Q91" s="28" t="s">
        <v>200</v>
      </c>
      <c r="R91" s="30">
        <v>64</v>
      </c>
      <c r="S91" s="29" t="str">
        <f>IF(R91&gt;=85,"ممتاز",IF(R91&gt;=75,"جيد جدا",IF(R91&gt;=65,"جيد",IF(R91&gt;=60,"مقبول","راسب"))))</f>
        <v>مقبول</v>
      </c>
      <c r="T91" s="28" t="s">
        <v>200</v>
      </c>
      <c r="U91" s="29"/>
      <c r="V91" s="32">
        <f>SUM(E91,H91,K91,O91,R91)</f>
        <v>387</v>
      </c>
      <c r="W91" s="18" t="str">
        <f>IF(AND(H91&gt;=180,E91&gt;=120,O91&gt;=60,K91&gt;=60,R91&gt;=60,D91&gt;=30,N91&gt;=24),IF(V91&gt;=680,"ممتاز",IF(V91&gt;=600,"جيد جدا",IF(V91&gt;=520,"جيد",IF(V91&gt;=480,"مقبول","راسب")))),"راسب")</f>
        <v>راسب</v>
      </c>
      <c r="X91" s="19">
        <f>IF(AND(O91&gt;=60,R91&gt;=60,K91&gt;=60,H91&gt;=180,E91&gt;=120,D91&gt;=30,N91&gt;=24),(V91/800)*100%,0)</f>
        <v>0</v>
      </c>
    </row>
    <row r="92" spans="1:24" x14ac:dyDescent="0.35">
      <c r="A92" s="15">
        <v>83</v>
      </c>
      <c r="B92" s="15">
        <v>14174</v>
      </c>
      <c r="C92" s="15" t="s">
        <v>216</v>
      </c>
      <c r="D92" s="30">
        <v>36</v>
      </c>
      <c r="E92" s="32">
        <v>129.25</v>
      </c>
      <c r="F92" s="28" t="str">
        <f>IF(AND(D92&gt;=30),IF(E92&gt;=170,"ممتاز",IF(E92&gt;=150,"جيد جداً",IF(E92&gt;=130,"جيد",IF(E92&gt;=120,"مقبول","راسب")))),"راسب ")</f>
        <v>مقبول</v>
      </c>
      <c r="G92" s="28" t="s">
        <v>200</v>
      </c>
      <c r="H92" s="36">
        <v>164</v>
      </c>
      <c r="I92" s="18" t="str">
        <f>IF(H92&gt;=255,"ممتاز",IF(H92&gt;=225,"جيد جدا",IF(H92&gt;=195,"جيد",IF(H92&gt;=180,"مقبول","راسب"))))</f>
        <v>راسب</v>
      </c>
      <c r="J92" s="28" t="s">
        <v>316</v>
      </c>
      <c r="K92" s="37">
        <v>72.84</v>
      </c>
      <c r="L92" s="28" t="str">
        <f>IF(K92&gt;=85,"ممتاز",IF(K92&gt;=75,"جيد جدا",IF(K92&gt;=65,"جيد",IF(K92&gt;=60,"مقبول","راسب"))))</f>
        <v>جيد</v>
      </c>
      <c r="M92" s="28" t="s">
        <v>200</v>
      </c>
      <c r="N92" s="17">
        <v>27</v>
      </c>
      <c r="O92" s="37">
        <v>60.5</v>
      </c>
      <c r="P92" s="29" t="str">
        <f>IF(AND(N92&gt;=24),IF(O92&gt;=85,"ممتاز",IF(O92&gt;=75,"جيد جداً",IF(O92&gt;=65,"جيد",IF(O92&gt;=60,"مقبول","راسب")))),"راسب ")</f>
        <v>مقبول</v>
      </c>
      <c r="Q92" s="28" t="s">
        <v>200</v>
      </c>
      <c r="R92" s="37">
        <v>64</v>
      </c>
      <c r="S92" s="29" t="str">
        <f>IF(R92&gt;=85,"ممتاز",IF(R92&gt;=75,"جيد جدا",IF(R92&gt;=65,"جيد",IF(R92&gt;=60,"مقبول","راسب"))))</f>
        <v>مقبول</v>
      </c>
      <c r="T92" s="28" t="s">
        <v>200</v>
      </c>
      <c r="U92" s="29"/>
      <c r="V92" s="32">
        <f>SUM(E92,H92,K92,O92,R92)</f>
        <v>490.59000000000003</v>
      </c>
      <c r="W92" s="18" t="str">
        <f>IF(AND(H92&gt;=180,E92&gt;=120,O92&gt;=60,K92&gt;=60,R92&gt;=60,D92&gt;=30,N92&gt;=24),IF(V92&gt;=680,"ممتاز",IF(V92&gt;=600,"جيد جدا",IF(V92&gt;=520,"جيد",IF(V92&gt;=480,"مقبول","راسب")))),"راسب")</f>
        <v>راسب</v>
      </c>
      <c r="X92" s="19">
        <f>IF(AND(O92&gt;=60,R92&gt;=60,K92&gt;=60,H92&gt;=180,E92&gt;=120,D92&gt;=30,N92&gt;=24),(V92/800)*100%,0)</f>
        <v>0</v>
      </c>
    </row>
    <row r="93" spans="1:24" x14ac:dyDescent="0.35">
      <c r="A93" s="15">
        <v>84</v>
      </c>
      <c r="B93" s="15">
        <v>9494</v>
      </c>
      <c r="C93" s="15" t="s">
        <v>62</v>
      </c>
      <c r="D93" s="32">
        <v>55</v>
      </c>
      <c r="E93" s="30">
        <v>120</v>
      </c>
      <c r="F93" s="28" t="str">
        <f>IF(AND(D93&gt;=30),IF(E93&gt;=170,"ممتاز",IF(E93&gt;=150,"جيد جداً",IF(E93&gt;=130,"جيد",IF(E93&gt;=120,"مقبول","راسب")))),"راسب ")</f>
        <v>مقبول</v>
      </c>
      <c r="G93" s="28" t="s">
        <v>200</v>
      </c>
      <c r="H93" s="30">
        <v>180</v>
      </c>
      <c r="I93" s="18" t="str">
        <f>IF(H93&gt;=255,"ممتاز",IF(H93&gt;=225,"جيد جدا",IF(H93&gt;=195,"جيد",IF(H93&gt;=180,"مقبول","راسب"))))</f>
        <v>مقبول</v>
      </c>
      <c r="J93" s="28" t="s">
        <v>200</v>
      </c>
      <c r="K93" s="31">
        <v>66</v>
      </c>
      <c r="L93" s="28" t="str">
        <f>IF(K93&gt;=85,"ممتاز",IF(K93&gt;=75,"جيد جدا",IF(K93&gt;=65,"جيد",IF(K93&gt;=60,"مقبول","راسب"))))</f>
        <v>جيد</v>
      </c>
      <c r="M93" s="28" t="s">
        <v>200</v>
      </c>
      <c r="N93" s="17">
        <v>0</v>
      </c>
      <c r="O93" s="37">
        <v>0</v>
      </c>
      <c r="P93" s="29" t="str">
        <f>IF(AND(N93&gt;=24),IF(O93&gt;=85,"ممتاز",IF(O93&gt;=75,"جيد جداً",IF(O93&gt;=65,"جيد",IF(O93&gt;=60,"مقبول","راسب")))),"راسب ")</f>
        <v xml:space="preserve">راسب </v>
      </c>
      <c r="Q93" s="28" t="s">
        <v>315</v>
      </c>
      <c r="R93" s="30">
        <v>63.75</v>
      </c>
      <c r="S93" s="29" t="str">
        <f>IF(R93&gt;=85,"ممتاز",IF(R93&gt;=75,"جيد جدا",IF(R93&gt;=65,"جيد",IF(R93&gt;=60,"مقبول","راسب"))))</f>
        <v>مقبول</v>
      </c>
      <c r="T93" s="28" t="s">
        <v>200</v>
      </c>
      <c r="U93" s="29"/>
      <c r="V93" s="32">
        <f>SUM(E93,H93,K93,O93,R93)</f>
        <v>429.75</v>
      </c>
      <c r="W93" s="18" t="str">
        <f>IF(AND(H93&gt;=180,E93&gt;=120,O93&gt;=60,K93&gt;=60,R93&gt;=60,D93&gt;=30,N93&gt;=24),IF(V93&gt;=680,"ممتاز",IF(V93&gt;=600,"جيد جدا",IF(V93&gt;=520,"جيد",IF(V93&gt;=480,"مقبول","راسب")))),"راسب")</f>
        <v>راسب</v>
      </c>
      <c r="X93" s="19">
        <f>IF(AND(O93&gt;=60,R93&gt;=60,K93&gt;=60,H93&gt;=180,E93&gt;=120,D93&gt;=30,N93&gt;=24),(V93/800)*100%,0)</f>
        <v>0</v>
      </c>
    </row>
    <row r="94" spans="1:24" x14ac:dyDescent="0.35">
      <c r="A94" s="15">
        <v>85</v>
      </c>
      <c r="B94" s="23">
        <v>18497</v>
      </c>
      <c r="C94" s="23" t="s">
        <v>268</v>
      </c>
      <c r="D94" s="30">
        <v>40.5</v>
      </c>
      <c r="E94" s="32">
        <v>151.25</v>
      </c>
      <c r="F94" s="28" t="str">
        <f>IF(AND(D94&gt;=30),IF(E94&gt;=170,"ممتاز",IF(E94&gt;=150,"جيد جداً",IF(E94&gt;=130,"جيد",IF(E94&gt;=120,"مقبول","راسب")))),"راسب ")</f>
        <v>جيد جداً</v>
      </c>
      <c r="G94" s="28" t="s">
        <v>200</v>
      </c>
      <c r="H94" s="36">
        <v>180</v>
      </c>
      <c r="I94" s="18" t="str">
        <f>IF(H94&gt;=255,"ممتاز",IF(H94&gt;=225,"جيد جدا",IF(H94&gt;=195,"جيد",IF(H94&gt;=180,"مقبول","راسب"))))</f>
        <v>مقبول</v>
      </c>
      <c r="J94" s="28" t="s">
        <v>200</v>
      </c>
      <c r="K94" s="37">
        <v>82.15</v>
      </c>
      <c r="L94" s="28" t="str">
        <f>IF(K94&gt;=85,"ممتاز",IF(K94&gt;=75,"جيد جدا",IF(K94&gt;=65,"جيد",IF(K94&gt;=60,"مقبول","راسب"))))</f>
        <v>جيد جدا</v>
      </c>
      <c r="M94" s="28" t="s">
        <v>200</v>
      </c>
      <c r="N94" s="17">
        <v>37</v>
      </c>
      <c r="O94" s="37">
        <v>91</v>
      </c>
      <c r="P94" s="29" t="str">
        <f>IF(AND(N94&gt;=24),IF(O94&gt;=85,"ممتاز",IF(O94&gt;=75,"جيد جداً",IF(O94&gt;=65,"جيد",IF(O94&gt;=60,"مقبول","راسب")))),"راسب ")</f>
        <v>ممتاز</v>
      </c>
      <c r="Q94" s="28" t="s">
        <v>200</v>
      </c>
      <c r="R94" s="37">
        <v>63.75</v>
      </c>
      <c r="S94" s="29" t="str">
        <f>IF(R94&gt;=85,"ممتاز",IF(R94&gt;=75,"جيد جدا",IF(R94&gt;=65,"جيد",IF(R94&gt;=60,"مقبول","راسب"))))</f>
        <v>مقبول</v>
      </c>
      <c r="T94" s="28" t="s">
        <v>316</v>
      </c>
      <c r="U94" s="29"/>
      <c r="V94" s="32">
        <f>SUM(E94,H94,K94,O94,R94)</f>
        <v>568.15</v>
      </c>
      <c r="W94" s="18" t="str">
        <f>IF(AND(H94&gt;=180,E94&gt;=120,O94&gt;=60,K94&gt;=60,R94&gt;=60,D94&gt;=30,N94&gt;=24),IF(V94&gt;=680,"ممتاز",IF(V94&gt;=600,"جيد جدا",IF(V94&gt;=520,"جيد",IF(V94&gt;=480,"مقبول","راسب")))),"راسب")</f>
        <v>جيد</v>
      </c>
      <c r="X94" s="19">
        <f>IF(AND(O94&gt;=60,R94&gt;=60,K94&gt;=60,H94&gt;=180,E94&gt;=120,D94&gt;=30,N94&gt;=24),(V94/800)*100%,0)</f>
        <v>0.71018749999999997</v>
      </c>
    </row>
    <row r="95" spans="1:24" x14ac:dyDescent="0.35">
      <c r="A95" s="15">
        <v>86</v>
      </c>
      <c r="B95" s="15">
        <v>15313</v>
      </c>
      <c r="C95" s="15" t="s">
        <v>109</v>
      </c>
      <c r="D95" s="30">
        <v>39</v>
      </c>
      <c r="E95" s="30">
        <v>129</v>
      </c>
      <c r="F95" s="28" t="str">
        <f>IF(AND(D95&gt;=30),IF(E95&gt;=170,"ممتاز",IF(E95&gt;=150,"جيد جداً",IF(E95&gt;=130,"جيد",IF(E95&gt;=120,"مقبول","راسب")))),"راسب ")</f>
        <v>مقبول</v>
      </c>
      <c r="G95" s="28" t="s">
        <v>200</v>
      </c>
      <c r="H95" s="36">
        <v>198.33333333333334</v>
      </c>
      <c r="I95" s="18" t="str">
        <f>IF(H95&gt;=255,"ممتاز",IF(H95&gt;=225,"جيد جدا",IF(H95&gt;=195,"جيد",IF(H95&gt;=180,"مقبول","راسب"))))</f>
        <v>جيد</v>
      </c>
      <c r="J95" s="28" t="s">
        <v>316</v>
      </c>
      <c r="K95" s="31">
        <v>70</v>
      </c>
      <c r="L95" s="28" t="str">
        <f>IF(K95&gt;=85,"ممتاز",IF(K95&gt;=75,"جيد جدا",IF(K95&gt;=65,"جيد",IF(K95&gt;=60,"مقبول","راسب"))))</f>
        <v>جيد</v>
      </c>
      <c r="M95" s="28" t="s">
        <v>200</v>
      </c>
      <c r="N95" s="17">
        <v>25</v>
      </c>
      <c r="O95" s="37">
        <v>65</v>
      </c>
      <c r="P95" s="29" t="str">
        <f>IF(AND(N95&gt;=24),IF(O95&gt;=85,"ممتاز",IF(O95&gt;=75,"جيد جداً",IF(O95&gt;=65,"جيد",IF(O95&gt;=60,"مقبول","راسب")))),"راسب ")</f>
        <v>جيد</v>
      </c>
      <c r="Q95" s="28" t="s">
        <v>316</v>
      </c>
      <c r="R95" s="30">
        <v>63.44</v>
      </c>
      <c r="S95" s="29" t="str">
        <f>IF(R95&gt;=85,"ممتاز",IF(R95&gt;=75,"جيد جدا",IF(R95&gt;=65,"جيد",IF(R95&gt;=60,"مقبول","راسب"))))</f>
        <v>مقبول</v>
      </c>
      <c r="T95" s="28" t="s">
        <v>200</v>
      </c>
      <c r="U95" s="29"/>
      <c r="V95" s="32">
        <f>SUM(E95,H95,K95,O95,R95)</f>
        <v>525.77333333333331</v>
      </c>
      <c r="W95" s="18" t="str">
        <f>IF(AND(H95&gt;=180,E95&gt;=120,O95&gt;=60,K95&gt;=60,R95&gt;=60,D95&gt;=30,N95&gt;=24),IF(V95&gt;=680,"ممتاز",IF(V95&gt;=600,"جيد جدا",IF(V95&gt;=520,"جيد",IF(V95&gt;=480,"مقبول","راسب")))),"راسب")</f>
        <v>جيد</v>
      </c>
      <c r="X95" s="19">
        <f>IF(AND(O95&gt;=60,R95&gt;=60,K95&gt;=60,H95&gt;=180,E95&gt;=120,D95&gt;=30,N95&gt;=24),(V95/800)*100%,0)</f>
        <v>0.65721666666666667</v>
      </c>
    </row>
    <row r="96" spans="1:24" x14ac:dyDescent="0.35">
      <c r="A96" s="15">
        <v>87</v>
      </c>
      <c r="B96" s="25">
        <v>15842</v>
      </c>
      <c r="C96" s="26" t="s">
        <v>166</v>
      </c>
      <c r="D96" s="30">
        <v>36</v>
      </c>
      <c r="E96" s="30">
        <v>125.3</v>
      </c>
      <c r="F96" s="28" t="str">
        <f>IF(AND(D96&gt;=30),IF(E96&gt;=170,"ممتاز",IF(E96&gt;=150,"جيد جداً",IF(E96&gt;=130,"جيد",IF(E96&gt;=120,"مقبول","راسب")))),"راسب ")</f>
        <v>مقبول</v>
      </c>
      <c r="G96" s="28" t="s">
        <v>200</v>
      </c>
      <c r="H96" s="30">
        <v>195.5</v>
      </c>
      <c r="I96" s="18" t="str">
        <f>IF(H96&gt;=255,"ممتاز",IF(H96&gt;=225,"جيد جدا",IF(H96&gt;=195,"جيد",IF(H96&gt;=180,"مقبول","راسب"))))</f>
        <v>جيد</v>
      </c>
      <c r="J96" s="28" t="s">
        <v>200</v>
      </c>
      <c r="K96" s="30">
        <v>60</v>
      </c>
      <c r="L96" s="28" t="str">
        <f>IF(K96&gt;=85,"ممتاز",IF(K96&gt;=75,"جيد جدا",IF(K96&gt;=65,"جيد",IF(K96&gt;=60,"مقبول","راسب"))))</f>
        <v>مقبول</v>
      </c>
      <c r="M96" s="28" t="s">
        <v>200</v>
      </c>
      <c r="N96" s="17">
        <v>0</v>
      </c>
      <c r="O96" s="37">
        <v>21.25</v>
      </c>
      <c r="P96" s="29" t="str">
        <f>IF(AND(N96&gt;=24),IF(O96&gt;=85,"ممتاز",IF(O96&gt;=75,"جيد جداً",IF(O96&gt;=65,"جيد",IF(O96&gt;=60,"مقبول","راسب")))),"راسب ")</f>
        <v xml:space="preserve">راسب </v>
      </c>
      <c r="Q96" s="28" t="s">
        <v>316</v>
      </c>
      <c r="R96" s="30">
        <v>63.44</v>
      </c>
      <c r="S96" s="29" t="str">
        <f>IF(R96&gt;=85,"ممتاز",IF(R96&gt;=75,"جيد جدا",IF(R96&gt;=65,"جيد",IF(R96&gt;=60,"مقبول","راسب"))))</f>
        <v>مقبول</v>
      </c>
      <c r="T96" s="28" t="s">
        <v>200</v>
      </c>
      <c r="U96" s="29"/>
      <c r="V96" s="32">
        <f>SUM(E96,H96,K96,O96,R96)</f>
        <v>465.49</v>
      </c>
      <c r="W96" s="18" t="str">
        <f>IF(AND(H96&gt;=180,E96&gt;=120,O96&gt;=60,K96&gt;=60,R96&gt;=60,D96&gt;=30,N96&gt;=24),IF(V96&gt;=680,"ممتاز",IF(V96&gt;=600,"جيد جدا",IF(V96&gt;=520,"جيد",IF(V96&gt;=480,"مقبول","راسب")))),"راسب")</f>
        <v>راسب</v>
      </c>
      <c r="X96" s="19">
        <f>IF(AND(O96&gt;=60,R96&gt;=60,K96&gt;=60,H96&gt;=180,E96&gt;=120,D96&gt;=30,N96&gt;=24),(V96/800)*100%,0)</f>
        <v>0</v>
      </c>
    </row>
    <row r="97" spans="1:24" x14ac:dyDescent="0.35">
      <c r="A97" s="15">
        <v>88</v>
      </c>
      <c r="B97" s="23">
        <v>18177</v>
      </c>
      <c r="C97" s="23" t="s">
        <v>260</v>
      </c>
      <c r="D97" s="30">
        <v>43.5</v>
      </c>
      <c r="E97" s="32">
        <v>150.65</v>
      </c>
      <c r="F97" s="28" t="str">
        <f>IF(AND(D97&gt;=30),IF(E97&gt;=170,"ممتاز",IF(E97&gt;=150,"جيد جداً",IF(E97&gt;=130,"جيد",IF(E97&gt;=120,"مقبول","راسب")))),"راسب ")</f>
        <v>جيد جداً</v>
      </c>
      <c r="G97" s="28" t="s">
        <v>200</v>
      </c>
      <c r="H97" s="36">
        <v>207</v>
      </c>
      <c r="I97" s="18" t="str">
        <f>IF(H97&gt;=255,"ممتاز",IF(H97&gt;=225,"جيد جدا",IF(H97&gt;=195,"جيد",IF(H97&gt;=180,"مقبول","راسب"))))</f>
        <v>جيد</v>
      </c>
      <c r="J97" s="28" t="s">
        <v>200</v>
      </c>
      <c r="K97" s="37">
        <v>64</v>
      </c>
      <c r="L97" s="28" t="str">
        <f>IF(K97&gt;=85,"ممتاز",IF(K97&gt;=75,"جيد جدا",IF(K97&gt;=65,"جيد",IF(K97&gt;=60,"مقبول","راسب"))))</f>
        <v>مقبول</v>
      </c>
      <c r="M97" s="28" t="s">
        <v>316</v>
      </c>
      <c r="N97" s="17">
        <v>29</v>
      </c>
      <c r="O97" s="37">
        <v>70.5</v>
      </c>
      <c r="P97" s="29" t="str">
        <f>IF(AND(N97&gt;=24),IF(O97&gt;=85,"ممتاز",IF(O97&gt;=75,"جيد جداً",IF(O97&gt;=65,"جيد",IF(O97&gt;=60,"مقبول","راسب")))),"راسب ")</f>
        <v>جيد</v>
      </c>
      <c r="Q97" s="28" t="s">
        <v>200</v>
      </c>
      <c r="R97" s="37">
        <v>63.25</v>
      </c>
      <c r="S97" s="29" t="str">
        <f>IF(R97&gt;=85,"ممتاز",IF(R97&gt;=75,"جيد جدا",IF(R97&gt;=65,"جيد",IF(R97&gt;=60,"مقبول","راسب"))))</f>
        <v>مقبول</v>
      </c>
      <c r="T97" s="28" t="s">
        <v>200</v>
      </c>
      <c r="U97" s="29"/>
      <c r="V97" s="32">
        <f>SUM(E97,H97,K97,O97,R97)</f>
        <v>555.4</v>
      </c>
      <c r="W97" s="18" t="str">
        <f>IF(AND(H97&gt;=180,E97&gt;=120,O97&gt;=60,K97&gt;=60,R97&gt;=60,D97&gt;=30,N97&gt;=24),IF(V97&gt;=680,"ممتاز",IF(V97&gt;=600,"جيد جدا",IF(V97&gt;=520,"جيد",IF(V97&gt;=480,"مقبول","راسب")))),"راسب")</f>
        <v>جيد</v>
      </c>
      <c r="X97" s="19">
        <f>IF(AND(O97&gt;=60,R97&gt;=60,K97&gt;=60,H97&gt;=180,E97&gt;=120,D97&gt;=30,N97&gt;=24),(V97/800)*100%,0)</f>
        <v>0.69424999999999992</v>
      </c>
    </row>
    <row r="98" spans="1:24" x14ac:dyDescent="0.35">
      <c r="A98" s="15">
        <v>89</v>
      </c>
      <c r="B98" s="15">
        <v>16081</v>
      </c>
      <c r="C98" s="15" t="s">
        <v>229</v>
      </c>
      <c r="D98" s="30">
        <v>36</v>
      </c>
      <c r="E98" s="32">
        <v>126.1</v>
      </c>
      <c r="F98" s="28" t="str">
        <f>IF(AND(D98&gt;=30),IF(E98&gt;=170,"ممتاز",IF(E98&gt;=150,"جيد جداً",IF(E98&gt;=130,"جيد",IF(E98&gt;=120,"مقبول","راسب")))),"راسب ")</f>
        <v>مقبول</v>
      </c>
      <c r="G98" s="28" t="s">
        <v>200</v>
      </c>
      <c r="H98" s="36">
        <v>192</v>
      </c>
      <c r="I98" s="18" t="str">
        <f>IF(H98&gt;=255,"ممتاز",IF(H98&gt;=225,"جيد جدا",IF(H98&gt;=195,"جيد",IF(H98&gt;=180,"مقبول","راسب"))))</f>
        <v>مقبول</v>
      </c>
      <c r="J98" s="28" t="s">
        <v>200</v>
      </c>
      <c r="K98" s="37">
        <v>72</v>
      </c>
      <c r="L98" s="28" t="str">
        <f>IF(K98&gt;=85,"ممتاز",IF(K98&gt;=75,"جيد جدا",IF(K98&gt;=65,"جيد",IF(K98&gt;=60,"مقبول","راسب"))))</f>
        <v>جيد</v>
      </c>
      <c r="M98" s="28" t="s">
        <v>200</v>
      </c>
      <c r="N98" s="17">
        <v>33</v>
      </c>
      <c r="O98" s="37">
        <v>81.25</v>
      </c>
      <c r="P98" s="29" t="str">
        <f>IF(AND(N98&gt;=24),IF(O98&gt;=85,"ممتاز",IF(O98&gt;=75,"جيد جداً",IF(O98&gt;=65,"جيد",IF(O98&gt;=60,"مقبول","راسب")))),"راسب ")</f>
        <v>جيد جداً</v>
      </c>
      <c r="Q98" s="28" t="s">
        <v>316</v>
      </c>
      <c r="R98" s="37">
        <v>63.125</v>
      </c>
      <c r="S98" s="29" t="str">
        <f>IF(R98&gt;=85,"ممتاز",IF(R98&gt;=75,"جيد جدا",IF(R98&gt;=65,"جيد",IF(R98&gt;=60,"مقبول","راسب"))))</f>
        <v>مقبول</v>
      </c>
      <c r="T98" s="28" t="s">
        <v>316</v>
      </c>
      <c r="U98" s="29"/>
      <c r="V98" s="32">
        <f>SUM(E98,H98,K98,O98,R98)</f>
        <v>534.47500000000002</v>
      </c>
      <c r="W98" s="18" t="str">
        <f>IF(AND(H98&gt;=180,E98&gt;=120,O98&gt;=60,K98&gt;=60,R98&gt;=60,D98&gt;=30,N98&gt;=24),IF(V98&gt;=680,"ممتاز",IF(V98&gt;=600,"جيد جدا",IF(V98&gt;=520,"جيد",IF(V98&gt;=480,"مقبول","راسب")))),"راسب")</f>
        <v>جيد</v>
      </c>
      <c r="X98" s="19">
        <f>IF(AND(O98&gt;=60,R98&gt;=60,K98&gt;=60,H98&gt;=180,E98&gt;=120,D98&gt;=30,N98&gt;=24),(V98/800)*100%,0)</f>
        <v>0.66809375000000004</v>
      </c>
    </row>
    <row r="99" spans="1:24" x14ac:dyDescent="0.35">
      <c r="A99" s="15">
        <v>90</v>
      </c>
      <c r="B99" s="23">
        <v>18167</v>
      </c>
      <c r="C99" s="23" t="s">
        <v>185</v>
      </c>
      <c r="D99" s="30">
        <v>47.3</v>
      </c>
      <c r="E99" s="30">
        <v>141.05000000000001</v>
      </c>
      <c r="F99" s="28" t="str">
        <f>IF(AND(D99&gt;=30),IF(E99&gt;=170,"ممتاز",IF(E99&gt;=150,"جيد جداً",IF(E99&gt;=130,"جيد",IF(E99&gt;=120,"مقبول","راسب")))),"راسب ")</f>
        <v>جيد</v>
      </c>
      <c r="G99" s="28" t="s">
        <v>200</v>
      </c>
      <c r="H99" s="32">
        <v>191.67</v>
      </c>
      <c r="I99" s="18" t="str">
        <f>IF(H99&gt;=255,"ممتاز",IF(H99&gt;=225,"جيد جدا",IF(H99&gt;=195,"جيد",IF(H99&gt;=180,"مقبول","راسب"))))</f>
        <v>مقبول</v>
      </c>
      <c r="J99" s="28" t="s">
        <v>200</v>
      </c>
      <c r="K99" s="32">
        <v>74</v>
      </c>
      <c r="L99" s="28" t="str">
        <f>IF(K99&gt;=85,"ممتاز",IF(K99&gt;=75,"جيد جدا",IF(K99&gt;=65,"جيد",IF(K99&gt;=60,"مقبول","راسب"))))</f>
        <v>جيد</v>
      </c>
      <c r="M99" s="28" t="s">
        <v>200</v>
      </c>
      <c r="N99" s="22">
        <v>24.5</v>
      </c>
      <c r="O99" s="22">
        <v>61.25</v>
      </c>
      <c r="P99" s="29" t="str">
        <f>IF(AND(N99&gt;=24),IF(O99&gt;=85,"ممتاز",IF(O99&gt;=75,"جيد جداً",IF(O99&gt;=65,"جيد",IF(O99&gt;=60,"مقبول","راسب")))),"راسب ")</f>
        <v>مقبول</v>
      </c>
      <c r="Q99" s="28" t="s">
        <v>200</v>
      </c>
      <c r="R99" s="37">
        <v>62.8125</v>
      </c>
      <c r="S99" s="29" t="str">
        <f>IF(R99&gt;=85,"ممتاز",IF(R99&gt;=75,"جيد جدا",IF(R99&gt;=65,"جيد",IF(R99&gt;=60,"مقبول","راسب"))))</f>
        <v>مقبول</v>
      </c>
      <c r="T99" s="28" t="s">
        <v>316</v>
      </c>
      <c r="U99" s="29"/>
      <c r="V99" s="32">
        <f>SUM(E99,H99,K99,O99,R99)</f>
        <v>530.78250000000003</v>
      </c>
      <c r="W99" s="18" t="str">
        <f>IF(AND(H99&gt;=180,E99&gt;=120,O99&gt;=60,K99&gt;=60,R99&gt;=60,D99&gt;=30,N99&gt;=24),IF(V99&gt;=680,"ممتاز",IF(V99&gt;=600,"جيد جدا",IF(V99&gt;=520,"جيد",IF(V99&gt;=480,"مقبول","راسب")))),"راسب")</f>
        <v>جيد</v>
      </c>
      <c r="X99" s="19">
        <f>IF(AND(O99&gt;=60,R99&gt;=60,K99&gt;=60,H99&gt;=180,E99&gt;=120,D99&gt;=30,N99&gt;=24),(V99/800)*100%,0)</f>
        <v>0.66347812500000003</v>
      </c>
    </row>
    <row r="100" spans="1:24" x14ac:dyDescent="0.35">
      <c r="A100" s="15">
        <v>91</v>
      </c>
      <c r="B100" s="23">
        <v>20723</v>
      </c>
      <c r="C100" s="23" t="s">
        <v>197</v>
      </c>
      <c r="D100" s="30">
        <v>43.5</v>
      </c>
      <c r="E100" s="30">
        <v>134.75</v>
      </c>
      <c r="F100" s="28" t="str">
        <f>IF(AND(D100&gt;=30),IF(E100&gt;=170,"ممتاز",IF(E100&gt;=150,"جيد جداً",IF(E100&gt;=130,"جيد",IF(E100&gt;=120,"مقبول","راسب")))),"راسب ")</f>
        <v>جيد</v>
      </c>
      <c r="G100" s="28" t="s">
        <v>200</v>
      </c>
      <c r="H100" s="32">
        <v>180</v>
      </c>
      <c r="I100" s="18" t="str">
        <f>IF(H100&gt;=255,"ممتاز",IF(H100&gt;=225,"جيد جدا",IF(H100&gt;=195,"جيد",IF(H100&gt;=180,"مقبول","راسب"))))</f>
        <v>مقبول</v>
      </c>
      <c r="J100" s="28" t="s">
        <v>200</v>
      </c>
      <c r="K100" s="31">
        <v>72</v>
      </c>
      <c r="L100" s="28" t="str">
        <f>IF(K100&gt;=85,"ممتاز",IF(K100&gt;=75,"جيد جدا",IF(K100&gt;=65,"جيد",IF(K100&gt;=60,"مقبول","راسب"))))</f>
        <v>جيد</v>
      </c>
      <c r="M100" s="28" t="s">
        <v>200</v>
      </c>
      <c r="N100" s="17">
        <v>26</v>
      </c>
      <c r="O100" s="17">
        <v>63.13</v>
      </c>
      <c r="P100" s="29" t="str">
        <f>IF(AND(N100&gt;=24),IF(O100&gt;=85,"ممتاز",IF(O100&gt;=75,"جيد جداً",IF(O100&gt;=65,"جيد",IF(O100&gt;=60,"مقبول","راسب")))),"راسب ")</f>
        <v>مقبول</v>
      </c>
      <c r="Q100" s="28" t="s">
        <v>200</v>
      </c>
      <c r="R100" s="37">
        <v>62.8125</v>
      </c>
      <c r="S100" s="29" t="str">
        <f>IF(R100&gt;=85,"ممتاز",IF(R100&gt;=75,"جيد جدا",IF(R100&gt;=65,"جيد",IF(R100&gt;=60,"مقبول","راسب"))))</f>
        <v>مقبول</v>
      </c>
      <c r="T100" s="28" t="s">
        <v>316</v>
      </c>
      <c r="U100" s="29"/>
      <c r="V100" s="32">
        <f>SUM(E100,H100,K100,O100,R100)</f>
        <v>512.6925</v>
      </c>
      <c r="W100" s="18" t="str">
        <f>IF(AND(H100&gt;=180,E100&gt;=120,O100&gt;=60,K100&gt;=60,R100&gt;=60,D100&gt;=30,N100&gt;=24),IF(V100&gt;=680,"ممتاز",IF(V100&gt;=600,"جيد جدا",IF(V100&gt;=520,"جيد",IF(V100&gt;=480,"مقبول","راسب")))),"راسب")</f>
        <v>مقبول</v>
      </c>
      <c r="X100" s="19">
        <f>IF(AND(O100&gt;=60,R100&gt;=60,K100&gt;=60,H100&gt;=180,E100&gt;=120,D100&gt;=30,N100&gt;=24),(V100/800)*100%,0)</f>
        <v>0.64086562499999999</v>
      </c>
    </row>
    <row r="101" spans="1:24" x14ac:dyDescent="0.35">
      <c r="A101" s="15">
        <v>92</v>
      </c>
      <c r="B101" s="15">
        <v>15314</v>
      </c>
      <c r="C101" s="15" t="s">
        <v>158</v>
      </c>
      <c r="D101" s="30">
        <v>41.75</v>
      </c>
      <c r="E101" s="30">
        <v>127.2</v>
      </c>
      <c r="F101" s="28" t="str">
        <f>IF(AND(D101&gt;=30),IF(E101&gt;=170,"ممتاز",IF(E101&gt;=150,"جيد جداً",IF(E101&gt;=130,"جيد",IF(E101&gt;=120,"مقبول","راسب")))),"راسب ")</f>
        <v>مقبول</v>
      </c>
      <c r="G101" s="28" t="s">
        <v>200</v>
      </c>
      <c r="H101" s="36">
        <v>110</v>
      </c>
      <c r="I101" s="18" t="str">
        <f>IF(H101&gt;=255,"ممتاز",IF(H101&gt;=225,"جيد جدا",IF(H101&gt;=195,"جيد",IF(H101&gt;=180,"مقبول","راسب"))))</f>
        <v>راسب</v>
      </c>
      <c r="J101" s="28" t="s">
        <v>316</v>
      </c>
      <c r="K101" s="32">
        <v>60</v>
      </c>
      <c r="L101" s="28" t="str">
        <f>IF(K101&gt;=85,"ممتاز",IF(K101&gt;=75,"جيد جدا",IF(K101&gt;=65,"جيد",IF(K101&gt;=60,"مقبول","راسب"))))</f>
        <v>مقبول</v>
      </c>
      <c r="M101" s="28" t="s">
        <v>200</v>
      </c>
      <c r="N101" s="17">
        <v>28</v>
      </c>
      <c r="O101" s="37">
        <v>63.125</v>
      </c>
      <c r="P101" s="29" t="str">
        <f>IF(AND(N101&gt;=24),IF(O101&gt;=85,"ممتاز",IF(O101&gt;=75,"جيد جداً",IF(O101&gt;=65,"جيد",IF(O101&gt;=60,"مقبول","راسب")))),"راسب ")</f>
        <v>مقبول</v>
      </c>
      <c r="Q101" s="28" t="s">
        <v>316</v>
      </c>
      <c r="R101" s="30">
        <v>62.75</v>
      </c>
      <c r="S101" s="29" t="str">
        <f>IF(R101&gt;=85,"ممتاز",IF(R101&gt;=75,"جيد جدا",IF(R101&gt;=65,"جيد",IF(R101&gt;=60,"مقبول","راسب"))))</f>
        <v>مقبول</v>
      </c>
      <c r="T101" s="28" t="s">
        <v>200</v>
      </c>
      <c r="U101" s="29"/>
      <c r="V101" s="32">
        <f>SUM(E101,H101,K101,O101,R101)</f>
        <v>423.07499999999999</v>
      </c>
      <c r="W101" s="18" t="str">
        <f>IF(AND(H101&gt;=180,E101&gt;=120,O101&gt;=60,K101&gt;=60,R101&gt;=60,D101&gt;=30,N101&gt;=24),IF(V101&gt;=680,"ممتاز",IF(V101&gt;=600,"جيد جدا",IF(V101&gt;=520,"جيد",IF(V101&gt;=480,"مقبول","راسب")))),"راسب")</f>
        <v>راسب</v>
      </c>
      <c r="X101" s="19">
        <f>IF(AND(O101&gt;=60,R101&gt;=60,K101&gt;=60,H101&gt;=180,E101&gt;=120,D101&gt;=30,N101&gt;=24),(V101/800)*100%,0)</f>
        <v>0</v>
      </c>
    </row>
    <row r="102" spans="1:24" x14ac:dyDescent="0.35">
      <c r="A102" s="15">
        <v>93</v>
      </c>
      <c r="B102" s="15">
        <v>16112</v>
      </c>
      <c r="C102" s="15" t="s">
        <v>231</v>
      </c>
      <c r="D102" s="30">
        <v>43.8</v>
      </c>
      <c r="E102" s="30">
        <v>120.3</v>
      </c>
      <c r="F102" s="28" t="str">
        <f>IF(AND(D102&gt;=30),IF(E102&gt;=170,"ممتاز",IF(E102&gt;=150,"جيد جداً",IF(E102&gt;=130,"جيد",IF(E102&gt;=120,"مقبول","راسب")))),"راسب ")</f>
        <v>مقبول</v>
      </c>
      <c r="G102" s="28" t="s">
        <v>316</v>
      </c>
      <c r="H102" s="36">
        <v>111.66666666666667</v>
      </c>
      <c r="I102" s="18" t="str">
        <f>IF(H102&gt;=255,"ممتاز",IF(H102&gt;=225,"جيد جدا",IF(H102&gt;=195,"جيد",IF(H102&gt;=180,"مقبول","راسب"))))</f>
        <v>راسب</v>
      </c>
      <c r="J102" s="28" t="s">
        <v>316</v>
      </c>
      <c r="K102" s="37">
        <v>73.650000000000006</v>
      </c>
      <c r="L102" s="28" t="str">
        <f>IF(K102&gt;=85,"ممتاز",IF(K102&gt;=75,"جيد جدا",IF(K102&gt;=65,"جيد",IF(K102&gt;=60,"مقبول","راسب"))))</f>
        <v>جيد</v>
      </c>
      <c r="M102" s="28" t="s">
        <v>200</v>
      </c>
      <c r="N102" s="17">
        <v>30</v>
      </c>
      <c r="O102" s="37">
        <v>66.88</v>
      </c>
      <c r="P102" s="29" t="str">
        <f>IF(AND(N102&gt;=24),IF(O102&gt;=85,"ممتاز",IF(O102&gt;=75,"جيد جداً",IF(O102&gt;=65,"جيد",IF(O102&gt;=60,"مقبول","راسب")))),"راسب ")</f>
        <v>جيد</v>
      </c>
      <c r="Q102" s="28" t="s">
        <v>200</v>
      </c>
      <c r="R102" s="37">
        <v>62.5</v>
      </c>
      <c r="S102" s="29" t="str">
        <f>IF(R102&gt;=85,"ممتاز",IF(R102&gt;=75,"جيد جدا",IF(R102&gt;=65,"جيد",IF(R102&gt;=60,"مقبول","راسب"))))</f>
        <v>مقبول</v>
      </c>
      <c r="T102" s="28" t="s">
        <v>200</v>
      </c>
      <c r="U102" s="29"/>
      <c r="V102" s="32">
        <f>SUM(E102,H102,K102,O102,R102)</f>
        <v>434.99666666666667</v>
      </c>
      <c r="W102" s="18" t="str">
        <f>IF(AND(H102&gt;=180,E102&gt;=120,O102&gt;=60,K102&gt;=60,R102&gt;=60,D102&gt;=30,N102&gt;=24),IF(V102&gt;=680,"ممتاز",IF(V102&gt;=600,"جيد جدا",IF(V102&gt;=520,"جيد",IF(V102&gt;=480,"مقبول","راسب")))),"راسب")</f>
        <v>راسب</v>
      </c>
      <c r="X102" s="19">
        <f>IF(AND(O102&gt;=60,R102&gt;=60,K102&gt;=60,H102&gt;=180,E102&gt;=120,D102&gt;=30,N102&gt;=24),(V102/800)*100%,0)</f>
        <v>0</v>
      </c>
    </row>
    <row r="103" spans="1:24" x14ac:dyDescent="0.35">
      <c r="A103" s="15">
        <v>94</v>
      </c>
      <c r="B103" s="15">
        <v>8414</v>
      </c>
      <c r="C103" s="15" t="s">
        <v>48</v>
      </c>
      <c r="D103" s="30">
        <v>36</v>
      </c>
      <c r="E103" s="30">
        <v>120</v>
      </c>
      <c r="F103" s="28" t="str">
        <f>IF(AND(D103&gt;=30),IF(E103&gt;=170,"ممتاز",IF(E103&gt;=150,"جيد جداً",IF(E103&gt;=130,"جيد",IF(E103&gt;=120,"مقبول","راسب")))),"راسب ")</f>
        <v>مقبول</v>
      </c>
      <c r="G103" s="28" t="s">
        <v>200</v>
      </c>
      <c r="H103" s="36">
        <v>0</v>
      </c>
      <c r="I103" s="18" t="str">
        <f>IF(H103&gt;=255,"ممتاز",IF(H103&gt;=225,"جيد جدا",IF(H103&gt;=195,"جيد",IF(H103&gt;=180,"مقبول","راسب"))))</f>
        <v>راسب</v>
      </c>
      <c r="J103" s="28" t="s">
        <v>315</v>
      </c>
      <c r="K103" s="37">
        <v>0</v>
      </c>
      <c r="L103" s="28" t="str">
        <f>IF(K103&gt;=85,"ممتاز",IF(K103&gt;=75,"جيد جدا",IF(K103&gt;=65,"جيد",IF(K103&gt;=60,"مقبول","راسب"))))</f>
        <v>راسب</v>
      </c>
      <c r="M103" s="28" t="s">
        <v>315</v>
      </c>
      <c r="N103" s="17">
        <v>0</v>
      </c>
      <c r="O103" s="37">
        <v>0</v>
      </c>
      <c r="P103" s="29" t="str">
        <f>IF(AND(N103&gt;=24),IF(O103&gt;=85,"ممتاز",IF(O103&gt;=75,"جيد جداً",IF(O103&gt;=65,"جيد",IF(O103&gt;=60,"مقبول","راسب")))),"راسب ")</f>
        <v xml:space="preserve">راسب </v>
      </c>
      <c r="Q103" s="28" t="s">
        <v>315</v>
      </c>
      <c r="R103" s="30">
        <v>62</v>
      </c>
      <c r="S103" s="29" t="str">
        <f>IF(R103&gt;=85,"ممتاز",IF(R103&gt;=75,"جيد جدا",IF(R103&gt;=65,"جيد",IF(R103&gt;=60,"مقبول","راسب"))))</f>
        <v>مقبول</v>
      </c>
      <c r="T103" s="28" t="s">
        <v>200</v>
      </c>
      <c r="U103" s="29"/>
      <c r="V103" s="32">
        <f>SUM(E103,H103,K103,O103,R103)</f>
        <v>182</v>
      </c>
      <c r="W103" s="18" t="str">
        <f>IF(AND(H103&gt;=180,E103&gt;=120,O103&gt;=60,K103&gt;=60,R103&gt;=60,D103&gt;=30,N103&gt;=24),IF(V103&gt;=680,"ممتاز",IF(V103&gt;=600,"جيد جدا",IF(V103&gt;=520,"جيد",IF(V103&gt;=480,"مقبول","راسب")))),"راسب")</f>
        <v>راسب</v>
      </c>
      <c r="X103" s="19">
        <f>IF(AND(O103&gt;=60,R103&gt;=60,K103&gt;=60,H103&gt;=180,E103&gt;=120,D103&gt;=30,N103&gt;=24),(V103/800)*100%,0)</f>
        <v>0</v>
      </c>
    </row>
    <row r="104" spans="1:24" x14ac:dyDescent="0.35">
      <c r="A104" s="15">
        <v>95</v>
      </c>
      <c r="B104" s="23">
        <v>17299</v>
      </c>
      <c r="C104" s="23" t="s">
        <v>177</v>
      </c>
      <c r="D104" s="30">
        <v>36</v>
      </c>
      <c r="E104" s="30">
        <v>120.15</v>
      </c>
      <c r="F104" s="28" t="str">
        <f>IF(AND(D104&gt;=30),IF(E104&gt;=170,"ممتاز",IF(E104&gt;=150,"جيد جداً",IF(E104&gt;=130,"جيد",IF(E104&gt;=120,"مقبول","راسب")))),"راسب ")</f>
        <v>مقبول</v>
      </c>
      <c r="G104" s="28" t="s">
        <v>200</v>
      </c>
      <c r="H104" s="32">
        <v>198.15</v>
      </c>
      <c r="I104" s="18" t="str">
        <f>IF(H104&gt;=255,"ممتاز",IF(H104&gt;=225,"جيد جدا",IF(H104&gt;=195,"جيد",IF(H104&gt;=180,"مقبول","راسب"))))</f>
        <v>جيد</v>
      </c>
      <c r="J104" s="28" t="s">
        <v>200</v>
      </c>
      <c r="K104" s="32">
        <v>60</v>
      </c>
      <c r="L104" s="28" t="str">
        <f>IF(K104&gt;=85,"ممتاز",IF(K104&gt;=75,"جيد جدا",IF(K104&gt;=65,"جيد",IF(K104&gt;=60,"مقبول","راسب"))))</f>
        <v>مقبول</v>
      </c>
      <c r="M104" s="28" t="s">
        <v>200</v>
      </c>
      <c r="N104" s="17">
        <v>25</v>
      </c>
      <c r="O104" s="37">
        <v>69.375</v>
      </c>
      <c r="P104" s="29" t="str">
        <f>IF(AND(N104&gt;=24),IF(O104&gt;=85,"ممتاز",IF(O104&gt;=75,"جيد جداً",IF(O104&gt;=65,"جيد",IF(O104&gt;=60,"مقبول","راسب")))),"راسب ")</f>
        <v>جيد</v>
      </c>
      <c r="Q104" s="28" t="s">
        <v>316</v>
      </c>
      <c r="R104" s="30">
        <v>61.88</v>
      </c>
      <c r="S104" s="29" t="str">
        <f>IF(R104&gt;=85,"ممتاز",IF(R104&gt;=75,"جيد جدا",IF(R104&gt;=65,"جيد",IF(R104&gt;=60,"مقبول","راسب"))))</f>
        <v>مقبول</v>
      </c>
      <c r="T104" s="28" t="s">
        <v>200</v>
      </c>
      <c r="U104" s="29"/>
      <c r="V104" s="32">
        <f>SUM(E104,H104,K104,O104,R104)</f>
        <v>509.55500000000001</v>
      </c>
      <c r="W104" s="18" t="str">
        <f>IF(AND(H104&gt;=180,E104&gt;=120,O104&gt;=60,K104&gt;=60,R104&gt;=60,D104&gt;=30,N104&gt;=24),IF(V104&gt;=680,"ممتاز",IF(V104&gt;=600,"جيد جدا",IF(V104&gt;=520,"جيد",IF(V104&gt;=480,"مقبول","راسب")))),"راسب")</f>
        <v>مقبول</v>
      </c>
      <c r="X104" s="19">
        <f>IF(AND(O104&gt;=60,R104&gt;=60,K104&gt;=60,H104&gt;=180,E104&gt;=120,D104&gt;=30,N104&gt;=24),(V104/800)*100%,0)</f>
        <v>0.63694375000000003</v>
      </c>
    </row>
    <row r="105" spans="1:24" x14ac:dyDescent="0.35">
      <c r="A105" s="15">
        <v>96</v>
      </c>
      <c r="B105" s="23">
        <v>20665</v>
      </c>
      <c r="C105" s="23" t="s">
        <v>308</v>
      </c>
      <c r="D105" s="30">
        <v>42.25</v>
      </c>
      <c r="E105" s="32">
        <v>135.44999999999999</v>
      </c>
      <c r="F105" s="28" t="str">
        <f>IF(AND(D105&gt;=30),IF(E105&gt;=170,"ممتاز",IF(E105&gt;=150,"جيد جداً",IF(E105&gt;=130,"جيد",IF(E105&gt;=120,"مقبول","راسب")))),"راسب ")</f>
        <v>جيد</v>
      </c>
      <c r="G105" s="28" t="s">
        <v>200</v>
      </c>
      <c r="H105" s="36">
        <v>188.33333333333334</v>
      </c>
      <c r="I105" s="18" t="str">
        <f>IF(H105&gt;=255,"ممتاز",IF(H105&gt;=225,"جيد جدا",IF(H105&gt;=195,"جيد",IF(H105&gt;=180,"مقبول","راسب"))))</f>
        <v>مقبول</v>
      </c>
      <c r="J105" s="28" t="s">
        <v>316</v>
      </c>
      <c r="K105" s="37">
        <v>50</v>
      </c>
      <c r="L105" s="28" t="str">
        <f>IF(K105&gt;=85,"ممتاز",IF(K105&gt;=75,"جيد جدا",IF(K105&gt;=65,"جيد",IF(K105&gt;=60,"مقبول","راسب"))))</f>
        <v>راسب</v>
      </c>
      <c r="M105" s="28" t="s">
        <v>316</v>
      </c>
      <c r="N105" s="17">
        <v>15</v>
      </c>
      <c r="O105" s="37">
        <v>52.5</v>
      </c>
      <c r="P105" s="29" t="str">
        <f>IF(AND(N105&gt;=24),IF(O105&gt;=85,"ممتاز",IF(O105&gt;=75,"جيد جداً",IF(O105&gt;=65,"جيد",IF(O105&gt;=60,"مقبول","راسب")))),"راسب ")</f>
        <v xml:space="preserve">راسب </v>
      </c>
      <c r="Q105" s="28" t="s">
        <v>316</v>
      </c>
      <c r="R105" s="37">
        <v>61.875</v>
      </c>
      <c r="S105" s="29" t="str">
        <f>IF(R105&gt;=85,"ممتاز",IF(R105&gt;=75,"جيد جدا",IF(R105&gt;=65,"جيد",IF(R105&gt;=60,"مقبول","راسب"))))</f>
        <v>مقبول</v>
      </c>
      <c r="T105" s="28" t="s">
        <v>316</v>
      </c>
      <c r="U105" s="29"/>
      <c r="V105" s="32">
        <f>SUM(E105,H105,K105,O105,R105)</f>
        <v>488.1583333333333</v>
      </c>
      <c r="W105" s="18" t="str">
        <f>IF(AND(H105&gt;=180,E105&gt;=120,O105&gt;=60,K105&gt;=60,R105&gt;=60,D105&gt;=30,N105&gt;=24),IF(V105&gt;=680,"ممتاز",IF(V105&gt;=600,"جيد جدا",IF(V105&gt;=520,"جيد",IF(V105&gt;=480,"مقبول","راسب")))),"راسب")</f>
        <v>راسب</v>
      </c>
      <c r="X105" s="19">
        <f>IF(AND(O105&gt;=60,R105&gt;=60,K105&gt;=60,H105&gt;=180,E105&gt;=120,D105&gt;=30,N105&gt;=24),(V105/800)*100%,0)</f>
        <v>0</v>
      </c>
    </row>
    <row r="106" spans="1:24" x14ac:dyDescent="0.35">
      <c r="A106" s="15">
        <v>97</v>
      </c>
      <c r="B106" s="23">
        <v>15147</v>
      </c>
      <c r="C106" s="23" t="s">
        <v>106</v>
      </c>
      <c r="D106" s="30">
        <v>0</v>
      </c>
      <c r="E106" s="30">
        <v>0</v>
      </c>
      <c r="F106" s="28" t="str">
        <f>IF(AND(D106&gt;=30),IF(E106&gt;=170,"ممتاز",IF(E106&gt;=150,"جيد جداً",IF(E106&gt;=130,"جيد",IF(E106&gt;=120,"مقبول","راسب")))),"راسب ")</f>
        <v xml:space="preserve">راسب </v>
      </c>
      <c r="G106" s="28" t="s">
        <v>315</v>
      </c>
      <c r="H106" s="36">
        <v>0</v>
      </c>
      <c r="I106" s="18" t="str">
        <f>IF(H106&gt;=255,"ممتاز",IF(H106&gt;=225,"جيد جدا",IF(H106&gt;=195,"جيد",IF(H106&gt;=180,"مقبول","راسب"))))</f>
        <v>راسب</v>
      </c>
      <c r="J106" s="28" t="s">
        <v>315</v>
      </c>
      <c r="K106" s="32">
        <v>61</v>
      </c>
      <c r="L106" s="28" t="str">
        <f>IF(K106&gt;=85,"ممتاز",IF(K106&gt;=75,"جيد جدا",IF(K106&gt;=65,"جيد",IF(K106&gt;=60,"مقبول","راسب"))))</f>
        <v>مقبول</v>
      </c>
      <c r="M106" s="28" t="s">
        <v>200</v>
      </c>
      <c r="N106" s="17">
        <v>0</v>
      </c>
      <c r="O106" s="37">
        <v>0</v>
      </c>
      <c r="P106" s="29" t="str">
        <f>IF(AND(N106&gt;=24),IF(O106&gt;=85,"ممتاز",IF(O106&gt;=75,"جيد جداً",IF(O106&gt;=65,"جيد",IF(O106&gt;=60,"مقبول","راسب")))),"راسب ")</f>
        <v xml:space="preserve">راسب </v>
      </c>
      <c r="Q106" s="28" t="s">
        <v>315</v>
      </c>
      <c r="R106" s="30">
        <v>61.75</v>
      </c>
      <c r="S106" s="29" t="str">
        <f>IF(R106&gt;=85,"ممتاز",IF(R106&gt;=75,"جيد جدا",IF(R106&gt;=65,"جيد",IF(R106&gt;=60,"مقبول","راسب"))))</f>
        <v>مقبول</v>
      </c>
      <c r="T106" s="28" t="s">
        <v>200</v>
      </c>
      <c r="U106" s="29"/>
      <c r="V106" s="32">
        <f>SUM(E106,H106,K106,O106,R106)</f>
        <v>122.75</v>
      </c>
      <c r="W106" s="18" t="str">
        <f>IF(AND(H106&gt;=180,E106&gt;=120,O106&gt;=60,K106&gt;=60,R106&gt;=60,D106&gt;=30,N106&gt;=24),IF(V106&gt;=680,"ممتاز",IF(V106&gt;=600,"جيد جدا",IF(V106&gt;=520,"جيد",IF(V106&gt;=480,"مقبول","راسب")))),"راسب")</f>
        <v>راسب</v>
      </c>
      <c r="X106" s="19">
        <f>IF(AND(O106&gt;=60,R106&gt;=60,K106&gt;=60,H106&gt;=180,E106&gt;=120,D106&gt;=30,N106&gt;=24),(V106/800)*100%,0)</f>
        <v>0</v>
      </c>
    </row>
    <row r="107" spans="1:24" x14ac:dyDescent="0.35">
      <c r="A107" s="15">
        <v>98</v>
      </c>
      <c r="B107" s="15">
        <v>17189</v>
      </c>
      <c r="C107" s="15" t="s">
        <v>175</v>
      </c>
      <c r="D107" s="30">
        <v>36</v>
      </c>
      <c r="E107" s="30">
        <v>135.30000000000001</v>
      </c>
      <c r="F107" s="28" t="str">
        <f>IF(AND(D107&gt;=30),IF(E107&gt;=170,"ممتاز",IF(E107&gt;=150,"جيد جداً",IF(E107&gt;=130,"جيد",IF(E107&gt;=120,"مقبول","راسب")))),"راسب ")</f>
        <v>جيد</v>
      </c>
      <c r="G107" s="28" t="s">
        <v>200</v>
      </c>
      <c r="H107" s="30">
        <v>198.5</v>
      </c>
      <c r="I107" s="18" t="str">
        <f>IF(H107&gt;=255,"ممتاز",IF(H107&gt;=225,"جيد جدا",IF(H107&gt;=195,"جيد",IF(H107&gt;=180,"مقبول","راسب"))))</f>
        <v>جيد</v>
      </c>
      <c r="J107" s="28" t="s">
        <v>200</v>
      </c>
      <c r="K107" s="31">
        <v>70</v>
      </c>
      <c r="L107" s="28" t="str">
        <f>IF(K107&gt;=85,"ممتاز",IF(K107&gt;=75,"جيد جدا",IF(K107&gt;=65,"جيد",IF(K107&gt;=60,"مقبول","راسب"))))</f>
        <v>جيد</v>
      </c>
      <c r="M107" s="28" t="s">
        <v>200</v>
      </c>
      <c r="N107" s="17">
        <v>29</v>
      </c>
      <c r="O107" s="17">
        <v>71.5</v>
      </c>
      <c r="P107" s="29" t="str">
        <f>IF(AND(N107&gt;=24),IF(O107&gt;=85,"ممتاز",IF(O107&gt;=75,"جيد جداً",IF(O107&gt;=65,"جيد",IF(O107&gt;=60,"مقبول","راسب")))),"راسب ")</f>
        <v>جيد</v>
      </c>
      <c r="Q107" s="28" t="s">
        <v>200</v>
      </c>
      <c r="R107" s="37">
        <v>61.625</v>
      </c>
      <c r="S107" s="29" t="str">
        <f>IF(R107&gt;=85,"ممتاز",IF(R107&gt;=75,"جيد جدا",IF(R107&gt;=65,"جيد",IF(R107&gt;=60,"مقبول","راسب"))))</f>
        <v>مقبول</v>
      </c>
      <c r="T107" s="28" t="s">
        <v>316</v>
      </c>
      <c r="U107" s="29"/>
      <c r="V107" s="32">
        <f>SUM(E107,H107,K107,O107,R107)</f>
        <v>536.92499999999995</v>
      </c>
      <c r="W107" s="18" t="str">
        <f>IF(AND(H107&gt;=180,E107&gt;=120,O107&gt;=60,K107&gt;=60,R107&gt;=60,D107&gt;=30,N107&gt;=24),IF(V107&gt;=680,"ممتاز",IF(V107&gt;=600,"جيد جدا",IF(V107&gt;=520,"جيد",IF(V107&gt;=480,"مقبول","راسب")))),"راسب")</f>
        <v>جيد</v>
      </c>
      <c r="X107" s="19">
        <f>IF(AND(O107&gt;=60,R107&gt;=60,K107&gt;=60,H107&gt;=180,E107&gt;=120,D107&gt;=30,N107&gt;=24),(V107/800)*100%,0)</f>
        <v>0.6711562499999999</v>
      </c>
    </row>
    <row r="108" spans="1:24" x14ac:dyDescent="0.35">
      <c r="A108" s="15">
        <v>99</v>
      </c>
      <c r="B108" s="23">
        <v>12073</v>
      </c>
      <c r="C108" s="23" t="s">
        <v>80</v>
      </c>
      <c r="D108" s="30">
        <v>35.4</v>
      </c>
      <c r="E108" s="30">
        <v>104.65</v>
      </c>
      <c r="F108" s="28" t="str">
        <f>IF(AND(D108&gt;=30),IF(E108&gt;=170,"ممتاز",IF(E108&gt;=150,"جيد جداً",IF(E108&gt;=130,"جيد",IF(E108&gt;=120,"مقبول","راسب")))),"راسب ")</f>
        <v>راسب</v>
      </c>
      <c r="G108" s="28" t="s">
        <v>316</v>
      </c>
      <c r="H108" s="30">
        <v>191</v>
      </c>
      <c r="I108" s="18" t="str">
        <f>IF(H108&gt;=255,"ممتاز",IF(H108&gt;=225,"جيد جدا",IF(H108&gt;=195,"جيد",IF(H108&gt;=180,"مقبول","راسب"))))</f>
        <v>مقبول</v>
      </c>
      <c r="J108" s="28" t="s">
        <v>200</v>
      </c>
      <c r="K108" s="31">
        <v>60</v>
      </c>
      <c r="L108" s="28" t="str">
        <f>IF(K108&gt;=85,"ممتاز",IF(K108&gt;=75,"جيد جدا",IF(K108&gt;=65,"جيد",IF(K108&gt;=60,"مقبول","راسب"))))</f>
        <v>مقبول</v>
      </c>
      <c r="M108" s="28" t="s">
        <v>200</v>
      </c>
      <c r="N108" s="17">
        <v>24</v>
      </c>
      <c r="O108" s="17">
        <v>60</v>
      </c>
      <c r="P108" s="29" t="str">
        <f>IF(AND(N108&gt;=24),IF(O108&gt;=85,"ممتاز",IF(O108&gt;=75,"جيد جداً",IF(O108&gt;=65,"جيد",IF(O108&gt;=60,"مقبول","راسب")))),"راسب ")</f>
        <v>مقبول</v>
      </c>
      <c r="Q108" s="28" t="s">
        <v>200</v>
      </c>
      <c r="R108" s="37">
        <v>61.5625</v>
      </c>
      <c r="S108" s="29" t="str">
        <f>IF(R108&gt;=85,"ممتاز",IF(R108&gt;=75,"جيد جدا",IF(R108&gt;=65,"جيد",IF(R108&gt;=60,"مقبول","راسب"))))</f>
        <v>مقبول</v>
      </c>
      <c r="T108" s="28" t="s">
        <v>316</v>
      </c>
      <c r="U108" s="29"/>
      <c r="V108" s="32">
        <f>SUM(E108,H108,K108,O108,R108)</f>
        <v>477.21249999999998</v>
      </c>
      <c r="W108" s="18" t="str">
        <f>IF(AND(H108&gt;=180,E108&gt;=120,O108&gt;=60,K108&gt;=60,R108&gt;=60,D108&gt;=30,N108&gt;=24),IF(V108&gt;=680,"ممتاز",IF(V108&gt;=600,"جيد جدا",IF(V108&gt;=520,"جيد",IF(V108&gt;=480,"مقبول","راسب")))),"راسب")</f>
        <v>راسب</v>
      </c>
      <c r="X108" s="19">
        <f>IF(AND(O108&gt;=60,R108&gt;=60,K108&gt;=60,H108&gt;=180,E108&gt;=120,D108&gt;=30,N108&gt;=24),(V108/800)*100%,0)</f>
        <v>0</v>
      </c>
    </row>
    <row r="109" spans="1:24" x14ac:dyDescent="0.35">
      <c r="A109" s="15">
        <v>100</v>
      </c>
      <c r="B109" s="23">
        <v>18020</v>
      </c>
      <c r="C109" s="23" t="s">
        <v>254</v>
      </c>
      <c r="D109" s="30">
        <v>37.5</v>
      </c>
      <c r="E109" s="32">
        <v>134.25</v>
      </c>
      <c r="F109" s="28" t="str">
        <f>IF(AND(D109&gt;=30),IF(E109&gt;=170,"ممتاز",IF(E109&gt;=150,"جيد جداً",IF(E109&gt;=130,"جيد",IF(E109&gt;=120,"مقبول","راسب")))),"راسب ")</f>
        <v>جيد</v>
      </c>
      <c r="G109" s="28" t="s">
        <v>200</v>
      </c>
      <c r="H109" s="36">
        <v>195</v>
      </c>
      <c r="I109" s="18" t="str">
        <f>IF(H109&gt;=255,"ممتاز",IF(H109&gt;=225,"جيد جدا",IF(H109&gt;=195,"جيد",IF(H109&gt;=180,"مقبول","راسب"))))</f>
        <v>جيد</v>
      </c>
      <c r="J109" s="28" t="s">
        <v>200</v>
      </c>
      <c r="K109" s="37">
        <v>62.99</v>
      </c>
      <c r="L109" s="28" t="str">
        <f>IF(K109&gt;=85,"ممتاز",IF(K109&gt;=75,"جيد جدا",IF(K109&gt;=65,"جيد",IF(K109&gt;=60,"مقبول","راسب"))))</f>
        <v>مقبول</v>
      </c>
      <c r="M109" s="28" t="s">
        <v>200</v>
      </c>
      <c r="N109" s="17">
        <v>24</v>
      </c>
      <c r="O109" s="37">
        <v>60.625</v>
      </c>
      <c r="P109" s="29" t="str">
        <f>IF(AND(N109&gt;=24),IF(O109&gt;=85,"ممتاز",IF(O109&gt;=75,"جيد جداً",IF(O109&gt;=65,"جيد",IF(O109&gt;=60,"مقبول","راسب")))),"راسب ")</f>
        <v>مقبول</v>
      </c>
      <c r="Q109" s="28" t="s">
        <v>316</v>
      </c>
      <c r="R109" s="37">
        <v>61.5625</v>
      </c>
      <c r="S109" s="29" t="str">
        <f>IF(R109&gt;=85,"ممتاز",IF(R109&gt;=75,"جيد جدا",IF(R109&gt;=65,"جيد",IF(R109&gt;=60,"مقبول","راسب"))))</f>
        <v>مقبول</v>
      </c>
      <c r="T109" s="28" t="s">
        <v>316</v>
      </c>
      <c r="U109" s="29"/>
      <c r="V109" s="32">
        <f>SUM(E109,H109,K109,O109,R109)</f>
        <v>514.42750000000001</v>
      </c>
      <c r="W109" s="18" t="str">
        <f>IF(AND(H109&gt;=180,E109&gt;=120,O109&gt;=60,K109&gt;=60,R109&gt;=60,D109&gt;=30,N109&gt;=24),IF(V109&gt;=680,"ممتاز",IF(V109&gt;=600,"جيد جدا",IF(V109&gt;=520,"جيد",IF(V109&gt;=480,"مقبول","راسب")))),"راسب")</f>
        <v>مقبول</v>
      </c>
      <c r="X109" s="19">
        <f>IF(AND(O109&gt;=60,R109&gt;=60,K109&gt;=60,H109&gt;=180,E109&gt;=120,D109&gt;=30,N109&gt;=24),(V109/800)*100%,0)</f>
        <v>0.64303437500000005</v>
      </c>
    </row>
    <row r="110" spans="1:24" x14ac:dyDescent="0.35">
      <c r="A110" s="15">
        <v>101</v>
      </c>
      <c r="B110" s="20">
        <v>13771</v>
      </c>
      <c r="C110" s="20" t="s">
        <v>148</v>
      </c>
      <c r="D110" s="30">
        <v>37</v>
      </c>
      <c r="E110" s="30">
        <v>109</v>
      </c>
      <c r="F110" s="28" t="str">
        <f>IF(AND(D110&gt;=30),IF(E110&gt;=170,"ممتاز",IF(E110&gt;=150,"جيد جداً",IF(E110&gt;=130,"جيد",IF(E110&gt;=120,"مقبول","راسب")))),"راسب ")</f>
        <v>راسب</v>
      </c>
      <c r="G110" s="28" t="s">
        <v>316</v>
      </c>
      <c r="H110" s="36">
        <v>133.33333333333334</v>
      </c>
      <c r="I110" s="18" t="str">
        <f>IF(H110&gt;=255,"ممتاز",IF(H110&gt;=225,"جيد جدا",IF(H110&gt;=195,"جيد",IF(H110&gt;=180,"مقبول","راسب"))))</f>
        <v>راسب</v>
      </c>
      <c r="J110" s="28" t="s">
        <v>316</v>
      </c>
      <c r="K110" s="31">
        <v>61</v>
      </c>
      <c r="L110" s="28" t="str">
        <f>IF(K110&gt;=85,"ممتاز",IF(K110&gt;=75,"جيد جدا",IF(K110&gt;=65,"جيد",IF(K110&gt;=60,"مقبول","راسب"))))</f>
        <v>مقبول</v>
      </c>
      <c r="M110" s="28" t="s">
        <v>200</v>
      </c>
      <c r="N110" s="17">
        <v>25</v>
      </c>
      <c r="O110" s="37">
        <v>60.625</v>
      </c>
      <c r="P110" s="29" t="str">
        <f>IF(AND(N110&gt;=24),IF(O110&gt;=85,"ممتاز",IF(O110&gt;=75,"جيد جداً",IF(O110&gt;=65,"جيد",IF(O110&gt;=60,"مقبول","راسب")))),"راسب ")</f>
        <v>مقبول</v>
      </c>
      <c r="Q110" s="28" t="s">
        <v>316</v>
      </c>
      <c r="R110" s="30">
        <v>61.56</v>
      </c>
      <c r="S110" s="29" t="str">
        <f>IF(R110&gt;=85,"ممتاز",IF(R110&gt;=75,"جيد جدا",IF(R110&gt;=65,"جيد",IF(R110&gt;=60,"مقبول","راسب"))))</f>
        <v>مقبول</v>
      </c>
      <c r="T110" s="28" t="s">
        <v>200</v>
      </c>
      <c r="U110" s="29"/>
      <c r="V110" s="32">
        <f>SUM(E110,H110,K110,O110,R110)</f>
        <v>425.51833333333337</v>
      </c>
      <c r="W110" s="18" t="str">
        <f>IF(AND(H110&gt;=180,E110&gt;=120,O110&gt;=60,K110&gt;=60,R110&gt;=60,D110&gt;=30,N110&gt;=24),IF(V110&gt;=680,"ممتاز",IF(V110&gt;=600,"جيد جدا",IF(V110&gt;=520,"جيد",IF(V110&gt;=480,"مقبول","راسب")))),"راسب")</f>
        <v>راسب</v>
      </c>
      <c r="X110" s="19">
        <f>IF(AND(O110&gt;=60,R110&gt;=60,K110&gt;=60,H110&gt;=180,E110&gt;=120,D110&gt;=30,N110&gt;=24),(V110/800)*100%,0)</f>
        <v>0</v>
      </c>
    </row>
    <row r="111" spans="1:24" x14ac:dyDescent="0.35">
      <c r="A111" s="15">
        <v>102</v>
      </c>
      <c r="B111" s="15">
        <v>11716</v>
      </c>
      <c r="C111" s="15" t="s">
        <v>76</v>
      </c>
      <c r="D111" s="30">
        <v>0</v>
      </c>
      <c r="E111" s="30">
        <v>0</v>
      </c>
      <c r="F111" s="28" t="str">
        <f>IF(AND(D111&gt;=30),IF(E111&gt;=170,"ممتاز",IF(E111&gt;=150,"جيد جداً",IF(E111&gt;=130,"جيد",IF(E111&gt;=120,"مقبول","راسب")))),"راسب ")</f>
        <v xml:space="preserve">راسب </v>
      </c>
      <c r="G111" s="28" t="s">
        <v>315</v>
      </c>
      <c r="H111" s="36">
        <v>181.66666666666669</v>
      </c>
      <c r="I111" s="18" t="str">
        <f>IF(H111&gt;=255,"ممتاز",IF(H111&gt;=225,"جيد جدا",IF(H111&gt;=195,"جيد",IF(H111&gt;=180,"مقبول","راسب"))))</f>
        <v>مقبول</v>
      </c>
      <c r="J111" s="28" t="s">
        <v>316</v>
      </c>
      <c r="K111" s="31">
        <v>60</v>
      </c>
      <c r="L111" s="28" t="str">
        <f>IF(K111&gt;=85,"ممتاز",IF(K111&gt;=75,"جيد جدا",IF(K111&gt;=65,"جيد",IF(K111&gt;=60,"مقبول","راسب"))))</f>
        <v>مقبول</v>
      </c>
      <c r="M111" s="28" t="s">
        <v>200</v>
      </c>
      <c r="N111" s="17">
        <v>21</v>
      </c>
      <c r="O111" s="37">
        <v>56.875</v>
      </c>
      <c r="P111" s="29" t="str">
        <f>IF(AND(N111&gt;=24),IF(O111&gt;=85,"ممتاز",IF(O111&gt;=75,"جيد جداً",IF(O111&gt;=65,"جيد",IF(O111&gt;=60,"مقبول","راسب")))),"راسب ")</f>
        <v xml:space="preserve">راسب </v>
      </c>
      <c r="Q111" s="28" t="s">
        <v>316</v>
      </c>
      <c r="R111" s="37">
        <v>61.25</v>
      </c>
      <c r="S111" s="29" t="str">
        <f>IF(R111&gt;=85,"ممتاز",IF(R111&gt;=75,"جيد جدا",IF(R111&gt;=65,"جيد",IF(R111&gt;=60,"مقبول","راسب"))))</f>
        <v>مقبول</v>
      </c>
      <c r="T111" s="28" t="s">
        <v>316</v>
      </c>
      <c r="U111" s="29"/>
      <c r="V111" s="32">
        <f>SUM(E111,H111,K111,O111,R111)</f>
        <v>359.79166666666669</v>
      </c>
      <c r="W111" s="18" t="str">
        <f>IF(AND(H111&gt;=180,E111&gt;=120,O111&gt;=60,K111&gt;=60,R111&gt;=60,D111&gt;=30,N111&gt;=24),IF(V111&gt;=680,"ممتاز",IF(V111&gt;=600,"جيد جدا",IF(V111&gt;=520,"جيد",IF(V111&gt;=480,"مقبول","راسب")))),"راسب")</f>
        <v>راسب</v>
      </c>
      <c r="X111" s="19">
        <f>IF(AND(O111&gt;=60,R111&gt;=60,K111&gt;=60,H111&gt;=180,E111&gt;=120,D111&gt;=30,N111&gt;=24),(V111/800)*100%,0)</f>
        <v>0</v>
      </c>
    </row>
    <row r="112" spans="1:24" x14ac:dyDescent="0.35">
      <c r="A112" s="15">
        <v>103</v>
      </c>
      <c r="B112" s="23">
        <v>15694</v>
      </c>
      <c r="C112" s="23" t="s">
        <v>225</v>
      </c>
      <c r="D112" s="30">
        <v>36</v>
      </c>
      <c r="E112" s="32">
        <v>127.63</v>
      </c>
      <c r="F112" s="28" t="str">
        <f>IF(AND(D112&gt;=30),IF(E112&gt;=170,"ممتاز",IF(E112&gt;=150,"جيد جداً",IF(E112&gt;=130,"جيد",IF(E112&gt;=120,"مقبول","راسب")))),"راسب ")</f>
        <v>مقبول</v>
      </c>
      <c r="G112" s="28" t="s">
        <v>200</v>
      </c>
      <c r="H112" s="36">
        <v>180</v>
      </c>
      <c r="I112" s="18" t="str">
        <f>IF(H112&gt;=255,"ممتاز",IF(H112&gt;=225,"جيد جدا",IF(H112&gt;=195,"جيد",IF(H112&gt;=180,"مقبول","راسب"))))</f>
        <v>مقبول</v>
      </c>
      <c r="J112" s="28" t="s">
        <v>200</v>
      </c>
      <c r="K112" s="37">
        <v>71.27</v>
      </c>
      <c r="L112" s="28" t="str">
        <f>IF(K112&gt;=85,"ممتاز",IF(K112&gt;=75,"جيد جدا",IF(K112&gt;=65,"جيد",IF(K112&gt;=60,"مقبول","راسب"))))</f>
        <v>جيد</v>
      </c>
      <c r="M112" s="28" t="s">
        <v>200</v>
      </c>
      <c r="N112" s="17">
        <v>0</v>
      </c>
      <c r="O112" s="37">
        <v>0</v>
      </c>
      <c r="P112" s="29" t="str">
        <f>IF(AND(N112&gt;=24),IF(O112&gt;=85,"ممتاز",IF(O112&gt;=75,"جيد جداً",IF(O112&gt;=65,"جيد",IF(O112&gt;=60,"مقبول","راسب")))),"راسب ")</f>
        <v xml:space="preserve">راسب </v>
      </c>
      <c r="Q112" s="28" t="s">
        <v>315</v>
      </c>
      <c r="R112" s="37">
        <v>61.25</v>
      </c>
      <c r="S112" s="29" t="str">
        <f>IF(R112&gt;=85,"ممتاز",IF(R112&gt;=75,"جيد جدا",IF(R112&gt;=65,"جيد",IF(R112&gt;=60,"مقبول","راسب"))))</f>
        <v>مقبول</v>
      </c>
      <c r="T112" s="28" t="s">
        <v>200</v>
      </c>
      <c r="U112" s="29"/>
      <c r="V112" s="32">
        <f>SUM(E112,H112,K112,O112,R112)</f>
        <v>440.15</v>
      </c>
      <c r="W112" s="18" t="str">
        <f>IF(AND(H112&gt;=180,E112&gt;=120,O112&gt;=60,K112&gt;=60,R112&gt;=60,D112&gt;=30,N112&gt;=24),IF(V112&gt;=680,"ممتاز",IF(V112&gt;=600,"جيد جدا",IF(V112&gt;=520,"جيد",IF(V112&gt;=480,"مقبول","راسب")))),"راسب")</f>
        <v>راسب</v>
      </c>
      <c r="X112" s="19">
        <f>IF(AND(O112&gt;=60,R112&gt;=60,K112&gt;=60,H112&gt;=180,E112&gt;=120,D112&gt;=30,N112&gt;=24),(V112/800)*100%,0)</f>
        <v>0</v>
      </c>
    </row>
    <row r="113" spans="1:24" x14ac:dyDescent="0.35">
      <c r="A113" s="15">
        <v>104</v>
      </c>
      <c r="B113" s="15">
        <v>16258</v>
      </c>
      <c r="C113" s="15" t="s">
        <v>171</v>
      </c>
      <c r="D113" s="30">
        <v>44</v>
      </c>
      <c r="E113" s="30">
        <v>120</v>
      </c>
      <c r="F113" s="28" t="str">
        <f>IF(AND(D113&gt;=30),IF(E113&gt;=170,"ممتاز",IF(E113&gt;=150,"جيد جداً",IF(E113&gt;=130,"جيد",IF(E113&gt;=120,"مقبول","راسب")))),"راسب ")</f>
        <v>مقبول</v>
      </c>
      <c r="G113" s="28" t="s">
        <v>200</v>
      </c>
      <c r="H113" s="32">
        <v>195.5</v>
      </c>
      <c r="I113" s="18" t="str">
        <f>IF(H113&gt;=255,"ممتاز",IF(H113&gt;=225,"جيد جدا",IF(H113&gt;=195,"جيد",IF(H113&gt;=180,"مقبول","راسب"))))</f>
        <v>جيد</v>
      </c>
      <c r="J113" s="28" t="s">
        <v>200</v>
      </c>
      <c r="K113" s="37">
        <v>51</v>
      </c>
      <c r="L113" s="28" t="str">
        <f>IF(K113&gt;=85,"ممتاز",IF(K113&gt;=75,"جيد جدا",IF(K113&gt;=65,"جيد",IF(K113&gt;=60,"مقبول","راسب"))))</f>
        <v>راسب</v>
      </c>
      <c r="M113" s="28" t="s">
        <v>316</v>
      </c>
      <c r="N113" s="22">
        <v>29</v>
      </c>
      <c r="O113" s="22">
        <v>78</v>
      </c>
      <c r="P113" s="29" t="str">
        <f>IF(AND(N113&gt;=24),IF(O113&gt;=85,"ممتاز",IF(O113&gt;=75,"جيد جداً",IF(O113&gt;=65,"جيد",IF(O113&gt;=60,"مقبول","راسب")))),"راسب ")</f>
        <v>جيد جداً</v>
      </c>
      <c r="Q113" s="28" t="s">
        <v>200</v>
      </c>
      <c r="R113" s="32">
        <v>61.25</v>
      </c>
      <c r="S113" s="29" t="str">
        <f>IF(R113&gt;=85,"ممتاز",IF(R113&gt;=75,"جيد جدا",IF(R113&gt;=65,"جيد",IF(R113&gt;=60,"مقبول","راسب"))))</f>
        <v>مقبول</v>
      </c>
      <c r="T113" s="28" t="s">
        <v>200</v>
      </c>
      <c r="U113" s="29"/>
      <c r="V113" s="32">
        <f>SUM(E113,H113,K113,O113,R113)</f>
        <v>505.75</v>
      </c>
      <c r="W113" s="18" t="str">
        <f>IF(AND(H113&gt;=180,E113&gt;=120,O113&gt;=60,K113&gt;=60,R113&gt;=60,D113&gt;=30,N113&gt;=24),IF(V113&gt;=680,"ممتاز",IF(V113&gt;=600,"جيد جدا",IF(V113&gt;=520,"جيد",IF(V113&gt;=480,"مقبول","راسب")))),"راسب")</f>
        <v>راسب</v>
      </c>
      <c r="X113" s="19">
        <f>IF(AND(O113&gt;=60,R113&gt;=60,K113&gt;=60,H113&gt;=180,E113&gt;=120,D113&gt;=30,N113&gt;=24),(V113/800)*100%,0)</f>
        <v>0</v>
      </c>
    </row>
    <row r="114" spans="1:24" x14ac:dyDescent="0.35">
      <c r="A114" s="15">
        <v>105</v>
      </c>
      <c r="B114" s="15">
        <v>8791</v>
      </c>
      <c r="C114" s="15" t="s">
        <v>53</v>
      </c>
      <c r="D114" s="30">
        <v>36</v>
      </c>
      <c r="E114" s="30">
        <v>120</v>
      </c>
      <c r="F114" s="28" t="str">
        <f>IF(AND(D114&gt;=30),IF(E114&gt;=170,"ممتاز",IF(E114&gt;=150,"جيد جداً",IF(E114&gt;=130,"جيد",IF(E114&gt;=120,"مقبول","راسب")))),"راسب ")</f>
        <v>مقبول</v>
      </c>
      <c r="G114" s="28" t="s">
        <v>200</v>
      </c>
      <c r="H114" s="36">
        <v>0</v>
      </c>
      <c r="I114" s="18" t="str">
        <f>IF(H114&gt;=255,"ممتاز",IF(H114&gt;=225,"جيد جدا",IF(H114&gt;=195,"جيد",IF(H114&gt;=180,"مقبول","راسب"))))</f>
        <v>راسب</v>
      </c>
      <c r="J114" s="28" t="s">
        <v>315</v>
      </c>
      <c r="K114" s="37">
        <v>0</v>
      </c>
      <c r="L114" s="28" t="str">
        <f>IF(K114&gt;=85,"ممتاز",IF(K114&gt;=75,"جيد جدا",IF(K114&gt;=65,"جيد",IF(K114&gt;=60,"مقبول","راسب"))))</f>
        <v>راسب</v>
      </c>
      <c r="M114" s="28" t="s">
        <v>315</v>
      </c>
      <c r="N114" s="17">
        <v>0</v>
      </c>
      <c r="O114" s="37">
        <v>0</v>
      </c>
      <c r="P114" s="29" t="str">
        <f>IF(AND(N114&gt;=24),IF(O114&gt;=85,"ممتاز",IF(O114&gt;=75,"جيد جداً",IF(O114&gt;=65,"جيد",IF(O114&gt;=60,"مقبول","راسب")))),"راسب ")</f>
        <v xml:space="preserve">راسب </v>
      </c>
      <c r="Q114" s="28" t="s">
        <v>315</v>
      </c>
      <c r="R114" s="30">
        <v>61</v>
      </c>
      <c r="S114" s="29" t="str">
        <f>IF(R114&gt;=85,"ممتاز",IF(R114&gt;=75,"جيد جدا",IF(R114&gt;=65,"جيد",IF(R114&gt;=60,"مقبول","راسب"))))</f>
        <v>مقبول</v>
      </c>
      <c r="T114" s="28" t="s">
        <v>200</v>
      </c>
      <c r="U114" s="29"/>
      <c r="V114" s="32">
        <f>SUM(E114,H114,K114,O114,R114)</f>
        <v>181</v>
      </c>
      <c r="W114" s="18" t="str">
        <f>IF(AND(H114&gt;=180,E114&gt;=120,O114&gt;=60,K114&gt;=60,R114&gt;=60,D114&gt;=30,N114&gt;=24),IF(V114&gt;=680,"ممتاز",IF(V114&gt;=600,"جيد جدا",IF(V114&gt;=520,"جيد",IF(V114&gt;=480,"مقبول","راسب")))),"راسب")</f>
        <v>راسب</v>
      </c>
      <c r="X114" s="19">
        <f>IF(AND(O114&gt;=60,R114&gt;=60,K114&gt;=60,H114&gt;=180,E114&gt;=120,D114&gt;=30,N114&gt;=24),(V114/800)*100%,0)</f>
        <v>0</v>
      </c>
    </row>
    <row r="115" spans="1:24" x14ac:dyDescent="0.35">
      <c r="A115" s="15">
        <v>106</v>
      </c>
      <c r="B115" s="15">
        <v>15230</v>
      </c>
      <c r="C115" s="15" t="s">
        <v>107</v>
      </c>
      <c r="D115" s="30">
        <v>36</v>
      </c>
      <c r="E115" s="30">
        <v>120</v>
      </c>
      <c r="F115" s="28" t="str">
        <f>IF(AND(D115&gt;=30),IF(E115&gt;=170,"ممتاز",IF(E115&gt;=150,"جيد جداً",IF(E115&gt;=130,"جيد",IF(E115&gt;=120,"مقبول","راسب")))),"راسب ")</f>
        <v>مقبول</v>
      </c>
      <c r="G115" s="28" t="s">
        <v>200</v>
      </c>
      <c r="H115" s="30">
        <v>182</v>
      </c>
      <c r="I115" s="18" t="str">
        <f>IF(H115&gt;=255,"ممتاز",IF(H115&gt;=225,"جيد جدا",IF(H115&gt;=195,"جيد",IF(H115&gt;=180,"مقبول","راسب"))))</f>
        <v>مقبول</v>
      </c>
      <c r="J115" s="28" t="s">
        <v>200</v>
      </c>
      <c r="K115" s="31">
        <v>66.77</v>
      </c>
      <c r="L115" s="28" t="str">
        <f>IF(K115&gt;=85,"ممتاز",IF(K115&gt;=75,"جيد جدا",IF(K115&gt;=65,"جيد",IF(K115&gt;=60,"مقبول","راسب"))))</f>
        <v>جيد</v>
      </c>
      <c r="M115" s="28" t="s">
        <v>200</v>
      </c>
      <c r="N115" s="17">
        <v>0</v>
      </c>
      <c r="O115" s="37">
        <v>0</v>
      </c>
      <c r="P115" s="29" t="str">
        <f>IF(AND(N115&gt;=24),IF(O115&gt;=85,"ممتاز",IF(O115&gt;=75,"جيد جداً",IF(O115&gt;=65,"جيد",IF(O115&gt;=60,"مقبول","راسب")))),"راسب ")</f>
        <v xml:space="preserve">راسب </v>
      </c>
      <c r="Q115" s="28" t="s">
        <v>315</v>
      </c>
      <c r="R115" s="30">
        <v>61</v>
      </c>
      <c r="S115" s="29" t="str">
        <f>IF(R115&gt;=85,"ممتاز",IF(R115&gt;=75,"جيد جدا",IF(R115&gt;=65,"جيد",IF(R115&gt;=60,"مقبول","راسب"))))</f>
        <v>مقبول</v>
      </c>
      <c r="T115" s="28" t="s">
        <v>200</v>
      </c>
      <c r="U115" s="29"/>
      <c r="V115" s="32">
        <f>SUM(E115,H115,K115,O115,R115)</f>
        <v>429.77</v>
      </c>
      <c r="W115" s="18" t="str">
        <f>IF(AND(H115&gt;=180,E115&gt;=120,O115&gt;=60,K115&gt;=60,R115&gt;=60,D115&gt;=30,N115&gt;=24),IF(V115&gt;=680,"ممتاز",IF(V115&gt;=600,"جيد جدا",IF(V115&gt;=520,"جيد",IF(V115&gt;=480,"مقبول","راسب")))),"راسب")</f>
        <v>راسب</v>
      </c>
      <c r="X115" s="19">
        <f>IF(AND(O115&gt;=60,R115&gt;=60,K115&gt;=60,H115&gt;=180,E115&gt;=120,D115&gt;=30,N115&gt;=24),(V115/800)*100%,0)</f>
        <v>0</v>
      </c>
    </row>
    <row r="116" spans="1:24" x14ac:dyDescent="0.35">
      <c r="A116" s="15">
        <v>107</v>
      </c>
      <c r="B116" s="23">
        <v>13756</v>
      </c>
      <c r="C116" s="23" t="s">
        <v>86</v>
      </c>
      <c r="D116" s="30">
        <v>42</v>
      </c>
      <c r="E116" s="30">
        <v>121</v>
      </c>
      <c r="F116" s="28" t="str">
        <f>IF(AND(D116&gt;=30),IF(E116&gt;=170,"ممتاز",IF(E116&gt;=150,"جيد جداً",IF(E116&gt;=130,"جيد",IF(E116&gt;=120,"مقبول","راسب")))),"راسب ")</f>
        <v>مقبول</v>
      </c>
      <c r="G116" s="28" t="s">
        <v>200</v>
      </c>
      <c r="H116" s="36">
        <v>0</v>
      </c>
      <c r="I116" s="18" t="str">
        <f>IF(H116&gt;=255,"ممتاز",IF(H116&gt;=225,"جيد جدا",IF(H116&gt;=195,"جيد",IF(H116&gt;=180,"مقبول","راسب"))))</f>
        <v>راسب</v>
      </c>
      <c r="J116" s="28" t="s">
        <v>315</v>
      </c>
      <c r="K116" s="31">
        <v>60</v>
      </c>
      <c r="L116" s="28" t="str">
        <f>IF(K116&gt;=85,"ممتاز",IF(K116&gt;=75,"جيد جدا",IF(K116&gt;=65,"جيد",IF(K116&gt;=60,"مقبول","راسب"))))</f>
        <v>مقبول</v>
      </c>
      <c r="M116" s="28" t="s">
        <v>200</v>
      </c>
      <c r="N116" s="17">
        <v>28.5</v>
      </c>
      <c r="O116" s="17">
        <v>60.63</v>
      </c>
      <c r="P116" s="29" t="str">
        <f>IF(AND(N116&gt;=24),IF(O116&gt;=85,"ممتاز",IF(O116&gt;=75,"جيد جداً",IF(O116&gt;=65,"جيد",IF(O116&gt;=60,"مقبول","راسب")))),"راسب ")</f>
        <v>مقبول</v>
      </c>
      <c r="Q116" s="28" t="s">
        <v>200</v>
      </c>
      <c r="R116" s="30">
        <v>60.94</v>
      </c>
      <c r="S116" s="29" t="str">
        <f>IF(R116&gt;=85,"ممتاز",IF(R116&gt;=75,"جيد جدا",IF(R116&gt;=65,"جيد",IF(R116&gt;=60,"مقبول","راسب"))))</f>
        <v>مقبول</v>
      </c>
      <c r="T116" s="28" t="s">
        <v>200</v>
      </c>
      <c r="U116" s="29"/>
      <c r="V116" s="32">
        <f>SUM(E116,H116,K116,O116,R116)</f>
        <v>302.57</v>
      </c>
      <c r="W116" s="18" t="str">
        <f>IF(AND(H116&gt;=180,E116&gt;=120,O116&gt;=60,K116&gt;=60,R116&gt;=60,D116&gt;=30,N116&gt;=24),IF(V116&gt;=680,"ممتاز",IF(V116&gt;=600,"جيد جدا",IF(V116&gt;=520,"جيد",IF(V116&gt;=480,"مقبول","راسب")))),"راسب")</f>
        <v>راسب</v>
      </c>
      <c r="X116" s="19">
        <f>IF(AND(O116&gt;=60,R116&gt;=60,K116&gt;=60,H116&gt;=180,E116&gt;=120,D116&gt;=30,N116&gt;=24),(V116/800)*100%,0)</f>
        <v>0</v>
      </c>
    </row>
    <row r="117" spans="1:24" x14ac:dyDescent="0.35">
      <c r="A117" s="15">
        <v>108</v>
      </c>
      <c r="B117" s="23">
        <v>16744</v>
      </c>
      <c r="C117" s="23" t="s">
        <v>240</v>
      </c>
      <c r="D117" s="30">
        <v>40.75</v>
      </c>
      <c r="E117" s="32">
        <v>148.44999999999999</v>
      </c>
      <c r="F117" s="28" t="str">
        <f>IF(AND(D117&gt;=30),IF(E117&gt;=170,"ممتاز",IF(E117&gt;=150,"جيد جداً",IF(E117&gt;=130,"جيد",IF(E117&gt;=120,"مقبول","راسب")))),"راسب ")</f>
        <v>جيد</v>
      </c>
      <c r="G117" s="28" t="s">
        <v>200</v>
      </c>
      <c r="H117" s="36">
        <v>205</v>
      </c>
      <c r="I117" s="18" t="str">
        <f>IF(H117&gt;=255,"ممتاز",IF(H117&gt;=225,"جيد جدا",IF(H117&gt;=195,"جيد",IF(H117&gt;=180,"مقبول","راسب"))))</f>
        <v>جيد</v>
      </c>
      <c r="J117" s="28" t="s">
        <v>200</v>
      </c>
      <c r="K117" s="37">
        <v>73.58</v>
      </c>
      <c r="L117" s="28" t="str">
        <f>IF(K117&gt;=85,"ممتاز",IF(K117&gt;=75,"جيد جدا",IF(K117&gt;=65,"جيد",IF(K117&gt;=60,"مقبول","راسب"))))</f>
        <v>جيد</v>
      </c>
      <c r="M117" s="28" t="s">
        <v>200</v>
      </c>
      <c r="N117" s="17">
        <v>27</v>
      </c>
      <c r="O117" s="37">
        <v>71.875</v>
      </c>
      <c r="P117" s="29" t="str">
        <f>IF(AND(N117&gt;=24),IF(O117&gt;=85,"ممتاز",IF(O117&gt;=75,"جيد جداً",IF(O117&gt;=65,"جيد",IF(O117&gt;=60,"مقبول","راسب")))),"راسب ")</f>
        <v>جيد</v>
      </c>
      <c r="Q117" s="28" t="s">
        <v>316</v>
      </c>
      <c r="R117" s="37">
        <v>60.75</v>
      </c>
      <c r="S117" s="29" t="str">
        <f>IF(R117&gt;=85,"ممتاز",IF(R117&gt;=75,"جيد جدا",IF(R117&gt;=65,"جيد",IF(R117&gt;=60,"مقبول","راسب"))))</f>
        <v>مقبول</v>
      </c>
      <c r="T117" s="28" t="s">
        <v>200</v>
      </c>
      <c r="U117" s="29"/>
      <c r="V117" s="32">
        <f>SUM(E117,H117,K117,O117,R117)</f>
        <v>559.65499999999997</v>
      </c>
      <c r="W117" s="18" t="str">
        <f>IF(AND(H117&gt;=180,E117&gt;=120,O117&gt;=60,K117&gt;=60,R117&gt;=60,D117&gt;=30,N117&gt;=24),IF(V117&gt;=680,"ممتاز",IF(V117&gt;=600,"جيد جدا",IF(V117&gt;=520,"جيد",IF(V117&gt;=480,"مقبول","راسب")))),"راسب")</f>
        <v>جيد</v>
      </c>
      <c r="X117" s="19">
        <f>IF(AND(O117&gt;=60,R117&gt;=60,K117&gt;=60,H117&gt;=180,E117&gt;=120,D117&gt;=30,N117&gt;=24),(V117/800)*100%,0)</f>
        <v>0.69956874999999996</v>
      </c>
    </row>
    <row r="118" spans="1:24" x14ac:dyDescent="0.35">
      <c r="A118" s="15">
        <v>109</v>
      </c>
      <c r="B118" s="23">
        <v>14246</v>
      </c>
      <c r="C118" s="23" t="s">
        <v>91</v>
      </c>
      <c r="D118" s="30">
        <v>0</v>
      </c>
      <c r="E118" s="30">
        <v>0</v>
      </c>
      <c r="F118" s="28" t="str">
        <f>IF(AND(D118&gt;=30),IF(E118&gt;=170,"ممتاز",IF(E118&gt;=150,"جيد جداً",IF(E118&gt;=130,"جيد",IF(E118&gt;=120,"مقبول","راسب")))),"راسب ")</f>
        <v xml:space="preserve">راسب </v>
      </c>
      <c r="G118" s="28" t="s">
        <v>315</v>
      </c>
      <c r="H118" s="36">
        <v>0</v>
      </c>
      <c r="I118" s="18" t="str">
        <f>IF(H118&gt;=255,"ممتاز",IF(H118&gt;=225,"جيد جدا",IF(H118&gt;=195,"جيد",IF(H118&gt;=180,"مقبول","راسب"))))</f>
        <v>راسب</v>
      </c>
      <c r="J118" s="28" t="s">
        <v>315</v>
      </c>
      <c r="K118" s="37">
        <v>0</v>
      </c>
      <c r="L118" s="28" t="str">
        <f>IF(K118&gt;=85,"ممتاز",IF(K118&gt;=75,"جيد جدا",IF(K118&gt;=65,"جيد",IF(K118&gt;=60,"مقبول","راسب"))))</f>
        <v>راسب</v>
      </c>
      <c r="M118" s="28" t="s">
        <v>315</v>
      </c>
      <c r="N118" s="17">
        <v>0</v>
      </c>
      <c r="O118" s="37">
        <v>0</v>
      </c>
      <c r="P118" s="29" t="str">
        <f>IF(AND(N118&gt;=24),IF(O118&gt;=85,"ممتاز",IF(O118&gt;=75,"جيد جداً",IF(O118&gt;=65,"جيد",IF(O118&gt;=60,"مقبول","راسب")))),"راسب ")</f>
        <v xml:space="preserve">راسب </v>
      </c>
      <c r="Q118" s="28" t="s">
        <v>315</v>
      </c>
      <c r="R118" s="30">
        <v>60.63</v>
      </c>
      <c r="S118" s="29" t="str">
        <f>IF(R118&gt;=85,"ممتاز",IF(R118&gt;=75,"جيد جدا",IF(R118&gt;=65,"جيد",IF(R118&gt;=60,"مقبول","راسب"))))</f>
        <v>مقبول</v>
      </c>
      <c r="T118" s="28" t="s">
        <v>200</v>
      </c>
      <c r="U118" s="29"/>
      <c r="V118" s="32">
        <f>SUM(E118,H118,K118,O118,R118)</f>
        <v>60.63</v>
      </c>
      <c r="W118" s="18" t="str">
        <f>IF(AND(H118&gt;=180,E118&gt;=120,O118&gt;=60,K118&gt;=60,R118&gt;=60,D118&gt;=30,N118&gt;=24),IF(V118&gt;=680,"ممتاز",IF(V118&gt;=600,"جيد جدا",IF(V118&gt;=520,"جيد",IF(V118&gt;=480,"مقبول","راسب")))),"راسب")</f>
        <v>راسب</v>
      </c>
      <c r="X118" s="19">
        <f>IF(AND(O118&gt;=60,R118&gt;=60,K118&gt;=60,H118&gt;=180,E118&gt;=120,D118&gt;=30,N118&gt;=24),(V118/800)*100%,0)</f>
        <v>0</v>
      </c>
    </row>
    <row r="119" spans="1:24" x14ac:dyDescent="0.35">
      <c r="A119" s="15">
        <v>110</v>
      </c>
      <c r="B119" s="27">
        <v>17168</v>
      </c>
      <c r="C119" s="26" t="s">
        <v>246</v>
      </c>
      <c r="D119" s="30">
        <v>40.799999999999997</v>
      </c>
      <c r="E119" s="30">
        <v>104.3</v>
      </c>
      <c r="F119" s="28" t="str">
        <f>IF(AND(D119&gt;=30),IF(E119&gt;=170,"ممتاز",IF(E119&gt;=150,"جيد جداً",IF(E119&gt;=130,"جيد",IF(E119&gt;=120,"مقبول","راسب")))),"راسب ")</f>
        <v>راسب</v>
      </c>
      <c r="G119" s="28" t="s">
        <v>316</v>
      </c>
      <c r="H119" s="36">
        <v>180</v>
      </c>
      <c r="I119" s="18" t="str">
        <f>IF(H119&gt;=255,"ممتاز",IF(H119&gt;=225,"جيد جدا",IF(H119&gt;=195,"جيد",IF(H119&gt;=180,"مقبول","راسب"))))</f>
        <v>مقبول</v>
      </c>
      <c r="J119" s="28" t="s">
        <v>200</v>
      </c>
      <c r="K119" s="37">
        <v>62.29</v>
      </c>
      <c r="L119" s="28" t="str">
        <f>IF(K119&gt;=85,"ممتاز",IF(K119&gt;=75,"جيد جدا",IF(K119&gt;=65,"جيد",IF(K119&gt;=60,"مقبول","راسب"))))</f>
        <v>مقبول</v>
      </c>
      <c r="M119" s="28" t="s">
        <v>200</v>
      </c>
      <c r="N119" s="17">
        <v>19</v>
      </c>
      <c r="O119" s="37">
        <v>54.375</v>
      </c>
      <c r="P119" s="29" t="str">
        <f>IF(AND(N119&gt;=24),IF(O119&gt;=85,"ممتاز",IF(O119&gt;=75,"جيد جداً",IF(O119&gt;=65,"جيد",IF(O119&gt;=60,"مقبول","راسب")))),"راسب ")</f>
        <v xml:space="preserve">راسب </v>
      </c>
      <c r="Q119" s="28" t="s">
        <v>316</v>
      </c>
      <c r="R119" s="37">
        <v>60.625</v>
      </c>
      <c r="S119" s="29" t="str">
        <f>IF(R119&gt;=85,"ممتاز",IF(R119&gt;=75,"جيد جدا",IF(R119&gt;=65,"جيد",IF(R119&gt;=60,"مقبول","راسب"))))</f>
        <v>مقبول</v>
      </c>
      <c r="T119" s="28" t="s">
        <v>316</v>
      </c>
      <c r="U119" s="29"/>
      <c r="V119" s="32">
        <f>SUM(E119,H119,K119,O119,R119)</f>
        <v>461.59000000000003</v>
      </c>
      <c r="W119" s="18" t="str">
        <f>IF(AND(H119&gt;=180,E119&gt;=120,O119&gt;=60,K119&gt;=60,R119&gt;=60,D119&gt;=30,N119&gt;=24),IF(V119&gt;=680,"ممتاز",IF(V119&gt;=600,"جيد جدا",IF(V119&gt;=520,"جيد",IF(V119&gt;=480,"مقبول","راسب")))),"راسب")</f>
        <v>راسب</v>
      </c>
      <c r="X119" s="19">
        <f>IF(AND(O119&gt;=60,R119&gt;=60,K119&gt;=60,H119&gt;=180,E119&gt;=120,D119&gt;=30,N119&gt;=24),(V119/800)*100%,0)</f>
        <v>0</v>
      </c>
    </row>
    <row r="120" spans="1:24" x14ac:dyDescent="0.35">
      <c r="A120" s="15">
        <v>111</v>
      </c>
      <c r="B120" s="23">
        <v>18089</v>
      </c>
      <c r="C120" s="23" t="s">
        <v>184</v>
      </c>
      <c r="D120" s="30">
        <v>39.5</v>
      </c>
      <c r="E120" s="30">
        <v>127.75</v>
      </c>
      <c r="F120" s="28" t="str">
        <f>IF(AND(D120&gt;=30),IF(E120&gt;=170,"ممتاز",IF(E120&gt;=150,"جيد جداً",IF(E120&gt;=130,"جيد",IF(E120&gt;=120,"مقبول","راسب")))),"راسب ")</f>
        <v>مقبول</v>
      </c>
      <c r="G120" s="28" t="s">
        <v>200</v>
      </c>
      <c r="H120" s="30">
        <v>180</v>
      </c>
      <c r="I120" s="18" t="str">
        <f>IF(H120&gt;=255,"ممتاز",IF(H120&gt;=225,"جيد جدا",IF(H120&gt;=195,"جيد",IF(H120&gt;=180,"مقبول","راسب"))))</f>
        <v>مقبول</v>
      </c>
      <c r="J120" s="28" t="s">
        <v>200</v>
      </c>
      <c r="K120" s="31">
        <v>68</v>
      </c>
      <c r="L120" s="28" t="str">
        <f>IF(K120&gt;=85,"ممتاز",IF(K120&gt;=75,"جيد جدا",IF(K120&gt;=65,"جيد",IF(K120&gt;=60,"مقبول","راسب"))))</f>
        <v>جيد</v>
      </c>
      <c r="M120" s="28" t="s">
        <v>200</v>
      </c>
      <c r="N120" s="17">
        <v>21</v>
      </c>
      <c r="O120" s="37">
        <v>56.25</v>
      </c>
      <c r="P120" s="29" t="str">
        <f>IF(AND(N120&gt;=24),IF(O120&gt;=85,"ممتاز",IF(O120&gt;=75,"جيد جداً",IF(O120&gt;=65,"جيد",IF(O120&gt;=60,"مقبول","راسب")))),"راسب ")</f>
        <v xml:space="preserve">راسب </v>
      </c>
      <c r="Q120" s="28" t="s">
        <v>316</v>
      </c>
      <c r="R120" s="37">
        <v>60.625</v>
      </c>
      <c r="S120" s="29" t="str">
        <f>IF(R120&gt;=85,"ممتاز",IF(R120&gt;=75,"جيد جدا",IF(R120&gt;=65,"جيد",IF(R120&gt;=60,"مقبول","راسب"))))</f>
        <v>مقبول</v>
      </c>
      <c r="T120" s="28" t="s">
        <v>316</v>
      </c>
      <c r="U120" s="29"/>
      <c r="V120" s="32">
        <f>SUM(E120,H120,K120,O120,R120)</f>
        <v>492.625</v>
      </c>
      <c r="W120" s="18" t="str">
        <f>IF(AND(H120&gt;=180,E120&gt;=120,O120&gt;=60,K120&gt;=60,R120&gt;=60,D120&gt;=30,N120&gt;=24),IF(V120&gt;=680,"ممتاز",IF(V120&gt;=600,"جيد جدا",IF(V120&gt;=520,"جيد",IF(V120&gt;=480,"مقبول","راسب")))),"راسب")</f>
        <v>راسب</v>
      </c>
      <c r="X120" s="19">
        <f>IF(AND(O120&gt;=60,R120&gt;=60,K120&gt;=60,H120&gt;=180,E120&gt;=120,D120&gt;=30,N120&gt;=24),(V120/800)*100%,0)</f>
        <v>0</v>
      </c>
    </row>
    <row r="121" spans="1:24" x14ac:dyDescent="0.35">
      <c r="A121" s="15">
        <v>112</v>
      </c>
      <c r="B121" s="23">
        <v>18663</v>
      </c>
      <c r="C121" s="23" t="s">
        <v>274</v>
      </c>
      <c r="D121" s="30">
        <v>42.5</v>
      </c>
      <c r="E121" s="30">
        <v>120.5</v>
      </c>
      <c r="F121" s="28" t="str">
        <f>IF(AND(D121&gt;=30),IF(E121&gt;=170,"ممتاز",IF(E121&gt;=150,"جيد جداً",IF(E121&gt;=130,"جيد",IF(E121&gt;=120,"مقبول","راسب")))),"راسب ")</f>
        <v>مقبول</v>
      </c>
      <c r="G121" s="28" t="s">
        <v>316</v>
      </c>
      <c r="H121" s="36">
        <v>180</v>
      </c>
      <c r="I121" s="18" t="str">
        <f>IF(H121&gt;=255,"ممتاز",IF(H121&gt;=225,"جيد جدا",IF(H121&gt;=195,"جيد",IF(H121&gt;=180,"مقبول","راسب"))))</f>
        <v>مقبول</v>
      </c>
      <c r="J121" s="28" t="s">
        <v>200</v>
      </c>
      <c r="K121" s="37">
        <v>73.150000000000006</v>
      </c>
      <c r="L121" s="28" t="str">
        <f>IF(K121&gt;=85,"ممتاز",IF(K121&gt;=75,"جيد جدا",IF(K121&gt;=65,"جيد",IF(K121&gt;=60,"مقبول","راسب"))))</f>
        <v>جيد</v>
      </c>
      <c r="M121" s="28" t="s">
        <v>200</v>
      </c>
      <c r="N121" s="17">
        <v>30</v>
      </c>
      <c r="O121" s="37">
        <v>73.5</v>
      </c>
      <c r="P121" s="29" t="str">
        <f>IF(AND(N121&gt;=24),IF(O121&gt;=85,"ممتاز",IF(O121&gt;=75,"جيد جداً",IF(O121&gt;=65,"جيد",IF(O121&gt;=60,"مقبول","راسب")))),"راسب ")</f>
        <v>جيد</v>
      </c>
      <c r="Q121" s="28" t="s">
        <v>200</v>
      </c>
      <c r="R121" s="37">
        <v>60.625</v>
      </c>
      <c r="S121" s="29" t="str">
        <f>IF(R121&gt;=85,"ممتاز",IF(R121&gt;=75,"جيد جدا",IF(R121&gt;=65,"جيد",IF(R121&gt;=60,"مقبول","راسب"))))</f>
        <v>مقبول</v>
      </c>
      <c r="T121" s="28" t="s">
        <v>316</v>
      </c>
      <c r="U121" s="29"/>
      <c r="V121" s="32">
        <f>SUM(E121,H121,K121,O121,R121)</f>
        <v>507.77499999999998</v>
      </c>
      <c r="W121" s="18" t="str">
        <f>IF(AND(H121&gt;=180,E121&gt;=120,O121&gt;=60,K121&gt;=60,R121&gt;=60,D121&gt;=30,N121&gt;=24),IF(V121&gt;=680,"ممتاز",IF(V121&gt;=600,"جيد جدا",IF(V121&gt;=520,"جيد",IF(V121&gt;=480,"مقبول","راسب")))),"راسب")</f>
        <v>مقبول</v>
      </c>
      <c r="X121" s="19">
        <f>IF(AND(O121&gt;=60,R121&gt;=60,K121&gt;=60,H121&gt;=180,E121&gt;=120,D121&gt;=30,N121&gt;=24),(V121/800)*100%,0)</f>
        <v>0.63471875</v>
      </c>
    </row>
    <row r="122" spans="1:24" x14ac:dyDescent="0.35">
      <c r="A122" s="15">
        <v>113</v>
      </c>
      <c r="B122" s="23">
        <v>19207</v>
      </c>
      <c r="C122" s="23" t="s">
        <v>293</v>
      </c>
      <c r="D122" s="30">
        <v>44</v>
      </c>
      <c r="E122" s="32">
        <v>151.69999999999999</v>
      </c>
      <c r="F122" s="28" t="str">
        <f>IF(AND(D122&gt;=30),IF(E122&gt;=170,"ممتاز",IF(E122&gt;=150,"جيد جداً",IF(E122&gt;=130,"جيد",IF(E122&gt;=120,"مقبول","راسب")))),"راسب ")</f>
        <v>جيد جداً</v>
      </c>
      <c r="G122" s="28" t="s">
        <v>200</v>
      </c>
      <c r="H122" s="36">
        <v>0</v>
      </c>
      <c r="I122" s="18" t="str">
        <f>IF(H122&gt;=255,"ممتاز",IF(H122&gt;=225,"جيد جدا",IF(H122&gt;=195,"جيد",IF(H122&gt;=180,"مقبول","راسب"))))</f>
        <v>راسب</v>
      </c>
      <c r="J122" s="28" t="s">
        <v>315</v>
      </c>
      <c r="K122" s="37">
        <v>75.790000000000006</v>
      </c>
      <c r="L122" s="28" t="str">
        <f>IF(K122&gt;=85,"ممتاز",IF(K122&gt;=75,"جيد جدا",IF(K122&gt;=65,"جيد",IF(K122&gt;=60,"مقبول","راسب"))))</f>
        <v>جيد جدا</v>
      </c>
      <c r="M122" s="28" t="s">
        <v>200</v>
      </c>
      <c r="N122" s="17">
        <v>33</v>
      </c>
      <c r="O122" s="37">
        <v>78.5</v>
      </c>
      <c r="P122" s="29" t="str">
        <f>IF(AND(N122&gt;=24),IF(O122&gt;=85,"ممتاز",IF(O122&gt;=75,"جيد جداً",IF(O122&gt;=65,"جيد",IF(O122&gt;=60,"مقبول","راسب")))),"راسب ")</f>
        <v>جيد جداً</v>
      </c>
      <c r="Q122" s="28" t="s">
        <v>200</v>
      </c>
      <c r="R122" s="37">
        <v>60.5</v>
      </c>
      <c r="S122" s="29" t="str">
        <f>IF(R122&gt;=85,"ممتاز",IF(R122&gt;=75,"جيد جدا",IF(R122&gt;=65,"جيد",IF(R122&gt;=60,"مقبول","راسب"))))</f>
        <v>مقبول</v>
      </c>
      <c r="T122" s="28" t="s">
        <v>200</v>
      </c>
      <c r="U122" s="29"/>
      <c r="V122" s="32">
        <f>SUM(E122,H122,K122,O122,R122)</f>
        <v>366.49</v>
      </c>
      <c r="W122" s="18" t="str">
        <f>IF(AND(H122&gt;=180,E122&gt;=120,O122&gt;=60,K122&gt;=60,R122&gt;=60,D122&gt;=30,N122&gt;=24),IF(V122&gt;=680,"ممتاز",IF(V122&gt;=600,"جيد جدا",IF(V122&gt;=520,"جيد",IF(V122&gt;=480,"مقبول","راسب")))),"راسب")</f>
        <v>راسب</v>
      </c>
      <c r="X122" s="19">
        <f>IF(AND(O122&gt;=60,R122&gt;=60,K122&gt;=60,H122&gt;=180,E122&gt;=120,D122&gt;=30,N122&gt;=24),(V122/800)*100%,0)</f>
        <v>0</v>
      </c>
    </row>
    <row r="123" spans="1:24" x14ac:dyDescent="0.35">
      <c r="A123" s="15">
        <v>114</v>
      </c>
      <c r="B123" s="15">
        <v>13620</v>
      </c>
      <c r="C123" s="15" t="s">
        <v>208</v>
      </c>
      <c r="D123" s="30">
        <v>38</v>
      </c>
      <c r="E123" s="30">
        <v>120</v>
      </c>
      <c r="F123" s="28" t="str">
        <f>IF(AND(D123&gt;=30),IF(E123&gt;=170,"ممتاز",IF(E123&gt;=150,"جيد جداً",IF(E123&gt;=130,"جيد",IF(E123&gt;=120,"مقبول","راسب")))),"راسب ")</f>
        <v>مقبول</v>
      </c>
      <c r="G123" s="28" t="s">
        <v>316</v>
      </c>
      <c r="H123" s="36">
        <v>151.66666666666669</v>
      </c>
      <c r="I123" s="18" t="str">
        <f>IF(H123&gt;=255,"ممتاز",IF(H123&gt;=225,"جيد جدا",IF(H123&gt;=195,"جيد",IF(H123&gt;=180,"مقبول","راسب"))))</f>
        <v>راسب</v>
      </c>
      <c r="J123" s="28" t="s">
        <v>316</v>
      </c>
      <c r="K123" s="37">
        <v>62.27</v>
      </c>
      <c r="L123" s="28" t="str">
        <f>IF(K123&gt;=85,"ممتاز",IF(K123&gt;=75,"جيد جدا",IF(K123&gt;=65,"جيد",IF(K123&gt;=60,"مقبول","راسب"))))</f>
        <v>مقبول</v>
      </c>
      <c r="M123" s="28" t="s">
        <v>200</v>
      </c>
      <c r="N123" s="17">
        <v>18.5</v>
      </c>
      <c r="O123" s="37">
        <v>54.375</v>
      </c>
      <c r="P123" s="29" t="str">
        <f>IF(AND(N123&gt;=24),IF(O123&gt;=85,"ممتاز",IF(O123&gt;=75,"جيد جداً",IF(O123&gt;=65,"جيد",IF(O123&gt;=60,"مقبول","راسب")))),"راسب ")</f>
        <v xml:space="preserve">راسب </v>
      </c>
      <c r="Q123" s="28" t="s">
        <v>316</v>
      </c>
      <c r="R123" s="37">
        <v>60.3125</v>
      </c>
      <c r="S123" s="29" t="str">
        <f>IF(R123&gt;=85,"ممتاز",IF(R123&gt;=75,"جيد جدا",IF(R123&gt;=65,"جيد",IF(R123&gt;=60,"مقبول","راسب"))))</f>
        <v>مقبول</v>
      </c>
      <c r="T123" s="28" t="s">
        <v>316</v>
      </c>
      <c r="U123" s="29"/>
      <c r="V123" s="32">
        <f>SUM(E123,H123,K123,O123,R123)</f>
        <v>448.62416666666667</v>
      </c>
      <c r="W123" s="18" t="str">
        <f>IF(AND(H123&gt;=180,E123&gt;=120,O123&gt;=60,K123&gt;=60,R123&gt;=60,D123&gt;=30,N123&gt;=24),IF(V123&gt;=680,"ممتاز",IF(V123&gt;=600,"جيد جدا",IF(V123&gt;=520,"جيد",IF(V123&gt;=480,"مقبول","راسب")))),"راسب")</f>
        <v>راسب</v>
      </c>
      <c r="X123" s="19">
        <f>IF(AND(O123&gt;=60,R123&gt;=60,K123&gt;=60,H123&gt;=180,E123&gt;=120,D123&gt;=30,N123&gt;=24),(V123/800)*100%,0)</f>
        <v>0</v>
      </c>
    </row>
    <row r="124" spans="1:24" x14ac:dyDescent="0.35">
      <c r="A124" s="15">
        <v>115</v>
      </c>
      <c r="B124" s="23">
        <v>14168</v>
      </c>
      <c r="C124" s="23" t="s">
        <v>89</v>
      </c>
      <c r="D124" s="30">
        <v>51</v>
      </c>
      <c r="E124" s="30">
        <v>120</v>
      </c>
      <c r="F124" s="28" t="str">
        <f>IF(AND(D124&gt;=30),IF(E124&gt;=170,"ممتاز",IF(E124&gt;=150,"جيد جداً",IF(E124&gt;=130,"جيد",IF(E124&gt;=120,"مقبول","راسب")))),"راسب ")</f>
        <v>مقبول</v>
      </c>
      <c r="G124" s="28" t="s">
        <v>200</v>
      </c>
      <c r="H124" s="30">
        <v>180</v>
      </c>
      <c r="I124" s="18" t="str">
        <f>IF(H124&gt;=255,"ممتاز",IF(H124&gt;=225,"جيد جدا",IF(H124&gt;=195,"جيد",IF(H124&gt;=180,"مقبول","راسب"))))</f>
        <v>مقبول</v>
      </c>
      <c r="J124" s="28" t="s">
        <v>200</v>
      </c>
      <c r="K124" s="31">
        <v>60.16</v>
      </c>
      <c r="L124" s="28" t="str">
        <f>IF(K124&gt;=85,"ممتاز",IF(K124&gt;=75,"جيد جدا",IF(K124&gt;=65,"جيد",IF(K124&gt;=60,"مقبول","راسب"))))</f>
        <v>مقبول</v>
      </c>
      <c r="M124" s="28" t="s">
        <v>200</v>
      </c>
      <c r="N124" s="17">
        <v>26</v>
      </c>
      <c r="O124" s="17">
        <v>60</v>
      </c>
      <c r="P124" s="29" t="str">
        <f>IF(AND(N124&gt;=24),IF(O124&gt;=85,"ممتاز",IF(O124&gt;=75,"جيد جداً",IF(O124&gt;=65,"جيد",IF(O124&gt;=60,"مقبول","راسب")))),"راسب ")</f>
        <v>مقبول</v>
      </c>
      <c r="Q124" s="28" t="s">
        <v>200</v>
      </c>
      <c r="R124" s="37">
        <v>60.3125</v>
      </c>
      <c r="S124" s="29" t="str">
        <f>IF(R124&gt;=85,"ممتاز",IF(R124&gt;=75,"جيد جدا",IF(R124&gt;=65,"جيد",IF(R124&gt;=60,"مقبول","راسب"))))</f>
        <v>مقبول</v>
      </c>
      <c r="T124" s="28" t="s">
        <v>316</v>
      </c>
      <c r="U124" s="29"/>
      <c r="V124" s="32">
        <f>SUM(E124,H124,K124,O124,R124)</f>
        <v>480.47249999999997</v>
      </c>
      <c r="W124" s="18" t="str">
        <f>IF(AND(H124&gt;=180,E124&gt;=120,O124&gt;=60,K124&gt;=60,R124&gt;=60,D124&gt;=30,N124&gt;=24),IF(V124&gt;=680,"ممتاز",IF(V124&gt;=600,"جيد جدا",IF(V124&gt;=520,"جيد",IF(V124&gt;=480,"مقبول","راسب")))),"راسب")</f>
        <v>مقبول</v>
      </c>
      <c r="X124" s="19">
        <f>IF(AND(O124&gt;=60,R124&gt;=60,K124&gt;=60,H124&gt;=180,E124&gt;=120,D124&gt;=30,N124&gt;=24),(V124/800)*100%,0)</f>
        <v>0.60059062499999993</v>
      </c>
    </row>
    <row r="125" spans="1:24" x14ac:dyDescent="0.35">
      <c r="A125" s="15">
        <v>116</v>
      </c>
      <c r="B125" s="15">
        <v>15594</v>
      </c>
      <c r="C125" s="15" t="s">
        <v>115</v>
      </c>
      <c r="D125" s="30">
        <v>46.2</v>
      </c>
      <c r="E125" s="30">
        <v>131.94999999999999</v>
      </c>
      <c r="F125" s="28" t="str">
        <f>IF(AND(D125&gt;=30),IF(E125&gt;=170,"ممتاز",IF(E125&gt;=150,"جيد جداً",IF(E125&gt;=130,"جيد",IF(E125&gt;=120,"مقبول","راسب")))),"راسب ")</f>
        <v>جيد</v>
      </c>
      <c r="G125" s="28" t="s">
        <v>200</v>
      </c>
      <c r="H125" s="36">
        <v>118.33333333333334</v>
      </c>
      <c r="I125" s="18" t="str">
        <f>IF(H125&gt;=255,"ممتاز",IF(H125&gt;=225,"جيد جدا",IF(H125&gt;=195,"جيد",IF(H125&gt;=180,"مقبول","راسب"))))</f>
        <v>راسب</v>
      </c>
      <c r="J125" s="28" t="s">
        <v>316</v>
      </c>
      <c r="K125" s="31">
        <v>65</v>
      </c>
      <c r="L125" s="28" t="str">
        <f>IF(K125&gt;=85,"ممتاز",IF(K125&gt;=75,"جيد جدا",IF(K125&gt;=65,"جيد",IF(K125&gt;=60,"مقبول","راسب"))))</f>
        <v>جيد</v>
      </c>
      <c r="M125" s="28" t="s">
        <v>200</v>
      </c>
      <c r="N125" s="17">
        <v>24</v>
      </c>
      <c r="O125" s="17">
        <v>60</v>
      </c>
      <c r="P125" s="29" t="str">
        <f>IF(AND(N125&gt;=24),IF(O125&gt;=85,"ممتاز",IF(O125&gt;=75,"جيد جداً",IF(O125&gt;=65,"جيد",IF(O125&gt;=60,"مقبول","راسب")))),"راسب ")</f>
        <v>مقبول</v>
      </c>
      <c r="Q125" s="28" t="s">
        <v>200</v>
      </c>
      <c r="R125" s="37">
        <v>60.3125</v>
      </c>
      <c r="S125" s="29" t="str">
        <f>IF(R125&gt;=85,"ممتاز",IF(R125&gt;=75,"جيد جدا",IF(R125&gt;=65,"جيد",IF(R125&gt;=60,"مقبول","راسب"))))</f>
        <v>مقبول</v>
      </c>
      <c r="T125" s="28" t="s">
        <v>316</v>
      </c>
      <c r="U125" s="29"/>
      <c r="V125" s="32">
        <f>SUM(E125,H125,K125,O125,R125)</f>
        <v>435.5958333333333</v>
      </c>
      <c r="W125" s="18" t="str">
        <f>IF(AND(H125&gt;=180,E125&gt;=120,O125&gt;=60,K125&gt;=60,R125&gt;=60,D125&gt;=30,N125&gt;=24),IF(V125&gt;=680,"ممتاز",IF(V125&gt;=600,"جيد جدا",IF(V125&gt;=520,"جيد",IF(V125&gt;=480,"مقبول","راسب")))),"راسب")</f>
        <v>راسب</v>
      </c>
      <c r="X125" s="19">
        <f>IF(AND(O125&gt;=60,R125&gt;=60,K125&gt;=60,H125&gt;=180,E125&gt;=120,D125&gt;=30,N125&gt;=24),(V125/800)*100%,0)</f>
        <v>0</v>
      </c>
    </row>
    <row r="126" spans="1:24" x14ac:dyDescent="0.35">
      <c r="A126" s="15">
        <v>117</v>
      </c>
      <c r="B126" s="15">
        <v>18485</v>
      </c>
      <c r="C126" s="15" t="s">
        <v>267</v>
      </c>
      <c r="D126" s="30">
        <v>48</v>
      </c>
      <c r="E126" s="30">
        <v>136.25</v>
      </c>
      <c r="F126" s="28" t="str">
        <f>IF(AND(D126&gt;=30),IF(E126&gt;=170,"ممتاز",IF(E126&gt;=150,"جيد جداً",IF(E126&gt;=130,"جيد",IF(E126&gt;=120,"مقبول","راسب")))),"راسب ")</f>
        <v>جيد</v>
      </c>
      <c r="G126" s="28" t="s">
        <v>316</v>
      </c>
      <c r="H126" s="36">
        <v>207</v>
      </c>
      <c r="I126" s="18" t="str">
        <f>IF(H126&gt;=255,"ممتاز",IF(H126&gt;=225,"جيد جدا",IF(H126&gt;=195,"جيد",IF(H126&gt;=180,"مقبول","راسب"))))</f>
        <v>جيد</v>
      </c>
      <c r="J126" s="28" t="s">
        <v>200</v>
      </c>
      <c r="K126" s="37">
        <v>72.86</v>
      </c>
      <c r="L126" s="28" t="str">
        <f>IF(K126&gt;=85,"ممتاز",IF(K126&gt;=75,"جيد جدا",IF(K126&gt;=65,"جيد",IF(K126&gt;=60,"مقبول","راسب"))))</f>
        <v>جيد</v>
      </c>
      <c r="M126" s="28" t="s">
        <v>200</v>
      </c>
      <c r="N126" s="17">
        <v>35</v>
      </c>
      <c r="O126" s="37">
        <v>83</v>
      </c>
      <c r="P126" s="29" t="str">
        <f>IF(AND(N126&gt;=24),IF(O126&gt;=85,"ممتاز",IF(O126&gt;=75,"جيد جداً",IF(O126&gt;=65,"جيد",IF(O126&gt;=60,"مقبول","راسب")))),"راسب ")</f>
        <v>جيد جداً</v>
      </c>
      <c r="Q126" s="28" t="s">
        <v>200</v>
      </c>
      <c r="R126" s="37">
        <v>60.3125</v>
      </c>
      <c r="S126" s="29" t="str">
        <f>IF(R126&gt;=85,"ممتاز",IF(R126&gt;=75,"جيد جدا",IF(R126&gt;=65,"جيد",IF(R126&gt;=60,"مقبول","راسب"))))</f>
        <v>مقبول</v>
      </c>
      <c r="T126" s="28" t="s">
        <v>316</v>
      </c>
      <c r="U126" s="29"/>
      <c r="V126" s="32">
        <f>SUM(E126,H126,K126,O126,R126)</f>
        <v>559.42250000000001</v>
      </c>
      <c r="W126" s="18" t="str">
        <f>IF(AND(H126&gt;=180,E126&gt;=120,O126&gt;=60,K126&gt;=60,R126&gt;=60,D126&gt;=30,N126&gt;=24),IF(V126&gt;=680,"ممتاز",IF(V126&gt;=600,"جيد جدا",IF(V126&gt;=520,"جيد",IF(V126&gt;=480,"مقبول","راسب")))),"راسب")</f>
        <v>جيد</v>
      </c>
      <c r="X126" s="19">
        <f>IF(AND(O126&gt;=60,R126&gt;=60,K126&gt;=60,H126&gt;=180,E126&gt;=120,D126&gt;=30,N126&gt;=24),(V126/800)*100%,0)</f>
        <v>0.69927812499999997</v>
      </c>
    </row>
    <row r="127" spans="1:24" x14ac:dyDescent="0.35">
      <c r="A127" s="15">
        <v>118</v>
      </c>
      <c r="B127" s="15">
        <v>10538</v>
      </c>
      <c r="C127" s="15" t="s">
        <v>142</v>
      </c>
      <c r="D127" s="30">
        <v>36</v>
      </c>
      <c r="E127" s="30">
        <v>120</v>
      </c>
      <c r="F127" s="28" t="str">
        <f>IF(AND(D127&gt;=30),IF(E127&gt;=170,"ممتاز",IF(E127&gt;=150,"جيد جداً",IF(E127&gt;=130,"جيد",IF(E127&gt;=120,"مقبول","راسب")))),"راسب ")</f>
        <v>مقبول</v>
      </c>
      <c r="G127" s="28" t="s">
        <v>200</v>
      </c>
      <c r="H127" s="36">
        <v>0</v>
      </c>
      <c r="I127" s="18" t="str">
        <f>IF(H127&gt;=255,"ممتاز",IF(H127&gt;=225,"جيد جدا",IF(H127&gt;=195,"جيد",IF(H127&gt;=180,"مقبول","راسب"))))</f>
        <v>راسب</v>
      </c>
      <c r="J127" s="28" t="s">
        <v>315</v>
      </c>
      <c r="K127" s="31">
        <v>67</v>
      </c>
      <c r="L127" s="28" t="str">
        <f>IF(K127&gt;=85,"ممتاز",IF(K127&gt;=75,"جيد جدا",IF(K127&gt;=65,"جيد",IF(K127&gt;=60,"مقبول","راسب"))))</f>
        <v>جيد</v>
      </c>
      <c r="M127" s="28" t="s">
        <v>200</v>
      </c>
      <c r="N127" s="17">
        <v>0</v>
      </c>
      <c r="O127" s="37">
        <v>0</v>
      </c>
      <c r="P127" s="29" t="str">
        <f>IF(AND(N127&gt;=24),IF(O127&gt;=85,"ممتاز",IF(O127&gt;=75,"جيد جداً",IF(O127&gt;=65,"جيد",IF(O127&gt;=60,"مقبول","راسب")))),"راسب ")</f>
        <v xml:space="preserve">راسب </v>
      </c>
      <c r="Q127" s="28" t="s">
        <v>315</v>
      </c>
      <c r="R127" s="30">
        <v>60.31</v>
      </c>
      <c r="S127" s="29" t="str">
        <f>IF(R127&gt;=85,"ممتاز",IF(R127&gt;=75,"جيد جدا",IF(R127&gt;=65,"جيد",IF(R127&gt;=60,"مقبول","راسب"))))</f>
        <v>مقبول</v>
      </c>
      <c r="T127" s="28" t="s">
        <v>200</v>
      </c>
      <c r="U127" s="29"/>
      <c r="V127" s="32">
        <f>SUM(E127,H127,K127,O127,R127)</f>
        <v>247.31</v>
      </c>
      <c r="W127" s="18" t="str">
        <f>IF(AND(H127&gt;=180,E127&gt;=120,O127&gt;=60,K127&gt;=60,R127&gt;=60,D127&gt;=30,N127&gt;=24),IF(V127&gt;=680,"ممتاز",IF(V127&gt;=600,"جيد جدا",IF(V127&gt;=520,"جيد",IF(V127&gt;=480,"مقبول","راسب")))),"راسب")</f>
        <v>راسب</v>
      </c>
      <c r="X127" s="19">
        <f>IF(AND(O127&gt;=60,R127&gt;=60,K127&gt;=60,H127&gt;=180,E127&gt;=120,D127&gt;=30,N127&gt;=24),(V127/800)*100%,0)</f>
        <v>0</v>
      </c>
    </row>
    <row r="128" spans="1:24" x14ac:dyDescent="0.35">
      <c r="A128" s="15">
        <v>119</v>
      </c>
      <c r="B128" s="21">
        <v>18948</v>
      </c>
      <c r="C128" s="21" t="s">
        <v>282</v>
      </c>
      <c r="D128" s="30">
        <v>38.5</v>
      </c>
      <c r="E128" s="32">
        <v>145.65</v>
      </c>
      <c r="F128" s="28" t="str">
        <f>IF(AND(D128&gt;=30),IF(E128&gt;=170,"ممتاز",IF(E128&gt;=150,"جيد جداً",IF(E128&gt;=130,"جيد",IF(E128&gt;=120,"مقبول","راسب")))),"راسب ")</f>
        <v>جيد</v>
      </c>
      <c r="G128" s="28" t="s">
        <v>200</v>
      </c>
      <c r="H128" s="36">
        <v>196.66666666666669</v>
      </c>
      <c r="I128" s="18" t="str">
        <f>IF(H128&gt;=255,"ممتاز",IF(H128&gt;=225,"جيد جدا",IF(H128&gt;=195,"جيد",IF(H128&gt;=180,"مقبول","راسب"))))</f>
        <v>جيد</v>
      </c>
      <c r="J128" s="28" t="s">
        <v>316</v>
      </c>
      <c r="K128" s="37">
        <v>73.510000000000005</v>
      </c>
      <c r="L128" s="28" t="str">
        <f>IF(K128&gt;=85,"ممتاز",IF(K128&gt;=75,"جيد جدا",IF(K128&gt;=65,"جيد",IF(K128&gt;=60,"مقبول","راسب"))))</f>
        <v>جيد</v>
      </c>
      <c r="M128" s="28" t="s">
        <v>200</v>
      </c>
      <c r="N128" s="17">
        <v>31</v>
      </c>
      <c r="O128" s="37">
        <v>75</v>
      </c>
      <c r="P128" s="29" t="str">
        <f>IF(AND(N128&gt;=24),IF(O128&gt;=85,"ممتاز",IF(O128&gt;=75,"جيد جداً",IF(O128&gt;=65,"جيد",IF(O128&gt;=60,"مقبول","راسب")))),"راسب ")</f>
        <v>جيد جداً</v>
      </c>
      <c r="Q128" s="28" t="s">
        <v>200</v>
      </c>
      <c r="R128" s="37">
        <v>60.25</v>
      </c>
      <c r="S128" s="29" t="str">
        <f>IF(R128&gt;=85,"ممتاز",IF(R128&gt;=75,"جيد جدا",IF(R128&gt;=65,"جيد",IF(R128&gt;=60,"مقبول","راسب"))))</f>
        <v>مقبول</v>
      </c>
      <c r="T128" s="28" t="s">
        <v>200</v>
      </c>
      <c r="U128" s="29"/>
      <c r="V128" s="32">
        <f>SUM(E128,H128,K128,O128,R128)</f>
        <v>551.07666666666671</v>
      </c>
      <c r="W128" s="18" t="str">
        <f>IF(AND(H128&gt;=180,E128&gt;=120,O128&gt;=60,K128&gt;=60,R128&gt;=60,D128&gt;=30,N128&gt;=24),IF(V128&gt;=680,"ممتاز",IF(V128&gt;=600,"جيد جدا",IF(V128&gt;=520,"جيد",IF(V128&gt;=480,"مقبول","راسب")))),"راسب")</f>
        <v>جيد</v>
      </c>
      <c r="X128" s="19">
        <f>IF(AND(O128&gt;=60,R128&gt;=60,K128&gt;=60,H128&gt;=180,E128&gt;=120,D128&gt;=30,N128&gt;=24),(V128/800)*100%,0)</f>
        <v>0.68884583333333338</v>
      </c>
    </row>
    <row r="129" spans="1:24" x14ac:dyDescent="0.35">
      <c r="A129" s="15">
        <v>120</v>
      </c>
      <c r="B129" s="15">
        <v>19120</v>
      </c>
      <c r="C129" s="15" t="s">
        <v>288</v>
      </c>
      <c r="D129" s="30">
        <v>36</v>
      </c>
      <c r="E129" s="32">
        <v>142.6</v>
      </c>
      <c r="F129" s="28" t="str">
        <f>IF(AND(D129&gt;=30),IF(E129&gt;=170,"ممتاز",IF(E129&gt;=150,"جيد جداً",IF(E129&gt;=130,"جيد",IF(E129&gt;=120,"مقبول","راسب")))),"راسب ")</f>
        <v>جيد</v>
      </c>
      <c r="G129" s="28" t="s">
        <v>200</v>
      </c>
      <c r="H129" s="36">
        <v>158.33333333333334</v>
      </c>
      <c r="I129" s="18" t="str">
        <f>IF(H129&gt;=255,"ممتاز",IF(H129&gt;=225,"جيد جدا",IF(H129&gt;=195,"جيد",IF(H129&gt;=180,"مقبول","راسب"))))</f>
        <v>راسب</v>
      </c>
      <c r="J129" s="28" t="s">
        <v>316</v>
      </c>
      <c r="K129" s="37">
        <v>64.989999999999995</v>
      </c>
      <c r="L129" s="28" t="str">
        <f>IF(K129&gt;=85,"ممتاز",IF(K129&gt;=75,"جيد جدا",IF(K129&gt;=65,"جيد",IF(K129&gt;=60,"مقبول","راسب"))))</f>
        <v>مقبول</v>
      </c>
      <c r="M129" s="28" t="s">
        <v>200</v>
      </c>
      <c r="N129" s="17">
        <v>24</v>
      </c>
      <c r="O129" s="37">
        <v>60</v>
      </c>
      <c r="P129" s="29" t="str">
        <f>IF(AND(N129&gt;=24),IF(O129&gt;=85,"ممتاز",IF(O129&gt;=75,"جيد جداً",IF(O129&gt;=65,"جيد",IF(O129&gt;=60,"مقبول","راسب")))),"راسب ")</f>
        <v>مقبول</v>
      </c>
      <c r="Q129" s="28" t="s">
        <v>200</v>
      </c>
      <c r="R129" s="37">
        <v>60.25</v>
      </c>
      <c r="S129" s="29" t="str">
        <f>IF(R129&gt;=85,"ممتاز",IF(R129&gt;=75,"جيد جدا",IF(R129&gt;=65,"جيد",IF(R129&gt;=60,"مقبول","راسب"))))</f>
        <v>مقبول</v>
      </c>
      <c r="T129" s="28" t="s">
        <v>200</v>
      </c>
      <c r="U129" s="29"/>
      <c r="V129" s="32">
        <f>SUM(E129,H129,K129,O129,R129)</f>
        <v>486.17333333333335</v>
      </c>
      <c r="W129" s="18" t="str">
        <f>IF(AND(H129&gt;=180,E129&gt;=120,O129&gt;=60,K129&gt;=60,R129&gt;=60,D129&gt;=30,N129&gt;=24),IF(V129&gt;=680,"ممتاز",IF(V129&gt;=600,"جيد جدا",IF(V129&gt;=520,"جيد",IF(V129&gt;=480,"مقبول","راسب")))),"راسب")</f>
        <v>راسب</v>
      </c>
      <c r="X129" s="19">
        <f>IF(AND(O129&gt;=60,R129&gt;=60,K129&gt;=60,H129&gt;=180,E129&gt;=120,D129&gt;=30,N129&gt;=24),(V129/800)*100%,0)</f>
        <v>0</v>
      </c>
    </row>
    <row r="130" spans="1:24" x14ac:dyDescent="0.35">
      <c r="A130" s="15">
        <v>121</v>
      </c>
      <c r="B130" s="24">
        <v>6075</v>
      </c>
      <c r="C130" s="20" t="s">
        <v>33</v>
      </c>
      <c r="D130" s="30">
        <v>0</v>
      </c>
      <c r="E130" s="30">
        <v>0</v>
      </c>
      <c r="F130" s="28" t="str">
        <f>IF(AND(D130&gt;=30),IF(E130&gt;=170,"ممتاز",IF(E130&gt;=150,"جيد جداً",IF(E130&gt;=130,"جيد",IF(E130&gt;=120,"مقبول","راسب")))),"راسب ")</f>
        <v xml:space="preserve">راسب </v>
      </c>
      <c r="G130" s="28" t="s">
        <v>315</v>
      </c>
      <c r="H130" s="32">
        <v>198</v>
      </c>
      <c r="I130" s="18" t="str">
        <f>IF(H130&gt;=255,"ممتاز",IF(H130&gt;=225,"جيد جدا",IF(H130&gt;=195,"جيد",IF(H130&gt;=180,"مقبول","راسب"))))</f>
        <v>جيد</v>
      </c>
      <c r="J130" s="28" t="s">
        <v>200</v>
      </c>
      <c r="K130" s="32">
        <v>70</v>
      </c>
      <c r="L130" s="28" t="str">
        <f>IF(K130&gt;=85,"ممتاز",IF(K130&gt;=75,"جيد جدا",IF(K130&gt;=65,"جيد",IF(K130&gt;=60,"مقبول","راسب"))))</f>
        <v>جيد</v>
      </c>
      <c r="M130" s="28" t="s">
        <v>200</v>
      </c>
      <c r="N130" s="17">
        <v>0</v>
      </c>
      <c r="O130" s="37">
        <v>0</v>
      </c>
      <c r="P130" s="29" t="str">
        <f>IF(AND(N130&gt;=24),IF(O130&gt;=85,"ممتاز",IF(O130&gt;=75,"جيد جداً",IF(O130&gt;=65,"جيد",IF(O130&gt;=60,"مقبول","راسب")))),"راسب ")</f>
        <v xml:space="preserve">راسب </v>
      </c>
      <c r="Q130" s="28" t="s">
        <v>315</v>
      </c>
      <c r="R130" s="30">
        <v>60</v>
      </c>
      <c r="S130" s="29" t="str">
        <f>IF(R130&gt;=85,"ممتاز",IF(R130&gt;=75,"جيد جدا",IF(R130&gt;=65,"جيد",IF(R130&gt;=60,"مقبول","راسب"))))</f>
        <v>مقبول</v>
      </c>
      <c r="T130" s="28" t="s">
        <v>200</v>
      </c>
      <c r="U130" s="29"/>
      <c r="V130" s="32">
        <f>SUM(E130,H130,K130,O130,R130)</f>
        <v>328</v>
      </c>
      <c r="W130" s="18" t="str">
        <f>IF(AND(H130&gt;=180,E130&gt;=120,O130&gt;=60,K130&gt;=60,R130&gt;=60,D130&gt;=30,N130&gt;=24),IF(V130&gt;=680,"ممتاز",IF(V130&gt;=600,"جيد جدا",IF(V130&gt;=520,"جيد",IF(V130&gt;=480,"مقبول","راسب")))),"راسب")</f>
        <v>راسب</v>
      </c>
      <c r="X130" s="19">
        <f>IF(AND(O130&gt;=60,R130&gt;=60,K130&gt;=60,H130&gt;=180,E130&gt;=120,D130&gt;=30,N130&gt;=24),(V130/800)*100%,0)</f>
        <v>0</v>
      </c>
    </row>
    <row r="131" spans="1:24" x14ac:dyDescent="0.35">
      <c r="A131" s="15">
        <v>122</v>
      </c>
      <c r="B131" s="15">
        <v>6444</v>
      </c>
      <c r="C131" s="15" t="s">
        <v>35</v>
      </c>
      <c r="D131" s="32">
        <v>50</v>
      </c>
      <c r="E131" s="30">
        <v>120</v>
      </c>
      <c r="F131" s="28" t="str">
        <f>IF(AND(D131&gt;=30),IF(E131&gt;=170,"ممتاز",IF(E131&gt;=150,"جيد جداً",IF(E131&gt;=130,"جيد",IF(E131&gt;=120,"مقبول","راسب")))),"راسب ")</f>
        <v>مقبول</v>
      </c>
      <c r="G131" s="28" t="s">
        <v>200</v>
      </c>
      <c r="H131" s="32">
        <v>180</v>
      </c>
      <c r="I131" s="18" t="str">
        <f>IF(H131&gt;=255,"ممتاز",IF(H131&gt;=225,"جيد جدا",IF(H131&gt;=195,"جيد",IF(H131&gt;=180,"مقبول","راسب"))))</f>
        <v>مقبول</v>
      </c>
      <c r="J131" s="28" t="s">
        <v>200</v>
      </c>
      <c r="K131" s="31">
        <v>62</v>
      </c>
      <c r="L131" s="28" t="str">
        <f>IF(K131&gt;=85,"ممتاز",IF(K131&gt;=75,"جيد جدا",IF(K131&gt;=65,"جيد",IF(K131&gt;=60,"مقبول","راسب"))))</f>
        <v>مقبول</v>
      </c>
      <c r="M131" s="28" t="s">
        <v>200</v>
      </c>
      <c r="N131" s="17">
        <v>0</v>
      </c>
      <c r="O131" s="37">
        <v>0</v>
      </c>
      <c r="P131" s="29" t="str">
        <f>IF(AND(N131&gt;=24),IF(O131&gt;=85,"ممتاز",IF(O131&gt;=75,"جيد جداً",IF(O131&gt;=65,"جيد",IF(O131&gt;=60,"مقبول","راسب")))),"راسب ")</f>
        <v xml:space="preserve">راسب </v>
      </c>
      <c r="Q131" s="28" t="s">
        <v>315</v>
      </c>
      <c r="R131" s="32">
        <v>60</v>
      </c>
      <c r="S131" s="29" t="str">
        <f>IF(R131&gt;=85,"ممتاز",IF(R131&gt;=75,"جيد جدا",IF(R131&gt;=65,"جيد",IF(R131&gt;=60,"مقبول","راسب"))))</f>
        <v>مقبول</v>
      </c>
      <c r="T131" s="28" t="s">
        <v>200</v>
      </c>
      <c r="U131" s="29"/>
      <c r="V131" s="32">
        <f>SUM(E131,H131,K131,O131,R131)</f>
        <v>422</v>
      </c>
      <c r="W131" s="18" t="str">
        <f>IF(AND(H131&gt;=180,E131&gt;=120,O131&gt;=60,K131&gt;=60,R131&gt;=60,D131&gt;=30,N131&gt;=24),IF(V131&gt;=680,"ممتاز",IF(V131&gt;=600,"جيد جدا",IF(V131&gt;=520,"جيد",IF(V131&gt;=480,"مقبول","راسب")))),"راسب")</f>
        <v>راسب</v>
      </c>
      <c r="X131" s="19">
        <f>IF(AND(O131&gt;=60,R131&gt;=60,K131&gt;=60,H131&gt;=180,E131&gt;=120,D131&gt;=30,N131&gt;=24),(V131/800)*100%,0)</f>
        <v>0</v>
      </c>
    </row>
    <row r="132" spans="1:24" x14ac:dyDescent="0.35">
      <c r="A132" s="15">
        <v>123</v>
      </c>
      <c r="B132" s="15">
        <v>7115</v>
      </c>
      <c r="C132" s="15" t="s">
        <v>41</v>
      </c>
      <c r="D132" s="30">
        <v>36</v>
      </c>
      <c r="E132" s="30">
        <v>127</v>
      </c>
      <c r="F132" s="28" t="str">
        <f>IF(AND(D132&gt;=30),IF(E132&gt;=170,"ممتاز",IF(E132&gt;=150,"جيد جداً",IF(E132&gt;=130,"جيد",IF(E132&gt;=120,"مقبول","راسب")))),"راسب ")</f>
        <v>مقبول</v>
      </c>
      <c r="G132" s="28" t="s">
        <v>200</v>
      </c>
      <c r="H132" s="30">
        <v>197</v>
      </c>
      <c r="I132" s="18" t="str">
        <f>IF(H132&gt;=255,"ممتاز",IF(H132&gt;=225,"جيد جدا",IF(H132&gt;=195,"جيد",IF(H132&gt;=180,"مقبول","راسب"))))</f>
        <v>جيد</v>
      </c>
      <c r="J132" s="28" t="s">
        <v>200</v>
      </c>
      <c r="K132" s="31">
        <v>61</v>
      </c>
      <c r="L132" s="28" t="str">
        <f>IF(K132&gt;=85,"ممتاز",IF(K132&gt;=75,"جيد جدا",IF(K132&gt;=65,"جيد",IF(K132&gt;=60,"مقبول","راسب"))))</f>
        <v>مقبول</v>
      </c>
      <c r="M132" s="28" t="s">
        <v>200</v>
      </c>
      <c r="N132" s="17">
        <v>0</v>
      </c>
      <c r="O132" s="37">
        <v>0</v>
      </c>
      <c r="P132" s="29" t="str">
        <f>IF(AND(N132&gt;=24),IF(O132&gt;=85,"ممتاز",IF(O132&gt;=75,"جيد جداً",IF(O132&gt;=65,"جيد",IF(O132&gt;=60,"مقبول","راسب")))),"راسب ")</f>
        <v xml:space="preserve">راسب </v>
      </c>
      <c r="Q132" s="28" t="s">
        <v>315</v>
      </c>
      <c r="R132" s="30">
        <v>60</v>
      </c>
      <c r="S132" s="29" t="str">
        <f>IF(R132&gt;=85,"ممتاز",IF(R132&gt;=75,"جيد جدا",IF(R132&gt;=65,"جيد",IF(R132&gt;=60,"مقبول","راسب"))))</f>
        <v>مقبول</v>
      </c>
      <c r="T132" s="28" t="s">
        <v>200</v>
      </c>
      <c r="U132" s="29"/>
      <c r="V132" s="32">
        <f>SUM(E132,H132,K132,O132,R132)</f>
        <v>445</v>
      </c>
      <c r="W132" s="18" t="str">
        <f>IF(AND(H132&gt;=180,E132&gt;=120,O132&gt;=60,K132&gt;=60,R132&gt;=60,D132&gt;=30,N132&gt;=24),IF(V132&gt;=680,"ممتاز",IF(V132&gt;=600,"جيد جدا",IF(V132&gt;=520,"جيد",IF(V132&gt;=480,"مقبول","راسب")))),"راسب")</f>
        <v>راسب</v>
      </c>
      <c r="X132" s="19">
        <f>IF(AND(O132&gt;=60,R132&gt;=60,K132&gt;=60,H132&gt;=180,E132&gt;=120,D132&gt;=30,N132&gt;=24),(V132/800)*100%,0)</f>
        <v>0</v>
      </c>
    </row>
    <row r="133" spans="1:24" x14ac:dyDescent="0.35">
      <c r="A133" s="15">
        <v>124</v>
      </c>
      <c r="B133" s="15">
        <v>7356</v>
      </c>
      <c r="C133" s="15" t="s">
        <v>44</v>
      </c>
      <c r="D133" s="30">
        <v>0</v>
      </c>
      <c r="E133" s="30">
        <v>0</v>
      </c>
      <c r="F133" s="28" t="str">
        <f>IF(AND(D133&gt;=30),IF(E133&gt;=170,"ممتاز",IF(E133&gt;=150,"جيد جداً",IF(E133&gt;=130,"جيد",IF(E133&gt;=120,"مقبول","راسب")))),"راسب ")</f>
        <v xml:space="preserve">راسب </v>
      </c>
      <c r="G133" s="28" t="s">
        <v>315</v>
      </c>
      <c r="H133" s="36">
        <v>0</v>
      </c>
      <c r="I133" s="18" t="str">
        <f>IF(H133&gt;=255,"ممتاز",IF(H133&gt;=225,"جيد جدا",IF(H133&gt;=195,"جيد",IF(H133&gt;=180,"مقبول","راسب"))))</f>
        <v>راسب</v>
      </c>
      <c r="J133" s="28" t="s">
        <v>315</v>
      </c>
      <c r="K133" s="31">
        <v>68</v>
      </c>
      <c r="L133" s="28" t="str">
        <f>IF(K133&gt;=85,"ممتاز",IF(K133&gt;=75,"جيد جدا",IF(K133&gt;=65,"جيد",IF(K133&gt;=60,"مقبول","راسب"))))</f>
        <v>جيد</v>
      </c>
      <c r="M133" s="28" t="s">
        <v>200</v>
      </c>
      <c r="N133" s="17">
        <v>0</v>
      </c>
      <c r="O133" s="37">
        <v>0</v>
      </c>
      <c r="P133" s="29" t="str">
        <f>IF(AND(N133&gt;=24),IF(O133&gt;=85,"ممتاز",IF(O133&gt;=75,"جيد جداً",IF(O133&gt;=65,"جيد",IF(O133&gt;=60,"مقبول","راسب")))),"راسب ")</f>
        <v xml:space="preserve">راسب </v>
      </c>
      <c r="Q133" s="28" t="s">
        <v>315</v>
      </c>
      <c r="R133" s="32">
        <v>60</v>
      </c>
      <c r="S133" s="29" t="str">
        <f>IF(R133&gt;=85,"ممتاز",IF(R133&gt;=75,"جيد جدا",IF(R133&gt;=65,"جيد",IF(R133&gt;=60,"مقبول","راسب"))))</f>
        <v>مقبول</v>
      </c>
      <c r="T133" s="28" t="s">
        <v>200</v>
      </c>
      <c r="U133" s="29"/>
      <c r="V133" s="32">
        <f>SUM(E133,H133,K133,O133,R133)</f>
        <v>128</v>
      </c>
      <c r="W133" s="18" t="str">
        <f>IF(AND(H133&gt;=180,E133&gt;=120,O133&gt;=60,K133&gt;=60,R133&gt;=60,D133&gt;=30,N133&gt;=24),IF(V133&gt;=680,"ممتاز",IF(V133&gt;=600,"جيد جدا",IF(V133&gt;=520,"جيد",IF(V133&gt;=480,"مقبول","راسب")))),"راسب")</f>
        <v>راسب</v>
      </c>
      <c r="X133" s="19">
        <f>IF(AND(O133&gt;=60,R133&gt;=60,K133&gt;=60,H133&gt;=180,E133&gt;=120,D133&gt;=30,N133&gt;=24),(V133/800)*100%,0)</f>
        <v>0</v>
      </c>
    </row>
    <row r="134" spans="1:24" x14ac:dyDescent="0.35">
      <c r="A134" s="15">
        <v>125</v>
      </c>
      <c r="B134" s="15">
        <v>8160</v>
      </c>
      <c r="C134" s="15" t="s">
        <v>46</v>
      </c>
      <c r="D134" s="30">
        <v>0</v>
      </c>
      <c r="E134" s="30">
        <v>0</v>
      </c>
      <c r="F134" s="28" t="str">
        <f>IF(AND(D134&gt;=30),IF(E134&gt;=170,"ممتاز",IF(E134&gt;=150,"جيد جداً",IF(E134&gt;=130,"جيد",IF(E134&gt;=120,"مقبول","راسب")))),"راسب ")</f>
        <v xml:space="preserve">راسب </v>
      </c>
      <c r="G134" s="28" t="s">
        <v>315</v>
      </c>
      <c r="H134" s="30">
        <v>180</v>
      </c>
      <c r="I134" s="18" t="str">
        <f>IF(H134&gt;=255,"ممتاز",IF(H134&gt;=225,"جيد جدا",IF(H134&gt;=195,"جيد",IF(H134&gt;=180,"مقبول","راسب"))))</f>
        <v>مقبول</v>
      </c>
      <c r="J134" s="28" t="s">
        <v>200</v>
      </c>
      <c r="K134" s="30">
        <v>60</v>
      </c>
      <c r="L134" s="28" t="str">
        <f>IF(K134&gt;=85,"ممتاز",IF(K134&gt;=75,"جيد جدا",IF(K134&gt;=65,"جيد",IF(K134&gt;=60,"مقبول","راسب"))))</f>
        <v>مقبول</v>
      </c>
      <c r="M134" s="28" t="s">
        <v>200</v>
      </c>
      <c r="N134" s="17">
        <v>24</v>
      </c>
      <c r="O134" s="17">
        <v>60</v>
      </c>
      <c r="P134" s="29" t="str">
        <f>IF(AND(N134&gt;=24),IF(O134&gt;=85,"ممتاز",IF(O134&gt;=75,"جيد جداً",IF(O134&gt;=65,"جيد",IF(O134&gt;=60,"مقبول","راسب")))),"راسب ")</f>
        <v>مقبول</v>
      </c>
      <c r="Q134" s="28" t="s">
        <v>200</v>
      </c>
      <c r="R134" s="30">
        <v>60</v>
      </c>
      <c r="S134" s="29" t="str">
        <f>IF(R134&gt;=85,"ممتاز",IF(R134&gt;=75,"جيد جدا",IF(R134&gt;=65,"جيد",IF(R134&gt;=60,"مقبول","راسب"))))</f>
        <v>مقبول</v>
      </c>
      <c r="T134" s="28" t="s">
        <v>200</v>
      </c>
      <c r="U134" s="29"/>
      <c r="V134" s="32">
        <f>SUM(E134,H134,K134,O134,R134)</f>
        <v>360</v>
      </c>
      <c r="W134" s="18" t="str">
        <f>IF(AND(H134&gt;=180,E134&gt;=120,O134&gt;=60,K134&gt;=60,R134&gt;=60,D134&gt;=30,N134&gt;=24),IF(V134&gt;=680,"ممتاز",IF(V134&gt;=600,"جيد جدا",IF(V134&gt;=520,"جيد",IF(V134&gt;=480,"مقبول","راسب")))),"راسب")</f>
        <v>راسب</v>
      </c>
      <c r="X134" s="19">
        <f>IF(AND(O134&gt;=60,R134&gt;=60,K134&gt;=60,H134&gt;=180,E134&gt;=120,D134&gt;=30,N134&gt;=24),(V134/800)*100%,0)</f>
        <v>0</v>
      </c>
    </row>
    <row r="135" spans="1:24" x14ac:dyDescent="0.35">
      <c r="A135" s="15">
        <v>126</v>
      </c>
      <c r="B135" s="15">
        <v>8374</v>
      </c>
      <c r="C135" s="15" t="s">
        <v>47</v>
      </c>
      <c r="D135" s="30">
        <v>0</v>
      </c>
      <c r="E135" s="30">
        <v>0</v>
      </c>
      <c r="F135" s="28" t="str">
        <f>IF(AND(D135&gt;=30),IF(E135&gt;=170,"ممتاز",IF(E135&gt;=150,"جيد جداً",IF(E135&gt;=130,"جيد",IF(E135&gt;=120,"مقبول","راسب")))),"راسب ")</f>
        <v xml:space="preserve">راسب </v>
      </c>
      <c r="G135" s="28" t="s">
        <v>315</v>
      </c>
      <c r="H135" s="36">
        <v>0</v>
      </c>
      <c r="I135" s="18" t="str">
        <f>IF(H135&gt;=255,"ممتاز",IF(H135&gt;=225,"جيد جدا",IF(H135&gt;=195,"جيد",IF(H135&gt;=180,"مقبول","راسب"))))</f>
        <v>راسب</v>
      </c>
      <c r="J135" s="28" t="s">
        <v>315</v>
      </c>
      <c r="K135" s="31">
        <v>60</v>
      </c>
      <c r="L135" s="28" t="str">
        <f>IF(K135&gt;=85,"ممتاز",IF(K135&gt;=75,"جيد جدا",IF(K135&gt;=65,"جيد",IF(K135&gt;=60,"مقبول","راسب"))))</f>
        <v>مقبول</v>
      </c>
      <c r="M135" s="28" t="s">
        <v>200</v>
      </c>
      <c r="N135" s="17">
        <v>0</v>
      </c>
      <c r="O135" s="37">
        <v>0</v>
      </c>
      <c r="P135" s="29" t="str">
        <f>IF(AND(N135&gt;=24),IF(O135&gt;=85,"ممتاز",IF(O135&gt;=75,"جيد جداً",IF(O135&gt;=65,"جيد",IF(O135&gt;=60,"مقبول","راسب")))),"راسب ")</f>
        <v xml:space="preserve">راسب </v>
      </c>
      <c r="Q135" s="28" t="s">
        <v>315</v>
      </c>
      <c r="R135" s="32">
        <v>60</v>
      </c>
      <c r="S135" s="29" t="str">
        <f>IF(R135&gt;=85,"ممتاز",IF(R135&gt;=75,"جيد جدا",IF(R135&gt;=65,"جيد",IF(R135&gt;=60,"مقبول","راسب"))))</f>
        <v>مقبول</v>
      </c>
      <c r="T135" s="28" t="s">
        <v>200</v>
      </c>
      <c r="U135" s="29"/>
      <c r="V135" s="32">
        <f>SUM(E135,H135,K135,O135,R135)</f>
        <v>120</v>
      </c>
      <c r="W135" s="18" t="str">
        <f>IF(AND(H135&gt;=180,E135&gt;=120,O135&gt;=60,K135&gt;=60,R135&gt;=60,D135&gt;=30,N135&gt;=24),IF(V135&gt;=680,"ممتاز",IF(V135&gt;=600,"جيد جدا",IF(V135&gt;=520,"جيد",IF(V135&gt;=480,"مقبول","راسب")))),"راسب")</f>
        <v>راسب</v>
      </c>
      <c r="X135" s="19">
        <f>IF(AND(O135&gt;=60,R135&gt;=60,K135&gt;=60,H135&gt;=180,E135&gt;=120,D135&gt;=30,N135&gt;=24),(V135/800)*100%,0)</f>
        <v>0</v>
      </c>
    </row>
    <row r="136" spans="1:24" x14ac:dyDescent="0.35">
      <c r="A136" s="15">
        <v>127</v>
      </c>
      <c r="B136" s="15">
        <v>9007</v>
      </c>
      <c r="C136" s="15" t="s">
        <v>58</v>
      </c>
      <c r="D136" s="30">
        <v>0</v>
      </c>
      <c r="E136" s="30">
        <v>0</v>
      </c>
      <c r="F136" s="28" t="str">
        <f>IF(AND(D136&gt;=30),IF(E136&gt;=170,"ممتاز",IF(E136&gt;=150,"جيد جداً",IF(E136&gt;=130,"جيد",IF(E136&gt;=120,"مقبول","راسب")))),"راسب ")</f>
        <v xml:space="preserve">راسب </v>
      </c>
      <c r="G136" s="28" t="s">
        <v>315</v>
      </c>
      <c r="H136" s="30">
        <v>205</v>
      </c>
      <c r="I136" s="18" t="str">
        <f>IF(H136&gt;=255,"ممتاز",IF(H136&gt;=225,"جيد جدا",IF(H136&gt;=195,"جيد",IF(H136&gt;=180,"مقبول","راسب"))))</f>
        <v>جيد</v>
      </c>
      <c r="J136" s="28" t="s">
        <v>200</v>
      </c>
      <c r="K136" s="31">
        <v>68</v>
      </c>
      <c r="L136" s="28" t="str">
        <f>IF(K136&gt;=85,"ممتاز",IF(K136&gt;=75,"جيد جدا",IF(K136&gt;=65,"جيد",IF(K136&gt;=60,"مقبول","راسب"))))</f>
        <v>جيد</v>
      </c>
      <c r="M136" s="28" t="s">
        <v>200</v>
      </c>
      <c r="N136" s="17">
        <v>24</v>
      </c>
      <c r="O136" s="17">
        <v>60</v>
      </c>
      <c r="P136" s="29" t="str">
        <f>IF(AND(N136&gt;=24),IF(O136&gt;=85,"ممتاز",IF(O136&gt;=75,"جيد جداً",IF(O136&gt;=65,"جيد",IF(O136&gt;=60,"مقبول","راسب")))),"راسب ")</f>
        <v>مقبول</v>
      </c>
      <c r="Q136" s="28" t="s">
        <v>200</v>
      </c>
      <c r="R136" s="30">
        <v>60</v>
      </c>
      <c r="S136" s="29" t="str">
        <f>IF(R136&gt;=85,"ممتاز",IF(R136&gt;=75,"جيد جدا",IF(R136&gt;=65,"جيد",IF(R136&gt;=60,"مقبول","راسب"))))</f>
        <v>مقبول</v>
      </c>
      <c r="T136" s="28" t="s">
        <v>200</v>
      </c>
      <c r="U136" s="29"/>
      <c r="V136" s="32">
        <f>SUM(E136,H136,K136,O136,R136)</f>
        <v>393</v>
      </c>
      <c r="W136" s="18" t="str">
        <f>IF(AND(H136&gt;=180,E136&gt;=120,O136&gt;=60,K136&gt;=60,R136&gt;=60,D136&gt;=30,N136&gt;=24),IF(V136&gt;=680,"ممتاز",IF(V136&gt;=600,"جيد جدا",IF(V136&gt;=520,"جيد",IF(V136&gt;=480,"مقبول","راسب")))),"راسب")</f>
        <v>راسب</v>
      </c>
      <c r="X136" s="19">
        <f>IF(AND(O136&gt;=60,R136&gt;=60,K136&gt;=60,H136&gt;=180,E136&gt;=120,D136&gt;=30,N136&gt;=24),(V136/800)*100%,0)</f>
        <v>0</v>
      </c>
    </row>
    <row r="137" spans="1:24" x14ac:dyDescent="0.35">
      <c r="A137" s="15">
        <v>128</v>
      </c>
      <c r="B137" s="20">
        <v>9013</v>
      </c>
      <c r="C137" s="20" t="s">
        <v>59</v>
      </c>
      <c r="D137" s="30">
        <v>36</v>
      </c>
      <c r="E137" s="30">
        <v>120</v>
      </c>
      <c r="F137" s="28" t="str">
        <f>IF(AND(D137&gt;=30),IF(E137&gt;=170,"ممتاز",IF(E137&gt;=150,"جيد جداً",IF(E137&gt;=130,"جيد",IF(E137&gt;=120,"مقبول","راسب")))),"راسب ")</f>
        <v>مقبول</v>
      </c>
      <c r="G137" s="28" t="s">
        <v>200</v>
      </c>
      <c r="H137" s="32">
        <v>180</v>
      </c>
      <c r="I137" s="18" t="str">
        <f>IF(H137&gt;=255,"ممتاز",IF(H137&gt;=225,"جيد جدا",IF(H137&gt;=195,"جيد",IF(H137&gt;=180,"مقبول","راسب"))))</f>
        <v>مقبول</v>
      </c>
      <c r="J137" s="28" t="s">
        <v>200</v>
      </c>
      <c r="K137" s="32">
        <v>60</v>
      </c>
      <c r="L137" s="28" t="str">
        <f>IF(K137&gt;=85,"ممتاز",IF(K137&gt;=75,"جيد جدا",IF(K137&gt;=65,"جيد",IF(K137&gt;=60,"مقبول","راسب"))))</f>
        <v>مقبول</v>
      </c>
      <c r="M137" s="28" t="s">
        <v>200</v>
      </c>
      <c r="N137" s="17">
        <v>0</v>
      </c>
      <c r="O137" s="37">
        <v>0</v>
      </c>
      <c r="P137" s="29" t="str">
        <f>IF(AND(N137&gt;=24),IF(O137&gt;=85,"ممتاز",IF(O137&gt;=75,"جيد جداً",IF(O137&gt;=65,"جيد",IF(O137&gt;=60,"مقبول","راسب")))),"راسب ")</f>
        <v xml:space="preserve">راسب </v>
      </c>
      <c r="Q137" s="28" t="s">
        <v>315</v>
      </c>
      <c r="R137" s="30">
        <v>60</v>
      </c>
      <c r="S137" s="29" t="str">
        <f>IF(R137&gt;=85,"ممتاز",IF(R137&gt;=75,"جيد جدا",IF(R137&gt;=65,"جيد",IF(R137&gt;=60,"مقبول","راسب"))))</f>
        <v>مقبول</v>
      </c>
      <c r="T137" s="28" t="s">
        <v>200</v>
      </c>
      <c r="U137" s="29"/>
      <c r="V137" s="32">
        <f>SUM(E137,H137,K137,O137,R137)</f>
        <v>420</v>
      </c>
      <c r="W137" s="18" t="str">
        <f>IF(AND(H137&gt;=180,E137&gt;=120,O137&gt;=60,K137&gt;=60,R137&gt;=60,D137&gt;=30,N137&gt;=24),IF(V137&gt;=680,"ممتاز",IF(V137&gt;=600,"جيد جدا",IF(V137&gt;=520,"جيد",IF(V137&gt;=480,"مقبول","راسب")))),"راسب")</f>
        <v>راسب</v>
      </c>
      <c r="X137" s="19">
        <f>IF(AND(O137&gt;=60,R137&gt;=60,K137&gt;=60,H137&gt;=180,E137&gt;=120,D137&gt;=30,N137&gt;=24),(V137/800)*100%,0)</f>
        <v>0</v>
      </c>
    </row>
    <row r="138" spans="1:24" x14ac:dyDescent="0.35">
      <c r="A138" s="15">
        <v>129</v>
      </c>
      <c r="B138" s="20">
        <v>11036</v>
      </c>
      <c r="C138" s="20" t="s">
        <v>69</v>
      </c>
      <c r="D138" s="30">
        <v>45</v>
      </c>
      <c r="E138" s="30">
        <v>120</v>
      </c>
      <c r="F138" s="28" t="str">
        <f>IF(AND(D138&gt;=30),IF(E138&gt;=170,"ممتاز",IF(E138&gt;=150,"جيد جداً",IF(E138&gt;=130,"جيد",IF(E138&gt;=120,"مقبول","راسب")))),"راسب ")</f>
        <v>مقبول</v>
      </c>
      <c r="G138" s="28" t="s">
        <v>200</v>
      </c>
      <c r="H138" s="36">
        <v>151.66666666666669</v>
      </c>
      <c r="I138" s="18" t="str">
        <f>IF(H138&gt;=255,"ممتاز",IF(H138&gt;=225,"جيد جدا",IF(H138&gt;=195,"جيد",IF(H138&gt;=180,"مقبول","راسب"))))</f>
        <v>راسب</v>
      </c>
      <c r="J138" s="28" t="s">
        <v>316</v>
      </c>
      <c r="K138" s="30">
        <v>60.35</v>
      </c>
      <c r="L138" s="28" t="str">
        <f>IF(K138&gt;=85,"ممتاز",IF(K138&gt;=75,"جيد جدا",IF(K138&gt;=65,"جيد",IF(K138&gt;=60,"مقبول","راسب"))))</f>
        <v>مقبول</v>
      </c>
      <c r="M138" s="28" t="s">
        <v>200</v>
      </c>
      <c r="N138" s="17">
        <v>25</v>
      </c>
      <c r="O138" s="17">
        <v>60</v>
      </c>
      <c r="P138" s="29" t="str">
        <f>IF(AND(N138&gt;=24),IF(O138&gt;=85,"ممتاز",IF(O138&gt;=75,"جيد جداً",IF(O138&gt;=65,"جيد",IF(O138&gt;=60,"مقبول","راسب")))),"راسب ")</f>
        <v>مقبول</v>
      </c>
      <c r="Q138" s="28" t="s">
        <v>200</v>
      </c>
      <c r="R138" s="30">
        <v>60</v>
      </c>
      <c r="S138" s="29" t="str">
        <f>IF(R138&gt;=85,"ممتاز",IF(R138&gt;=75,"جيد جدا",IF(R138&gt;=65,"جيد",IF(R138&gt;=60,"مقبول","راسب"))))</f>
        <v>مقبول</v>
      </c>
      <c r="T138" s="28" t="s">
        <v>200</v>
      </c>
      <c r="U138" s="29"/>
      <c r="V138" s="32">
        <f>SUM(E138,H138,K138,O138,R138)</f>
        <v>452.01666666666671</v>
      </c>
      <c r="W138" s="18" t="str">
        <f>IF(AND(H138&gt;=180,E138&gt;=120,O138&gt;=60,K138&gt;=60,R138&gt;=60,D138&gt;=30,N138&gt;=24),IF(V138&gt;=680,"ممتاز",IF(V138&gt;=600,"جيد جدا",IF(V138&gt;=520,"جيد",IF(V138&gt;=480,"مقبول","راسب")))),"راسب")</f>
        <v>راسب</v>
      </c>
      <c r="X138" s="19">
        <f>IF(AND(O138&gt;=60,R138&gt;=60,K138&gt;=60,H138&gt;=180,E138&gt;=120,D138&gt;=30,N138&gt;=24),(V138/800)*100%,0)</f>
        <v>0</v>
      </c>
    </row>
    <row r="139" spans="1:24" x14ac:dyDescent="0.35">
      <c r="A139" s="15">
        <v>130</v>
      </c>
      <c r="B139" s="15">
        <v>11329</v>
      </c>
      <c r="C139" s="15" t="s">
        <v>203</v>
      </c>
      <c r="D139" s="30">
        <v>40.5</v>
      </c>
      <c r="E139" s="30">
        <v>122.75</v>
      </c>
      <c r="F139" s="28" t="str">
        <f>IF(AND(D139&gt;=30),IF(E139&gt;=170,"ممتاز",IF(E139&gt;=150,"جيد جداً",IF(E139&gt;=130,"جيد",IF(E139&gt;=120,"مقبول","راسب")))),"راسب ")</f>
        <v>مقبول</v>
      </c>
      <c r="G139" s="28" t="s">
        <v>316</v>
      </c>
      <c r="H139" s="36">
        <v>183.33333333333334</v>
      </c>
      <c r="I139" s="18" t="str">
        <f>IF(H139&gt;=255,"ممتاز",IF(H139&gt;=225,"جيد جدا",IF(H139&gt;=195,"جيد",IF(H139&gt;=180,"مقبول","راسب"))))</f>
        <v>مقبول</v>
      </c>
      <c r="J139" s="28" t="s">
        <v>316</v>
      </c>
      <c r="K139" s="37">
        <v>73.150000000000006</v>
      </c>
      <c r="L139" s="28" t="str">
        <f>IF(K139&gt;=85,"ممتاز",IF(K139&gt;=75,"جيد جدا",IF(K139&gt;=65,"جيد",IF(K139&gt;=60,"مقبول","راسب"))))</f>
        <v>جيد</v>
      </c>
      <c r="M139" s="28" t="s">
        <v>200</v>
      </c>
      <c r="N139" s="17">
        <v>24</v>
      </c>
      <c r="O139" s="37">
        <v>66.875</v>
      </c>
      <c r="P139" s="29" t="str">
        <f>IF(AND(N139&gt;=24),IF(O139&gt;=85,"ممتاز",IF(O139&gt;=75,"جيد جداً",IF(O139&gt;=65,"جيد",IF(O139&gt;=60,"مقبول","راسب")))),"راسب ")</f>
        <v>جيد</v>
      </c>
      <c r="Q139" s="28" t="s">
        <v>316</v>
      </c>
      <c r="R139" s="37">
        <v>60</v>
      </c>
      <c r="S139" s="29" t="str">
        <f>IF(R139&gt;=85,"ممتاز",IF(R139&gt;=75,"جيد جدا",IF(R139&gt;=65,"جيد",IF(R139&gt;=60,"مقبول","راسب"))))</f>
        <v>مقبول</v>
      </c>
      <c r="T139" s="28" t="s">
        <v>316</v>
      </c>
      <c r="U139" s="29"/>
      <c r="V139" s="32">
        <f>SUM(E139,H139,K139,O139,R139)</f>
        <v>506.10833333333335</v>
      </c>
      <c r="W139" s="18" t="str">
        <f>IF(AND(H139&gt;=180,E139&gt;=120,O139&gt;=60,K139&gt;=60,R139&gt;=60,D139&gt;=30,N139&gt;=24),IF(V139&gt;=680,"ممتاز",IF(V139&gt;=600,"جيد جدا",IF(V139&gt;=520,"جيد",IF(V139&gt;=480,"مقبول","راسب")))),"راسب")</f>
        <v>مقبول</v>
      </c>
      <c r="X139" s="19">
        <f>IF(AND(O139&gt;=60,R139&gt;=60,K139&gt;=60,H139&gt;=180,E139&gt;=120,D139&gt;=30,N139&gt;=24),(V139/800)*100%,0)</f>
        <v>0.63263541666666667</v>
      </c>
    </row>
    <row r="140" spans="1:24" x14ac:dyDescent="0.35">
      <c r="A140" s="15">
        <v>131</v>
      </c>
      <c r="B140" s="23">
        <v>11960</v>
      </c>
      <c r="C140" s="23" t="s">
        <v>144</v>
      </c>
      <c r="D140" s="30">
        <v>36</v>
      </c>
      <c r="E140" s="30">
        <v>129.4</v>
      </c>
      <c r="F140" s="28" t="str">
        <f>IF(AND(D140&gt;=30),IF(E140&gt;=170,"ممتاز",IF(E140&gt;=150,"جيد جداً",IF(E140&gt;=130,"جيد",IF(E140&gt;=120,"مقبول","راسب")))),"راسب ")</f>
        <v>مقبول</v>
      </c>
      <c r="G140" s="28" t="s">
        <v>200</v>
      </c>
      <c r="H140" s="30">
        <v>180</v>
      </c>
      <c r="I140" s="18" t="str">
        <f>IF(H140&gt;=255,"ممتاز",IF(H140&gt;=225,"جيد جدا",IF(H140&gt;=195,"جيد",IF(H140&gt;=180,"مقبول","راسب"))))</f>
        <v>مقبول</v>
      </c>
      <c r="J140" s="28" t="s">
        <v>200</v>
      </c>
      <c r="K140" s="31">
        <v>60.37</v>
      </c>
      <c r="L140" s="28" t="str">
        <f>IF(K140&gt;=85,"ممتاز",IF(K140&gt;=75,"جيد جدا",IF(K140&gt;=65,"جيد",IF(K140&gt;=60,"مقبول","راسب"))))</f>
        <v>مقبول</v>
      </c>
      <c r="M140" s="28" t="s">
        <v>200</v>
      </c>
      <c r="N140" s="17">
        <v>24</v>
      </c>
      <c r="O140" s="37">
        <v>65.625</v>
      </c>
      <c r="P140" s="29" t="str">
        <f>IF(AND(N140&gt;=24),IF(O140&gt;=85,"ممتاز",IF(O140&gt;=75,"جيد جداً",IF(O140&gt;=65,"جيد",IF(O140&gt;=60,"مقبول","راسب")))),"راسب ")</f>
        <v>جيد</v>
      </c>
      <c r="Q140" s="28" t="s">
        <v>316</v>
      </c>
      <c r="R140" s="30">
        <v>60</v>
      </c>
      <c r="S140" s="29" t="str">
        <f>IF(R140&gt;=85,"ممتاز",IF(R140&gt;=75,"جيد جدا",IF(R140&gt;=65,"جيد",IF(R140&gt;=60,"مقبول","راسب"))))</f>
        <v>مقبول</v>
      </c>
      <c r="T140" s="28" t="s">
        <v>200</v>
      </c>
      <c r="U140" s="29"/>
      <c r="V140" s="32">
        <f>SUM(E140,H140,K140,O140,R140)</f>
        <v>495.39499999999998</v>
      </c>
      <c r="W140" s="18" t="str">
        <f>IF(AND(H140&gt;=180,E140&gt;=120,O140&gt;=60,K140&gt;=60,R140&gt;=60,D140&gt;=30,N140&gt;=24),IF(V140&gt;=680,"ممتاز",IF(V140&gt;=600,"جيد جدا",IF(V140&gt;=520,"جيد",IF(V140&gt;=480,"مقبول","راسب")))),"راسب")</f>
        <v>مقبول</v>
      </c>
      <c r="X140" s="19">
        <f>IF(AND(O140&gt;=60,R140&gt;=60,K140&gt;=60,H140&gt;=180,E140&gt;=120,D140&gt;=30,N140&gt;=24),(V140/800)*100%,0)</f>
        <v>0.61924374999999998</v>
      </c>
    </row>
    <row r="141" spans="1:24" x14ac:dyDescent="0.35">
      <c r="A141" s="15">
        <v>132</v>
      </c>
      <c r="B141" s="24">
        <v>12157</v>
      </c>
      <c r="C141" s="24" t="s">
        <v>81</v>
      </c>
      <c r="D141" s="30">
        <v>0</v>
      </c>
      <c r="E141" s="30">
        <v>0</v>
      </c>
      <c r="F141" s="28" t="str">
        <f>IF(AND(D141&gt;=30),IF(E141&gt;=170,"ممتاز",IF(E141&gt;=150,"جيد جداً",IF(E141&gt;=130,"جيد",IF(E141&gt;=120,"مقبول","راسب")))),"راسب ")</f>
        <v xml:space="preserve">راسب </v>
      </c>
      <c r="G141" s="28" t="s">
        <v>315</v>
      </c>
      <c r="H141" s="30">
        <v>180</v>
      </c>
      <c r="I141" s="18" t="str">
        <f>IF(H141&gt;=255,"ممتاز",IF(H141&gt;=225,"جيد جدا",IF(H141&gt;=195,"جيد",IF(H141&gt;=180,"مقبول","راسب"))))</f>
        <v>مقبول</v>
      </c>
      <c r="J141" s="28" t="s">
        <v>200</v>
      </c>
      <c r="K141" s="31">
        <v>60</v>
      </c>
      <c r="L141" s="28" t="str">
        <f>IF(K141&gt;=85,"ممتاز",IF(K141&gt;=75,"جيد جدا",IF(K141&gt;=65,"جيد",IF(K141&gt;=60,"مقبول","راسب"))))</f>
        <v>مقبول</v>
      </c>
      <c r="M141" s="28" t="s">
        <v>200</v>
      </c>
      <c r="N141" s="17">
        <v>26</v>
      </c>
      <c r="O141" s="17">
        <v>62.5</v>
      </c>
      <c r="P141" s="29" t="str">
        <f>IF(AND(N141&gt;=24),IF(O141&gt;=85,"ممتاز",IF(O141&gt;=75,"جيد جداً",IF(O141&gt;=65,"جيد",IF(O141&gt;=60,"مقبول","راسب")))),"راسب ")</f>
        <v>مقبول</v>
      </c>
      <c r="Q141" s="28" t="s">
        <v>200</v>
      </c>
      <c r="R141" s="37">
        <v>60</v>
      </c>
      <c r="S141" s="29" t="str">
        <f>IF(R141&gt;=85,"ممتاز",IF(R141&gt;=75,"جيد جدا",IF(R141&gt;=65,"جيد",IF(R141&gt;=60,"مقبول","راسب"))))</f>
        <v>مقبول</v>
      </c>
      <c r="T141" s="28" t="s">
        <v>316</v>
      </c>
      <c r="U141" s="29"/>
      <c r="V141" s="32">
        <f>SUM(E141,H141,K141,O141,R141)</f>
        <v>362.5</v>
      </c>
      <c r="W141" s="18" t="str">
        <f>IF(AND(H141&gt;=180,E141&gt;=120,O141&gt;=60,K141&gt;=60,R141&gt;=60,D141&gt;=30,N141&gt;=24),IF(V141&gt;=680,"ممتاز",IF(V141&gt;=600,"جيد جدا",IF(V141&gt;=520,"جيد",IF(V141&gt;=480,"مقبول","راسب")))),"راسب")</f>
        <v>راسب</v>
      </c>
      <c r="X141" s="19">
        <f>IF(AND(O141&gt;=60,R141&gt;=60,K141&gt;=60,H141&gt;=180,E141&gt;=120,D141&gt;=30,N141&gt;=24),(V141/800)*100%,0)</f>
        <v>0</v>
      </c>
    </row>
    <row r="142" spans="1:24" x14ac:dyDescent="0.35">
      <c r="A142" s="15">
        <v>133</v>
      </c>
      <c r="B142" s="16">
        <v>12589</v>
      </c>
      <c r="C142" s="16" t="s">
        <v>145</v>
      </c>
      <c r="D142" s="30">
        <v>41</v>
      </c>
      <c r="E142" s="30">
        <v>121.25</v>
      </c>
      <c r="F142" s="28" t="str">
        <f>IF(AND(D142&gt;=30),IF(E142&gt;=170,"ممتاز",IF(E142&gt;=150,"جيد جداً",IF(E142&gt;=130,"جيد",IF(E142&gt;=120,"مقبول","راسب")))),"راسب ")</f>
        <v>مقبول</v>
      </c>
      <c r="G142" s="28" t="s">
        <v>200</v>
      </c>
      <c r="H142" s="30">
        <v>209</v>
      </c>
      <c r="I142" s="18" t="str">
        <f>IF(H142&gt;=255,"ممتاز",IF(H142&gt;=225,"جيد جدا",IF(H142&gt;=195,"جيد",IF(H142&gt;=180,"مقبول","راسب"))))</f>
        <v>جيد</v>
      </c>
      <c r="J142" s="28" t="s">
        <v>200</v>
      </c>
      <c r="K142" s="31">
        <v>66</v>
      </c>
      <c r="L142" s="28" t="str">
        <f>IF(K142&gt;=85,"ممتاز",IF(K142&gt;=75,"جيد جدا",IF(K142&gt;=65,"جيد",IF(K142&gt;=60,"مقبول","راسب"))))</f>
        <v>جيد</v>
      </c>
      <c r="M142" s="28" t="s">
        <v>200</v>
      </c>
      <c r="N142" s="17">
        <v>19</v>
      </c>
      <c r="O142" s="37">
        <v>55.625</v>
      </c>
      <c r="P142" s="29" t="str">
        <f>IF(AND(N142&gt;=24),IF(O142&gt;=85,"ممتاز",IF(O142&gt;=75,"جيد جداً",IF(O142&gt;=65,"جيد",IF(O142&gt;=60,"مقبول","راسب")))),"راسب ")</f>
        <v xml:space="preserve">راسب </v>
      </c>
      <c r="Q142" s="28" t="s">
        <v>316</v>
      </c>
      <c r="R142" s="37">
        <v>60</v>
      </c>
      <c r="S142" s="29" t="str">
        <f>IF(R142&gt;=85,"ممتاز",IF(R142&gt;=75,"جيد جدا",IF(R142&gt;=65,"جيد",IF(R142&gt;=60,"مقبول","راسب"))))</f>
        <v>مقبول</v>
      </c>
      <c r="T142" s="28" t="s">
        <v>316</v>
      </c>
      <c r="U142" s="29"/>
      <c r="V142" s="32">
        <f>SUM(E142,H142,K142,O142,R142)</f>
        <v>511.875</v>
      </c>
      <c r="W142" s="18" t="str">
        <f>IF(AND(H142&gt;=180,E142&gt;=120,O142&gt;=60,K142&gt;=60,R142&gt;=60,D142&gt;=30,N142&gt;=24),IF(V142&gt;=680,"ممتاز",IF(V142&gt;=600,"جيد جدا",IF(V142&gt;=520,"جيد",IF(V142&gt;=480,"مقبول","راسب")))),"راسب")</f>
        <v>راسب</v>
      </c>
      <c r="X142" s="19">
        <f>IF(AND(O142&gt;=60,R142&gt;=60,K142&gt;=60,H142&gt;=180,E142&gt;=120,D142&gt;=30,N142&gt;=24),(V142/800)*100%,0)</f>
        <v>0</v>
      </c>
    </row>
    <row r="143" spans="1:24" x14ac:dyDescent="0.35">
      <c r="A143" s="15">
        <v>134</v>
      </c>
      <c r="B143" s="16">
        <v>13631</v>
      </c>
      <c r="C143" s="16" t="s">
        <v>209</v>
      </c>
      <c r="D143" s="30">
        <v>37.75</v>
      </c>
      <c r="E143" s="32">
        <v>142.9</v>
      </c>
      <c r="F143" s="28" t="str">
        <f>IF(AND(D143&gt;=30),IF(E143&gt;=170,"ممتاز",IF(E143&gt;=150,"جيد جداً",IF(E143&gt;=130,"جيد",IF(E143&gt;=120,"مقبول","راسب")))),"راسب ")</f>
        <v>جيد</v>
      </c>
      <c r="G143" s="28" t="s">
        <v>200</v>
      </c>
      <c r="H143" s="36">
        <v>212</v>
      </c>
      <c r="I143" s="18" t="str">
        <f>IF(H143&gt;=255,"ممتاز",IF(H143&gt;=225,"جيد جدا",IF(H143&gt;=195,"جيد",IF(H143&gt;=180,"مقبول","راسب"))))</f>
        <v>جيد</v>
      </c>
      <c r="J143" s="28" t="s">
        <v>200</v>
      </c>
      <c r="K143" s="37">
        <v>77.84</v>
      </c>
      <c r="L143" s="28" t="str">
        <f>IF(K143&gt;=85,"ممتاز",IF(K143&gt;=75,"جيد جدا",IF(K143&gt;=65,"جيد",IF(K143&gt;=60,"مقبول","راسب"))))</f>
        <v>جيد جدا</v>
      </c>
      <c r="M143" s="28" t="s">
        <v>200</v>
      </c>
      <c r="N143" s="17">
        <v>28.5</v>
      </c>
      <c r="O143" s="37">
        <v>75</v>
      </c>
      <c r="P143" s="29" t="str">
        <f>IF(AND(N143&gt;=24),IF(O143&gt;=85,"ممتاز",IF(O143&gt;=75,"جيد جداً",IF(O143&gt;=65,"جيد",IF(O143&gt;=60,"مقبول","راسب")))),"راسب ")</f>
        <v>جيد جداً</v>
      </c>
      <c r="Q143" s="28" t="s">
        <v>316</v>
      </c>
      <c r="R143" s="37">
        <v>60</v>
      </c>
      <c r="S143" s="29" t="str">
        <f>IF(R143&gt;=85,"ممتاز",IF(R143&gt;=75,"جيد جدا",IF(R143&gt;=65,"جيد",IF(R143&gt;=60,"مقبول","راسب"))))</f>
        <v>مقبول</v>
      </c>
      <c r="T143" s="28" t="s">
        <v>200</v>
      </c>
      <c r="U143" s="29"/>
      <c r="V143" s="32">
        <f>SUM(E143,H143,K143,O143,R143)</f>
        <v>567.74</v>
      </c>
      <c r="W143" s="18" t="str">
        <f>IF(AND(H143&gt;=180,E143&gt;=120,O143&gt;=60,K143&gt;=60,R143&gt;=60,D143&gt;=30,N143&gt;=24),IF(V143&gt;=680,"ممتاز",IF(V143&gt;=600,"جيد جدا",IF(V143&gt;=520,"جيد",IF(V143&gt;=480,"مقبول","راسب")))),"راسب")</f>
        <v>جيد</v>
      </c>
      <c r="X143" s="19">
        <f>IF(AND(O143&gt;=60,R143&gt;=60,K143&gt;=60,H143&gt;=180,E143&gt;=120,D143&gt;=30,N143&gt;=24),(V143/800)*100%,0)</f>
        <v>0.70967500000000006</v>
      </c>
    </row>
    <row r="144" spans="1:24" x14ac:dyDescent="0.35">
      <c r="A144" s="15">
        <v>135</v>
      </c>
      <c r="B144" s="16">
        <v>14713</v>
      </c>
      <c r="C144" s="16" t="s">
        <v>154</v>
      </c>
      <c r="D144" s="30">
        <v>36</v>
      </c>
      <c r="E144" s="30">
        <v>126.85</v>
      </c>
      <c r="F144" s="28" t="str">
        <f>IF(AND(D144&gt;=30),IF(E144&gt;=170,"ممتاز",IF(E144&gt;=150,"جيد جداً",IF(E144&gt;=130,"جيد",IF(E144&gt;=120,"مقبول","راسب")))),"راسب ")</f>
        <v>مقبول</v>
      </c>
      <c r="G144" s="28" t="s">
        <v>200</v>
      </c>
      <c r="H144" s="30">
        <v>182</v>
      </c>
      <c r="I144" s="18" t="str">
        <f>IF(H144&gt;=255,"ممتاز",IF(H144&gt;=225,"جيد جدا",IF(H144&gt;=195,"جيد",IF(H144&gt;=180,"مقبول","راسب"))))</f>
        <v>مقبول</v>
      </c>
      <c r="J144" s="28" t="s">
        <v>200</v>
      </c>
      <c r="K144" s="31">
        <v>64.290000000000006</v>
      </c>
      <c r="L144" s="28" t="str">
        <f>IF(K144&gt;=85,"ممتاز",IF(K144&gt;=75,"جيد جدا",IF(K144&gt;=65,"جيد",IF(K144&gt;=60,"مقبول","راسب"))))</f>
        <v>مقبول</v>
      </c>
      <c r="M144" s="28" t="s">
        <v>200</v>
      </c>
      <c r="N144" s="17">
        <v>25</v>
      </c>
      <c r="O144" s="37">
        <v>61.875</v>
      </c>
      <c r="P144" s="29" t="str">
        <f>IF(AND(N144&gt;=24),IF(O144&gt;=85,"ممتاز",IF(O144&gt;=75,"جيد جداً",IF(O144&gt;=65,"جيد",IF(O144&gt;=60,"مقبول","راسب")))),"راسب ")</f>
        <v>مقبول</v>
      </c>
      <c r="Q144" s="28" t="s">
        <v>316</v>
      </c>
      <c r="R144" s="30">
        <v>60</v>
      </c>
      <c r="S144" s="29" t="str">
        <f>IF(R144&gt;=85,"ممتاز",IF(R144&gt;=75,"جيد جدا",IF(R144&gt;=65,"جيد",IF(R144&gt;=60,"مقبول","راسب"))))</f>
        <v>مقبول</v>
      </c>
      <c r="T144" s="28" t="s">
        <v>200</v>
      </c>
      <c r="U144" s="29"/>
      <c r="V144" s="32">
        <f>SUM(E144,H144,K144,O144,R144)</f>
        <v>495.01500000000004</v>
      </c>
      <c r="W144" s="18" t="str">
        <f>IF(AND(H144&gt;=180,E144&gt;=120,O144&gt;=60,K144&gt;=60,R144&gt;=60,D144&gt;=30,N144&gt;=24),IF(V144&gt;=680,"ممتاز",IF(V144&gt;=600,"جيد جدا",IF(V144&gt;=520,"جيد",IF(V144&gt;=480,"مقبول","راسب")))),"راسب")</f>
        <v>مقبول</v>
      </c>
      <c r="X144" s="19">
        <f>IF(AND(O144&gt;=60,R144&gt;=60,K144&gt;=60,H144&gt;=180,E144&gt;=120,D144&gt;=30,N144&gt;=24),(V144/800)*100%,0)</f>
        <v>0.61876875000000009</v>
      </c>
    </row>
    <row r="145" spans="1:24" x14ac:dyDescent="0.35">
      <c r="A145" s="15">
        <v>136</v>
      </c>
      <c r="B145" s="15">
        <v>15306</v>
      </c>
      <c r="C145" s="15" t="s">
        <v>219</v>
      </c>
      <c r="D145" s="30">
        <v>42.8</v>
      </c>
      <c r="E145" s="30">
        <v>126.05</v>
      </c>
      <c r="F145" s="28" t="str">
        <f>IF(AND(D145&gt;=30),IF(E145&gt;=170,"ممتاز",IF(E145&gt;=150,"جيد جداً",IF(E145&gt;=130,"جيد",IF(E145&gt;=120,"مقبول","راسب")))),"راسب ")</f>
        <v>مقبول</v>
      </c>
      <c r="G145" s="28" t="s">
        <v>316</v>
      </c>
      <c r="H145" s="36">
        <v>205</v>
      </c>
      <c r="I145" s="18" t="str">
        <f>IF(H145&gt;=255,"ممتاز",IF(H145&gt;=225,"جيد جدا",IF(H145&gt;=195,"جيد",IF(H145&gt;=180,"مقبول","راسب"))))</f>
        <v>جيد</v>
      </c>
      <c r="J145" s="28" t="s">
        <v>316</v>
      </c>
      <c r="K145" s="37">
        <v>82.7</v>
      </c>
      <c r="L145" s="28" t="str">
        <f>IF(K145&gt;=85,"ممتاز",IF(K145&gt;=75,"جيد جدا",IF(K145&gt;=65,"جيد",IF(K145&gt;=60,"مقبول","راسب"))))</f>
        <v>جيد جدا</v>
      </c>
      <c r="M145" s="28" t="s">
        <v>200</v>
      </c>
      <c r="N145" s="17">
        <v>22</v>
      </c>
      <c r="O145" s="37">
        <v>57.5</v>
      </c>
      <c r="P145" s="29" t="str">
        <f>IF(AND(N145&gt;=24),IF(O145&gt;=85,"ممتاز",IF(O145&gt;=75,"جيد جداً",IF(O145&gt;=65,"جيد",IF(O145&gt;=60,"مقبول","راسب")))),"راسب ")</f>
        <v xml:space="preserve">راسب </v>
      </c>
      <c r="Q145" s="28" t="s">
        <v>316</v>
      </c>
      <c r="R145" s="37">
        <v>60</v>
      </c>
      <c r="S145" s="29" t="str">
        <f>IF(R145&gt;=85,"ممتاز",IF(R145&gt;=75,"جيد جدا",IF(R145&gt;=65,"جيد",IF(R145&gt;=60,"مقبول","راسب"))))</f>
        <v>مقبول</v>
      </c>
      <c r="T145" s="28" t="s">
        <v>316</v>
      </c>
      <c r="U145" s="29"/>
      <c r="V145" s="32">
        <f>SUM(E145,H145,K145,O145,R145)</f>
        <v>531.25</v>
      </c>
      <c r="W145" s="18" t="str">
        <f>IF(AND(H145&gt;=180,E145&gt;=120,O145&gt;=60,K145&gt;=60,R145&gt;=60,D145&gt;=30,N145&gt;=24),IF(V145&gt;=680,"ممتاز",IF(V145&gt;=600,"جيد جدا",IF(V145&gt;=520,"جيد",IF(V145&gt;=480,"مقبول","راسب")))),"راسب")</f>
        <v>راسب</v>
      </c>
      <c r="X145" s="19">
        <f>IF(AND(O145&gt;=60,R145&gt;=60,K145&gt;=60,H145&gt;=180,E145&gt;=120,D145&gt;=30,N145&gt;=24),(V145/800)*100%,0)</f>
        <v>0</v>
      </c>
    </row>
    <row r="146" spans="1:24" x14ac:dyDescent="0.35">
      <c r="A146" s="15">
        <v>137</v>
      </c>
      <c r="B146" s="15">
        <v>15576</v>
      </c>
      <c r="C146" s="15" t="s">
        <v>113</v>
      </c>
      <c r="D146" s="30">
        <v>44.85</v>
      </c>
      <c r="E146" s="30">
        <v>132.19</v>
      </c>
      <c r="F146" s="28" t="str">
        <f>IF(AND(D146&gt;=30),IF(E146&gt;=170,"ممتاز",IF(E146&gt;=150,"جيد جداً",IF(E146&gt;=130,"جيد",IF(E146&gt;=120,"مقبول","راسب")))),"راسب ")</f>
        <v>جيد</v>
      </c>
      <c r="G146" s="28" t="s">
        <v>200</v>
      </c>
      <c r="H146" s="30">
        <v>210</v>
      </c>
      <c r="I146" s="18" t="str">
        <f>IF(H146&gt;=255,"ممتاز",IF(H146&gt;=225,"جيد جدا",IF(H146&gt;=195,"جيد",IF(H146&gt;=180,"مقبول","راسب"))))</f>
        <v>جيد</v>
      </c>
      <c r="J146" s="28" t="s">
        <v>200</v>
      </c>
      <c r="K146" s="31">
        <v>62</v>
      </c>
      <c r="L146" s="28" t="str">
        <f>IF(K146&gt;=85,"ممتاز",IF(K146&gt;=75,"جيد جدا",IF(K146&gt;=65,"جيد",IF(K146&gt;=60,"مقبول","راسب"))))</f>
        <v>مقبول</v>
      </c>
      <c r="M146" s="28" t="s">
        <v>200</v>
      </c>
      <c r="N146" s="17">
        <v>16</v>
      </c>
      <c r="O146" s="37">
        <v>61.25</v>
      </c>
      <c r="P146" s="29" t="str">
        <f>IF(AND(N146&gt;=24),IF(O146&gt;=85,"ممتاز",IF(O146&gt;=75,"جيد جداً",IF(O146&gt;=65,"جيد",IF(O146&gt;=60,"مقبول","راسب")))),"راسب ")</f>
        <v xml:space="preserve">راسب </v>
      </c>
      <c r="Q146" s="28" t="s">
        <v>316</v>
      </c>
      <c r="R146" s="30">
        <v>60</v>
      </c>
      <c r="S146" s="29" t="str">
        <f>IF(R146&gt;=85,"ممتاز",IF(R146&gt;=75,"جيد جدا",IF(R146&gt;=65,"جيد",IF(R146&gt;=60,"مقبول","راسب"))))</f>
        <v>مقبول</v>
      </c>
      <c r="T146" s="28" t="s">
        <v>200</v>
      </c>
      <c r="U146" s="29"/>
      <c r="V146" s="32">
        <f>SUM(E146,H146,K146,O146,R146)</f>
        <v>525.44000000000005</v>
      </c>
      <c r="W146" s="18" t="str">
        <f>IF(AND(H146&gt;=180,E146&gt;=120,O146&gt;=60,K146&gt;=60,R146&gt;=60,D146&gt;=30,N146&gt;=24),IF(V146&gt;=680,"ممتاز",IF(V146&gt;=600,"جيد جدا",IF(V146&gt;=520,"جيد",IF(V146&gt;=480,"مقبول","راسب")))),"راسب")</f>
        <v>راسب</v>
      </c>
      <c r="X146" s="19">
        <f>IF(AND(O146&gt;=60,R146&gt;=60,K146&gt;=60,H146&gt;=180,E146&gt;=120,D146&gt;=30,N146&gt;=24),(V146/800)*100%,0)</f>
        <v>0</v>
      </c>
    </row>
    <row r="147" spans="1:24" x14ac:dyDescent="0.35">
      <c r="A147" s="15">
        <v>138</v>
      </c>
      <c r="B147" s="25">
        <v>15588</v>
      </c>
      <c r="C147" s="26" t="s">
        <v>114</v>
      </c>
      <c r="D147" s="30">
        <v>43</v>
      </c>
      <c r="E147" s="30">
        <v>120</v>
      </c>
      <c r="F147" s="28" t="str">
        <f>IF(AND(D147&gt;=30),IF(E147&gt;=170,"ممتاز",IF(E147&gt;=150,"جيد جداً",IF(E147&gt;=130,"جيد",IF(E147&gt;=120,"مقبول","راسب")))),"راسب ")</f>
        <v>مقبول</v>
      </c>
      <c r="G147" s="28" t="s">
        <v>200</v>
      </c>
      <c r="H147" s="32">
        <v>202</v>
      </c>
      <c r="I147" s="18" t="str">
        <f>IF(H147&gt;=255,"ممتاز",IF(H147&gt;=225,"جيد جدا",IF(H147&gt;=195,"جيد",IF(H147&gt;=180,"مقبول","راسب"))))</f>
        <v>جيد</v>
      </c>
      <c r="J147" s="28" t="s">
        <v>200</v>
      </c>
      <c r="K147" s="32">
        <v>62.06</v>
      </c>
      <c r="L147" s="28" t="str">
        <f>IF(K147&gt;=85,"ممتاز",IF(K147&gt;=75,"جيد جدا",IF(K147&gt;=65,"جيد",IF(K147&gt;=60,"مقبول","راسب"))))</f>
        <v>مقبول</v>
      </c>
      <c r="M147" s="28" t="s">
        <v>200</v>
      </c>
      <c r="N147" s="17">
        <v>33</v>
      </c>
      <c r="O147" s="37">
        <v>82.5</v>
      </c>
      <c r="P147" s="29" t="str">
        <f>IF(AND(N147&gt;=24),IF(O147&gt;=85,"ممتاز",IF(O147&gt;=75,"جيد جداً",IF(O147&gt;=65,"جيد",IF(O147&gt;=60,"مقبول","راسب")))),"راسب ")</f>
        <v>جيد جداً</v>
      </c>
      <c r="Q147" s="28" t="s">
        <v>316</v>
      </c>
      <c r="R147" s="32">
        <v>60</v>
      </c>
      <c r="S147" s="29" t="str">
        <f>IF(R147&gt;=85,"ممتاز",IF(R147&gt;=75,"جيد جدا",IF(R147&gt;=65,"جيد",IF(R147&gt;=60,"مقبول","راسب"))))</f>
        <v>مقبول</v>
      </c>
      <c r="T147" s="28" t="s">
        <v>200</v>
      </c>
      <c r="U147" s="29"/>
      <c r="V147" s="32">
        <f>SUM(E147,H147,K147,O147,R147)</f>
        <v>526.55999999999995</v>
      </c>
      <c r="W147" s="18" t="str">
        <f>IF(AND(H147&gt;=180,E147&gt;=120,O147&gt;=60,K147&gt;=60,R147&gt;=60,D147&gt;=30,N147&gt;=24),IF(V147&gt;=680,"ممتاز",IF(V147&gt;=600,"جيد جدا",IF(V147&gt;=520,"جيد",IF(V147&gt;=480,"مقبول","راسب")))),"راسب")</f>
        <v>جيد</v>
      </c>
      <c r="X147" s="19">
        <f>IF(AND(O147&gt;=60,R147&gt;=60,K147&gt;=60,H147&gt;=180,E147&gt;=120,D147&gt;=30,N147&gt;=24),(V147/800)*100%,0)</f>
        <v>0.6581999999999999</v>
      </c>
    </row>
    <row r="148" spans="1:24" x14ac:dyDescent="0.35">
      <c r="A148" s="15">
        <v>139</v>
      </c>
      <c r="B148" s="23">
        <v>15771</v>
      </c>
      <c r="C148" s="23" t="s">
        <v>227</v>
      </c>
      <c r="D148" s="30">
        <v>43</v>
      </c>
      <c r="E148" s="32">
        <v>141.94999999999999</v>
      </c>
      <c r="F148" s="28" t="str">
        <f>IF(AND(D148&gt;=30),IF(E148&gt;=170,"ممتاز",IF(E148&gt;=150,"جيد جداً",IF(E148&gt;=130,"جيد",IF(E148&gt;=120,"مقبول","راسب")))),"راسب ")</f>
        <v>جيد</v>
      </c>
      <c r="G148" s="28" t="s">
        <v>200</v>
      </c>
      <c r="H148" s="36">
        <v>199</v>
      </c>
      <c r="I148" s="18" t="str">
        <f>IF(H148&gt;=255,"ممتاز",IF(H148&gt;=225,"جيد جدا",IF(H148&gt;=195,"جيد",IF(H148&gt;=180,"مقبول","راسب"))))</f>
        <v>جيد</v>
      </c>
      <c r="J148" s="28" t="s">
        <v>200</v>
      </c>
      <c r="K148" s="37">
        <v>70.150000000000006</v>
      </c>
      <c r="L148" s="28" t="str">
        <f>IF(K148&gt;=85,"ممتاز",IF(K148&gt;=75,"جيد جدا",IF(K148&gt;=65,"جيد",IF(K148&gt;=60,"مقبول","راسب"))))</f>
        <v>جيد</v>
      </c>
      <c r="M148" s="28" t="s">
        <v>200</v>
      </c>
      <c r="N148" s="17">
        <v>24</v>
      </c>
      <c r="O148" s="37">
        <v>65.625</v>
      </c>
      <c r="P148" s="29" t="str">
        <f>IF(AND(N148&gt;=24),IF(O148&gt;=85,"ممتاز",IF(O148&gt;=75,"جيد جداً",IF(O148&gt;=65,"جيد",IF(O148&gt;=60,"مقبول","راسب")))),"راسب ")</f>
        <v>جيد</v>
      </c>
      <c r="Q148" s="28" t="s">
        <v>316</v>
      </c>
      <c r="R148" s="37">
        <v>60</v>
      </c>
      <c r="S148" s="29" t="str">
        <f>IF(R148&gt;=85,"ممتاز",IF(R148&gt;=75,"جيد جدا",IF(R148&gt;=65,"جيد",IF(R148&gt;=60,"مقبول","راسب"))))</f>
        <v>مقبول</v>
      </c>
      <c r="T148" s="28" t="s">
        <v>316</v>
      </c>
      <c r="U148" s="29"/>
      <c r="V148" s="32">
        <f>SUM(E148,H148,K148,O148,R148)</f>
        <v>536.72500000000002</v>
      </c>
      <c r="W148" s="18" t="str">
        <f>IF(AND(H148&gt;=180,E148&gt;=120,O148&gt;=60,K148&gt;=60,R148&gt;=60,D148&gt;=30,N148&gt;=24),IF(V148&gt;=680,"ممتاز",IF(V148&gt;=600,"جيد جدا",IF(V148&gt;=520,"جيد",IF(V148&gt;=480,"مقبول","راسب")))),"راسب")</f>
        <v>جيد</v>
      </c>
      <c r="X148" s="19">
        <f>IF(AND(O148&gt;=60,R148&gt;=60,K148&gt;=60,H148&gt;=180,E148&gt;=120,D148&gt;=30,N148&gt;=24),(V148/800)*100%,0)</f>
        <v>0.67090625000000004</v>
      </c>
    </row>
    <row r="149" spans="1:24" x14ac:dyDescent="0.35">
      <c r="A149" s="15">
        <v>140</v>
      </c>
      <c r="B149" s="24">
        <v>15835</v>
      </c>
      <c r="C149" s="20" t="s">
        <v>116</v>
      </c>
      <c r="D149" s="30">
        <v>41.8</v>
      </c>
      <c r="E149" s="30">
        <v>126.55</v>
      </c>
      <c r="F149" s="28" t="str">
        <f>IF(AND(D149&gt;=30),IF(E149&gt;=170,"ممتاز",IF(E149&gt;=150,"جيد جداً",IF(E149&gt;=130,"جيد",IF(E149&gt;=120,"مقبول","راسب")))),"راسب ")</f>
        <v>مقبول</v>
      </c>
      <c r="G149" s="28" t="s">
        <v>316</v>
      </c>
      <c r="H149" s="30">
        <v>197</v>
      </c>
      <c r="I149" s="18" t="str">
        <f>IF(H149&gt;=255,"ممتاز",IF(H149&gt;=225,"جيد جدا",IF(H149&gt;=195,"جيد",IF(H149&gt;=180,"مقبول","راسب"))))</f>
        <v>جيد</v>
      </c>
      <c r="J149" s="28" t="s">
        <v>200</v>
      </c>
      <c r="K149" s="31">
        <v>65</v>
      </c>
      <c r="L149" s="28" t="str">
        <f>IF(K149&gt;=85,"ممتاز",IF(K149&gt;=75,"جيد جدا",IF(K149&gt;=65,"جيد",IF(K149&gt;=60,"مقبول","راسب"))))</f>
        <v>جيد</v>
      </c>
      <c r="M149" s="28" t="s">
        <v>200</v>
      </c>
      <c r="N149" s="17">
        <v>38</v>
      </c>
      <c r="O149" s="37">
        <v>90</v>
      </c>
      <c r="P149" s="29" t="str">
        <f>IF(AND(N149&gt;=24),IF(O149&gt;=85,"ممتاز",IF(O149&gt;=75,"جيد جداً",IF(O149&gt;=65,"جيد",IF(O149&gt;=60,"مقبول","راسب")))),"راسب ")</f>
        <v>ممتاز</v>
      </c>
      <c r="Q149" s="28" t="s">
        <v>316</v>
      </c>
      <c r="R149" s="30">
        <v>60</v>
      </c>
      <c r="S149" s="29" t="str">
        <f>IF(R149&gt;=85,"ممتاز",IF(R149&gt;=75,"جيد جدا",IF(R149&gt;=65,"جيد",IF(R149&gt;=60,"مقبول","راسب"))))</f>
        <v>مقبول</v>
      </c>
      <c r="T149" s="28" t="s">
        <v>200</v>
      </c>
      <c r="U149" s="29"/>
      <c r="V149" s="32">
        <f>SUM(E149,H149,K149,O149,R149)</f>
        <v>538.54999999999995</v>
      </c>
      <c r="W149" s="18" t="str">
        <f>IF(AND(H149&gt;=180,E149&gt;=120,O149&gt;=60,K149&gt;=60,R149&gt;=60,D149&gt;=30,N149&gt;=24),IF(V149&gt;=680,"ممتاز",IF(V149&gt;=600,"جيد جدا",IF(V149&gt;=520,"جيد",IF(V149&gt;=480,"مقبول","راسب")))),"راسب")</f>
        <v>جيد</v>
      </c>
      <c r="X149" s="19">
        <f>IF(AND(O149&gt;=60,R149&gt;=60,K149&gt;=60,H149&gt;=180,E149&gt;=120,D149&gt;=30,N149&gt;=24),(V149/800)*100%,0)</f>
        <v>0.67318749999999994</v>
      </c>
    </row>
    <row r="150" spans="1:24" x14ac:dyDescent="0.35">
      <c r="A150" s="15">
        <v>141</v>
      </c>
      <c r="B150" s="15">
        <v>16089</v>
      </c>
      <c r="C150" s="15" t="s">
        <v>230</v>
      </c>
      <c r="D150" s="30">
        <v>36</v>
      </c>
      <c r="E150" s="32">
        <v>127.55</v>
      </c>
      <c r="F150" s="28" t="str">
        <f>IF(AND(D150&gt;=30),IF(E150&gt;=170,"ممتاز",IF(E150&gt;=150,"جيد جداً",IF(E150&gt;=130,"جيد",IF(E150&gt;=120,"مقبول","راسب")))),"راسب ")</f>
        <v>مقبول</v>
      </c>
      <c r="G150" s="28" t="s">
        <v>200</v>
      </c>
      <c r="H150" s="36">
        <v>182</v>
      </c>
      <c r="I150" s="18" t="str">
        <f>IF(H150&gt;=255,"ممتاز",IF(H150&gt;=225,"جيد جدا",IF(H150&gt;=195,"جيد",IF(H150&gt;=180,"مقبول","راسب"))))</f>
        <v>مقبول</v>
      </c>
      <c r="J150" s="28" t="s">
        <v>200</v>
      </c>
      <c r="K150" s="37">
        <v>79.150000000000006</v>
      </c>
      <c r="L150" s="28" t="str">
        <f>IF(K150&gt;=85,"ممتاز",IF(K150&gt;=75,"جيد جدا",IF(K150&gt;=65,"جيد",IF(K150&gt;=60,"مقبول","راسب"))))</f>
        <v>جيد جدا</v>
      </c>
      <c r="M150" s="28" t="s">
        <v>200</v>
      </c>
      <c r="N150" s="17">
        <v>21</v>
      </c>
      <c r="O150" s="37">
        <v>51.875</v>
      </c>
      <c r="P150" s="29" t="str">
        <f>IF(AND(N150&gt;=24),IF(O150&gt;=85,"ممتاز",IF(O150&gt;=75,"جيد جداً",IF(O150&gt;=65,"جيد",IF(O150&gt;=60,"مقبول","راسب")))),"راسب ")</f>
        <v xml:space="preserve">راسب </v>
      </c>
      <c r="Q150" s="28" t="s">
        <v>316</v>
      </c>
      <c r="R150" s="37">
        <v>60</v>
      </c>
      <c r="S150" s="29" t="str">
        <f>IF(R150&gt;=85,"ممتاز",IF(R150&gt;=75,"جيد جدا",IF(R150&gt;=65,"جيد",IF(R150&gt;=60,"مقبول","راسب"))))</f>
        <v>مقبول</v>
      </c>
      <c r="T150" s="28" t="s">
        <v>316</v>
      </c>
      <c r="U150" s="29"/>
      <c r="V150" s="32">
        <f>SUM(E150,H150,K150,O150,R150)</f>
        <v>500.57500000000005</v>
      </c>
      <c r="W150" s="18" t="str">
        <f>IF(AND(H150&gt;=180,E150&gt;=120,O150&gt;=60,K150&gt;=60,R150&gt;=60,D150&gt;=30,N150&gt;=24),IF(V150&gt;=680,"ممتاز",IF(V150&gt;=600,"جيد جدا",IF(V150&gt;=520,"جيد",IF(V150&gt;=480,"مقبول","راسب")))),"راسب")</f>
        <v>راسب</v>
      </c>
      <c r="X150" s="19">
        <f>IF(AND(O150&gt;=60,R150&gt;=60,K150&gt;=60,H150&gt;=180,E150&gt;=120,D150&gt;=30,N150&gt;=24),(V150/800)*100%,0)</f>
        <v>0</v>
      </c>
    </row>
    <row r="151" spans="1:24" x14ac:dyDescent="0.35">
      <c r="A151" s="15">
        <v>142</v>
      </c>
      <c r="B151" s="23">
        <v>16569</v>
      </c>
      <c r="C151" s="23" t="s">
        <v>129</v>
      </c>
      <c r="D151" s="30">
        <v>40.799999999999997</v>
      </c>
      <c r="E151" s="30">
        <v>124.06</v>
      </c>
      <c r="F151" s="28" t="str">
        <f>IF(AND(D151&gt;=30),IF(E151&gt;=170,"ممتاز",IF(E151&gt;=150,"جيد جداً",IF(E151&gt;=130,"جيد",IF(E151&gt;=120,"مقبول","راسب")))),"راسب ")</f>
        <v>مقبول</v>
      </c>
      <c r="G151" s="28" t="s">
        <v>200</v>
      </c>
      <c r="H151" s="36">
        <v>0</v>
      </c>
      <c r="I151" s="18" t="str">
        <f>IF(H151&gt;=255,"ممتاز",IF(H151&gt;=225,"جيد جدا",IF(H151&gt;=195,"جيد",IF(H151&gt;=180,"مقبول","راسب"))))</f>
        <v>راسب</v>
      </c>
      <c r="J151" s="28" t="s">
        <v>315</v>
      </c>
      <c r="K151" s="37">
        <v>22</v>
      </c>
      <c r="L151" s="28" t="str">
        <f>IF(K151&gt;=85,"ممتاز",IF(K151&gt;=75,"جيد جدا",IF(K151&gt;=65,"جيد",IF(K151&gt;=60,"مقبول","راسب"))))</f>
        <v>راسب</v>
      </c>
      <c r="M151" s="28" t="s">
        <v>316</v>
      </c>
      <c r="N151" s="17">
        <v>0</v>
      </c>
      <c r="O151" s="37">
        <v>0</v>
      </c>
      <c r="P151" s="29" t="str">
        <f>IF(AND(N151&gt;=24),IF(O151&gt;=85,"ممتاز",IF(O151&gt;=75,"جيد جداً",IF(O151&gt;=65,"جيد",IF(O151&gt;=60,"مقبول","راسب")))),"راسب ")</f>
        <v xml:space="preserve">راسب </v>
      </c>
      <c r="Q151" s="28" t="s">
        <v>315</v>
      </c>
      <c r="R151" s="30">
        <v>60</v>
      </c>
      <c r="S151" s="29" t="str">
        <f>IF(R151&gt;=85,"ممتاز",IF(R151&gt;=75,"جيد جدا",IF(R151&gt;=65,"جيد",IF(R151&gt;=60,"مقبول","راسب"))))</f>
        <v>مقبول</v>
      </c>
      <c r="T151" s="28" t="s">
        <v>200</v>
      </c>
      <c r="U151" s="29"/>
      <c r="V151" s="32">
        <f>SUM(E151,H151,K151,O151,R151)</f>
        <v>206.06</v>
      </c>
      <c r="W151" s="18" t="str">
        <f>IF(AND(H151&gt;=180,E151&gt;=120,O151&gt;=60,K151&gt;=60,R151&gt;=60,D151&gt;=30,N151&gt;=24),IF(V151&gt;=680,"ممتاز",IF(V151&gt;=600,"جيد جدا",IF(V151&gt;=520,"جيد",IF(V151&gt;=480,"مقبول","راسب")))),"راسب")</f>
        <v>راسب</v>
      </c>
      <c r="X151" s="19">
        <f>IF(AND(O151&gt;=60,R151&gt;=60,K151&gt;=60,H151&gt;=180,E151&gt;=120,D151&gt;=30,N151&gt;=24),(V151/800)*100%,0)</f>
        <v>0</v>
      </c>
    </row>
    <row r="152" spans="1:24" x14ac:dyDescent="0.35">
      <c r="A152" s="15">
        <v>143</v>
      </c>
      <c r="B152" s="23">
        <v>17051</v>
      </c>
      <c r="C152" s="23" t="s">
        <v>244</v>
      </c>
      <c r="D152" s="30">
        <v>0</v>
      </c>
      <c r="E152" s="30">
        <v>0</v>
      </c>
      <c r="F152" s="28" t="str">
        <f>IF(AND(D152&gt;=30),IF(E152&gt;=170,"ممتاز",IF(E152&gt;=150,"جيد جداً",IF(E152&gt;=130,"جيد",IF(E152&gt;=120,"مقبول","راسب")))),"راسب ")</f>
        <v xml:space="preserve">راسب </v>
      </c>
      <c r="G152" s="28" t="s">
        <v>315</v>
      </c>
      <c r="H152" s="36">
        <v>194</v>
      </c>
      <c r="I152" s="18" t="str">
        <f>IF(H152&gt;=255,"ممتاز",IF(H152&gt;=225,"جيد جدا",IF(H152&gt;=195,"جيد",IF(H152&gt;=180,"مقبول","راسب"))))</f>
        <v>مقبول</v>
      </c>
      <c r="J152" s="28" t="s">
        <v>200</v>
      </c>
      <c r="K152" s="37">
        <v>69.86</v>
      </c>
      <c r="L152" s="28" t="str">
        <f>IF(K152&gt;=85,"ممتاز",IF(K152&gt;=75,"جيد جدا",IF(K152&gt;=65,"جيد",IF(K152&gt;=60,"مقبول","راسب"))))</f>
        <v>جيد</v>
      </c>
      <c r="M152" s="28" t="s">
        <v>200</v>
      </c>
      <c r="N152" s="17">
        <v>0</v>
      </c>
      <c r="O152" s="37">
        <v>16.25</v>
      </c>
      <c r="P152" s="29" t="str">
        <f>IF(AND(N152&gt;=24),IF(O152&gt;=85,"ممتاز",IF(O152&gt;=75,"جيد جداً",IF(O152&gt;=65,"جيد",IF(O152&gt;=60,"مقبول","راسب")))),"راسب ")</f>
        <v xml:space="preserve">راسب </v>
      </c>
      <c r="Q152" s="28" t="s">
        <v>316</v>
      </c>
      <c r="R152" s="37">
        <v>60</v>
      </c>
      <c r="S152" s="29" t="str">
        <f>IF(R152&gt;=85,"ممتاز",IF(R152&gt;=75,"جيد جدا",IF(R152&gt;=65,"جيد",IF(R152&gt;=60,"مقبول","راسب"))))</f>
        <v>مقبول</v>
      </c>
      <c r="T152" s="28" t="s">
        <v>200</v>
      </c>
      <c r="U152" s="29"/>
      <c r="V152" s="32">
        <f>SUM(E152,H152,K152,O152,R152)</f>
        <v>340.11</v>
      </c>
      <c r="W152" s="18" t="str">
        <f>IF(AND(H152&gt;=180,E152&gt;=120,O152&gt;=60,K152&gt;=60,R152&gt;=60,D152&gt;=30,N152&gt;=24),IF(V152&gt;=680,"ممتاز",IF(V152&gt;=600,"جيد جدا",IF(V152&gt;=520,"جيد",IF(V152&gt;=480,"مقبول","راسب")))),"راسب")</f>
        <v>راسب</v>
      </c>
      <c r="X152" s="19">
        <f>IF(AND(O152&gt;=60,R152&gt;=60,K152&gt;=60,H152&gt;=180,E152&gt;=120,D152&gt;=30,N152&gt;=24),(V152/800)*100%,0)</f>
        <v>0</v>
      </c>
    </row>
    <row r="153" spans="1:24" x14ac:dyDescent="0.35">
      <c r="A153" s="15">
        <v>144</v>
      </c>
      <c r="B153" s="23">
        <v>17413</v>
      </c>
      <c r="C153" s="23" t="s">
        <v>179</v>
      </c>
      <c r="D153" s="30">
        <v>36</v>
      </c>
      <c r="E153" s="30">
        <v>143</v>
      </c>
      <c r="F153" s="28" t="str">
        <f>IF(AND(D153&gt;=30),IF(E153&gt;=170,"ممتاز",IF(E153&gt;=150,"جيد جداً",IF(E153&gt;=130,"جيد",IF(E153&gt;=120,"مقبول","راسب")))),"راسب ")</f>
        <v>جيد</v>
      </c>
      <c r="G153" s="28" t="s">
        <v>200</v>
      </c>
      <c r="H153" s="30">
        <v>235.5</v>
      </c>
      <c r="I153" s="18" t="str">
        <f>IF(H153&gt;=255,"ممتاز",IF(H153&gt;=225,"جيد جدا",IF(H153&gt;=195,"جيد",IF(H153&gt;=180,"مقبول","راسب"))))</f>
        <v>جيد جدا</v>
      </c>
      <c r="J153" s="28" t="s">
        <v>200</v>
      </c>
      <c r="K153" s="32">
        <v>64</v>
      </c>
      <c r="L153" s="28" t="str">
        <f>IF(K153&gt;=85,"ممتاز",IF(K153&gt;=75,"جيد جدا",IF(K153&gt;=65,"جيد",IF(K153&gt;=60,"مقبول","راسب"))))</f>
        <v>مقبول</v>
      </c>
      <c r="M153" s="28" t="s">
        <v>200</v>
      </c>
      <c r="N153" s="17">
        <v>12</v>
      </c>
      <c r="O153" s="37">
        <v>58.125</v>
      </c>
      <c r="P153" s="29" t="str">
        <f>IF(AND(N153&gt;=24),IF(O153&gt;=85,"ممتاز",IF(O153&gt;=75,"جيد جداً",IF(O153&gt;=65,"جيد",IF(O153&gt;=60,"مقبول","راسب")))),"راسب ")</f>
        <v xml:space="preserve">راسب </v>
      </c>
      <c r="Q153" s="28" t="s">
        <v>316</v>
      </c>
      <c r="R153" s="30">
        <v>60</v>
      </c>
      <c r="S153" s="29" t="str">
        <f>IF(R153&gt;=85,"ممتاز",IF(R153&gt;=75,"جيد جدا",IF(R153&gt;=65,"جيد",IF(R153&gt;=60,"مقبول","راسب"))))</f>
        <v>مقبول</v>
      </c>
      <c r="T153" s="28" t="s">
        <v>200</v>
      </c>
      <c r="U153" s="29"/>
      <c r="V153" s="32">
        <f>SUM(E153,H153,K153,O153,R153)</f>
        <v>560.625</v>
      </c>
      <c r="W153" s="18" t="str">
        <f>IF(AND(H153&gt;=180,E153&gt;=120,O153&gt;=60,K153&gt;=60,R153&gt;=60,D153&gt;=30,N153&gt;=24),IF(V153&gt;=680,"ممتاز",IF(V153&gt;=600,"جيد جدا",IF(V153&gt;=520,"جيد",IF(V153&gt;=480,"مقبول","راسب")))),"راسب")</f>
        <v>راسب</v>
      </c>
      <c r="X153" s="19">
        <f>IF(AND(O153&gt;=60,R153&gt;=60,K153&gt;=60,H153&gt;=180,E153&gt;=120,D153&gt;=30,N153&gt;=24),(V153/800)*100%,0)</f>
        <v>0</v>
      </c>
    </row>
    <row r="154" spans="1:24" x14ac:dyDescent="0.35">
      <c r="A154" s="15">
        <v>145</v>
      </c>
      <c r="B154" s="23">
        <v>17437</v>
      </c>
      <c r="C154" s="23" t="s">
        <v>251</v>
      </c>
      <c r="D154" s="30">
        <v>43</v>
      </c>
      <c r="E154" s="32">
        <v>146.19999999999999</v>
      </c>
      <c r="F154" s="28" t="str">
        <f>IF(AND(D154&gt;=30),IF(E154&gt;=170,"ممتاز",IF(E154&gt;=150,"جيد جداً",IF(E154&gt;=130,"جيد",IF(E154&gt;=120,"مقبول","راسب")))),"راسب ")</f>
        <v>جيد</v>
      </c>
      <c r="G154" s="28" t="s">
        <v>200</v>
      </c>
      <c r="H154" s="36">
        <v>213</v>
      </c>
      <c r="I154" s="18" t="str">
        <f>IF(H154&gt;=255,"ممتاز",IF(H154&gt;=225,"جيد جدا",IF(H154&gt;=195,"جيد",IF(H154&gt;=180,"مقبول","راسب"))))</f>
        <v>جيد</v>
      </c>
      <c r="J154" s="28" t="s">
        <v>200</v>
      </c>
      <c r="K154" s="37">
        <v>67.5</v>
      </c>
      <c r="L154" s="28" t="str">
        <f>IF(K154&gt;=85,"ممتاز",IF(K154&gt;=75,"جيد جدا",IF(K154&gt;=65,"جيد",IF(K154&gt;=60,"مقبول","راسب"))))</f>
        <v>جيد</v>
      </c>
      <c r="M154" s="28" t="s">
        <v>200</v>
      </c>
      <c r="N154" s="17">
        <v>20</v>
      </c>
      <c r="O154" s="37">
        <v>61.875</v>
      </c>
      <c r="P154" s="29" t="str">
        <f>IF(AND(N154&gt;=24),IF(O154&gt;=85,"ممتاز",IF(O154&gt;=75,"جيد جداً",IF(O154&gt;=65,"جيد",IF(O154&gt;=60,"مقبول","راسب")))),"راسب ")</f>
        <v xml:space="preserve">راسب </v>
      </c>
      <c r="Q154" s="28" t="s">
        <v>316</v>
      </c>
      <c r="R154" s="37">
        <v>60</v>
      </c>
      <c r="S154" s="29" t="str">
        <f>IF(R154&gt;=85,"ممتاز",IF(R154&gt;=75,"جيد جدا",IF(R154&gt;=65,"جيد",IF(R154&gt;=60,"مقبول","راسب"))))</f>
        <v>مقبول</v>
      </c>
      <c r="T154" s="28" t="s">
        <v>200</v>
      </c>
      <c r="U154" s="29"/>
      <c r="V154" s="32">
        <f>SUM(E154,H154,K154,O154,R154)</f>
        <v>548.57500000000005</v>
      </c>
      <c r="W154" s="18" t="str">
        <f>IF(AND(H154&gt;=180,E154&gt;=120,O154&gt;=60,K154&gt;=60,R154&gt;=60,D154&gt;=30,N154&gt;=24),IF(V154&gt;=680,"ممتاز",IF(V154&gt;=600,"جيد جدا",IF(V154&gt;=520,"جيد",IF(V154&gt;=480,"مقبول","راسب")))),"راسب")</f>
        <v>راسب</v>
      </c>
      <c r="X154" s="19">
        <f>IF(AND(O154&gt;=60,R154&gt;=60,K154&gt;=60,H154&gt;=180,E154&gt;=120,D154&gt;=30,N154&gt;=24),(V154/800)*100%,0)</f>
        <v>0</v>
      </c>
    </row>
    <row r="155" spans="1:24" x14ac:dyDescent="0.35">
      <c r="A155" s="15">
        <v>146</v>
      </c>
      <c r="B155" s="15">
        <v>17499</v>
      </c>
      <c r="C155" s="15" t="s">
        <v>180</v>
      </c>
      <c r="D155" s="30">
        <v>36</v>
      </c>
      <c r="E155" s="30">
        <v>128.6</v>
      </c>
      <c r="F155" s="28" t="str">
        <f>IF(AND(D155&gt;=30),IF(E155&gt;=170,"ممتاز",IF(E155&gt;=150,"جيد جداً",IF(E155&gt;=130,"جيد",IF(E155&gt;=120,"مقبول","راسب")))),"راسب ")</f>
        <v>مقبول</v>
      </c>
      <c r="G155" s="28" t="s">
        <v>200</v>
      </c>
      <c r="H155" s="30">
        <v>221</v>
      </c>
      <c r="I155" s="18" t="str">
        <f>IF(H155&gt;=255,"ممتاز",IF(H155&gt;=225,"جيد جدا",IF(H155&gt;=195,"جيد",IF(H155&gt;=180,"مقبول","راسب"))))</f>
        <v>جيد</v>
      </c>
      <c r="J155" s="28" t="s">
        <v>200</v>
      </c>
      <c r="K155" s="31">
        <v>60</v>
      </c>
      <c r="L155" s="28" t="str">
        <f>IF(K155&gt;=85,"ممتاز",IF(K155&gt;=75,"جيد جدا",IF(K155&gt;=65,"جيد",IF(K155&gt;=60,"مقبول","راسب"))))</f>
        <v>مقبول</v>
      </c>
      <c r="M155" s="28" t="s">
        <v>200</v>
      </c>
      <c r="N155" s="17">
        <v>24</v>
      </c>
      <c r="O155" s="37">
        <v>60.625</v>
      </c>
      <c r="P155" s="29" t="str">
        <f>IF(AND(N155&gt;=24),IF(O155&gt;=85,"ممتاز",IF(O155&gt;=75,"جيد جداً",IF(O155&gt;=65,"جيد",IF(O155&gt;=60,"مقبول","راسب")))),"راسب ")</f>
        <v>مقبول</v>
      </c>
      <c r="Q155" s="28" t="s">
        <v>316</v>
      </c>
      <c r="R155" s="30">
        <v>60</v>
      </c>
      <c r="S155" s="29" t="str">
        <f>IF(R155&gt;=85,"ممتاز",IF(R155&gt;=75,"جيد جدا",IF(R155&gt;=65,"جيد",IF(R155&gt;=60,"مقبول","راسب"))))</f>
        <v>مقبول</v>
      </c>
      <c r="T155" s="28" t="s">
        <v>200</v>
      </c>
      <c r="U155" s="29"/>
      <c r="V155" s="32">
        <f>SUM(E155,H155,K155,O155,R155)</f>
        <v>530.22500000000002</v>
      </c>
      <c r="W155" s="18" t="str">
        <f>IF(AND(H155&gt;=180,E155&gt;=120,O155&gt;=60,K155&gt;=60,R155&gt;=60,D155&gt;=30,N155&gt;=24),IF(V155&gt;=680,"ممتاز",IF(V155&gt;=600,"جيد جدا",IF(V155&gt;=520,"جيد",IF(V155&gt;=480,"مقبول","راسب")))),"راسب")</f>
        <v>جيد</v>
      </c>
      <c r="X155" s="19">
        <f>IF(AND(O155&gt;=60,R155&gt;=60,K155&gt;=60,H155&gt;=180,E155&gt;=120,D155&gt;=30,N155&gt;=24),(V155/800)*100%,0)</f>
        <v>0.66278124999999999</v>
      </c>
    </row>
    <row r="156" spans="1:24" x14ac:dyDescent="0.35">
      <c r="A156" s="15">
        <v>147</v>
      </c>
      <c r="B156" s="23">
        <v>18125</v>
      </c>
      <c r="C156" s="23" t="s">
        <v>259</v>
      </c>
      <c r="D156" s="30">
        <v>36</v>
      </c>
      <c r="E156" s="32">
        <v>145.18</v>
      </c>
      <c r="F156" s="28" t="str">
        <f>IF(AND(D156&gt;=30),IF(E156&gt;=170,"ممتاز",IF(E156&gt;=150,"جيد جداً",IF(E156&gt;=130,"جيد",IF(E156&gt;=120,"مقبول","راسب")))),"راسب ")</f>
        <v>جيد</v>
      </c>
      <c r="G156" s="28" t="s">
        <v>200</v>
      </c>
      <c r="H156" s="36">
        <v>197</v>
      </c>
      <c r="I156" s="18" t="str">
        <f>IF(H156&gt;=255,"ممتاز",IF(H156&gt;=225,"جيد جدا",IF(H156&gt;=195,"جيد",IF(H156&gt;=180,"مقبول","راسب"))))</f>
        <v>جيد</v>
      </c>
      <c r="J156" s="28" t="s">
        <v>200</v>
      </c>
      <c r="K156" s="37">
        <v>70</v>
      </c>
      <c r="L156" s="28" t="str">
        <f>IF(K156&gt;=85,"ممتاز",IF(K156&gt;=75,"جيد جدا",IF(K156&gt;=65,"جيد",IF(K156&gt;=60,"مقبول","راسب"))))</f>
        <v>جيد</v>
      </c>
      <c r="M156" s="28" t="s">
        <v>316</v>
      </c>
      <c r="N156" s="17">
        <v>29</v>
      </c>
      <c r="O156" s="37">
        <v>68.5</v>
      </c>
      <c r="P156" s="29" t="str">
        <f>IF(AND(N156&gt;=24),IF(O156&gt;=85,"ممتاز",IF(O156&gt;=75,"جيد جداً",IF(O156&gt;=65,"جيد",IF(O156&gt;=60,"مقبول","راسب")))),"راسب ")</f>
        <v>جيد</v>
      </c>
      <c r="Q156" s="28" t="s">
        <v>200</v>
      </c>
      <c r="R156" s="37">
        <v>60</v>
      </c>
      <c r="S156" s="29" t="str">
        <f>IF(R156&gt;=85,"ممتاز",IF(R156&gt;=75,"جيد جدا",IF(R156&gt;=65,"جيد",IF(R156&gt;=60,"مقبول","راسب"))))</f>
        <v>مقبول</v>
      </c>
      <c r="T156" s="28" t="s">
        <v>200</v>
      </c>
      <c r="U156" s="29"/>
      <c r="V156" s="32">
        <f>SUM(E156,H156,K156,O156,R156)</f>
        <v>540.68000000000006</v>
      </c>
      <c r="W156" s="18" t="str">
        <f>IF(AND(H156&gt;=180,E156&gt;=120,O156&gt;=60,K156&gt;=60,R156&gt;=60,D156&gt;=30,N156&gt;=24),IF(V156&gt;=680,"ممتاز",IF(V156&gt;=600,"جيد جدا",IF(V156&gt;=520,"جيد",IF(V156&gt;=480,"مقبول","راسب")))),"راسب")</f>
        <v>جيد</v>
      </c>
      <c r="X156" s="19">
        <f>IF(AND(O156&gt;=60,R156&gt;=60,K156&gt;=60,H156&gt;=180,E156&gt;=120,D156&gt;=30,N156&gt;=24),(V156/800)*100%,0)</f>
        <v>0.67585000000000006</v>
      </c>
    </row>
    <row r="157" spans="1:24" x14ac:dyDescent="0.35">
      <c r="A157" s="15">
        <v>148</v>
      </c>
      <c r="B157" s="23">
        <v>18188</v>
      </c>
      <c r="C157" s="23" t="s">
        <v>261</v>
      </c>
      <c r="D157" s="30">
        <v>42</v>
      </c>
      <c r="E157" s="32">
        <v>130.94999999999999</v>
      </c>
      <c r="F157" s="28" t="str">
        <f>IF(AND(D157&gt;=30),IF(E157&gt;=170,"ممتاز",IF(E157&gt;=150,"جيد جداً",IF(E157&gt;=130,"جيد",IF(E157&gt;=120,"مقبول","راسب")))),"راسب ")</f>
        <v>جيد</v>
      </c>
      <c r="G157" s="28" t="s">
        <v>200</v>
      </c>
      <c r="H157" s="36">
        <v>151.66666666666669</v>
      </c>
      <c r="I157" s="18" t="str">
        <f>IF(H157&gt;=255,"ممتاز",IF(H157&gt;=225,"جيد جدا",IF(H157&gt;=195,"جيد",IF(H157&gt;=180,"مقبول","راسب"))))</f>
        <v>راسب</v>
      </c>
      <c r="J157" s="28" t="s">
        <v>316</v>
      </c>
      <c r="K157" s="37">
        <v>73.34</v>
      </c>
      <c r="L157" s="28" t="str">
        <f>IF(K157&gt;=85,"ممتاز",IF(K157&gt;=75,"جيد جدا",IF(K157&gt;=65,"جيد",IF(K157&gt;=60,"مقبول","راسب"))))</f>
        <v>جيد</v>
      </c>
      <c r="M157" s="28" t="s">
        <v>200</v>
      </c>
      <c r="N157" s="17">
        <v>34</v>
      </c>
      <c r="O157" s="37">
        <v>72</v>
      </c>
      <c r="P157" s="29" t="str">
        <f>IF(AND(N157&gt;=24),IF(O157&gt;=85,"ممتاز",IF(O157&gt;=75,"جيد جداً",IF(O157&gt;=65,"جيد",IF(O157&gt;=60,"مقبول","راسب")))),"راسب ")</f>
        <v>جيد</v>
      </c>
      <c r="Q157" s="28" t="s">
        <v>200</v>
      </c>
      <c r="R157" s="37">
        <v>60</v>
      </c>
      <c r="S157" s="29" t="str">
        <f>IF(R157&gt;=85,"ممتاز",IF(R157&gt;=75,"جيد جدا",IF(R157&gt;=65,"جيد",IF(R157&gt;=60,"مقبول","راسب"))))</f>
        <v>مقبول</v>
      </c>
      <c r="T157" s="28" t="s">
        <v>200</v>
      </c>
      <c r="U157" s="29"/>
      <c r="V157" s="32">
        <f>SUM(E157,H157,K157,O157,R157)</f>
        <v>487.95666666666671</v>
      </c>
      <c r="W157" s="18" t="str">
        <f>IF(AND(H157&gt;=180,E157&gt;=120,O157&gt;=60,K157&gt;=60,R157&gt;=60,D157&gt;=30,N157&gt;=24),IF(V157&gt;=680,"ممتاز",IF(V157&gt;=600,"جيد جدا",IF(V157&gt;=520,"جيد",IF(V157&gt;=480,"مقبول","راسب")))),"راسب")</f>
        <v>راسب</v>
      </c>
      <c r="X157" s="19">
        <f>IF(AND(O157&gt;=60,R157&gt;=60,K157&gt;=60,H157&gt;=180,E157&gt;=120,D157&gt;=30,N157&gt;=24),(V157/800)*100%,0)</f>
        <v>0</v>
      </c>
    </row>
    <row r="158" spans="1:24" x14ac:dyDescent="0.35">
      <c r="A158" s="15">
        <v>149</v>
      </c>
      <c r="B158" s="23">
        <v>18280</v>
      </c>
      <c r="C158" s="23" t="s">
        <v>263</v>
      </c>
      <c r="D158" s="30">
        <v>41.5</v>
      </c>
      <c r="E158" s="30">
        <v>111</v>
      </c>
      <c r="F158" s="28" t="str">
        <f>IF(AND(D158&gt;=30),IF(E158&gt;=170,"ممتاز",IF(E158&gt;=150,"جيد جداً",IF(E158&gt;=130,"جيد",IF(E158&gt;=120,"مقبول","راسب")))),"راسب ")</f>
        <v>راسب</v>
      </c>
      <c r="G158" s="28" t="s">
        <v>316</v>
      </c>
      <c r="H158" s="36">
        <v>200</v>
      </c>
      <c r="I158" s="18" t="str">
        <f>IF(H158&gt;=255,"ممتاز",IF(H158&gt;=225,"جيد جدا",IF(H158&gt;=195,"جيد",IF(H158&gt;=180,"مقبول","راسب"))))</f>
        <v>جيد</v>
      </c>
      <c r="J158" s="28" t="s">
        <v>316</v>
      </c>
      <c r="K158" s="37">
        <v>63.15</v>
      </c>
      <c r="L158" s="28" t="str">
        <f>IF(K158&gt;=85,"ممتاز",IF(K158&gt;=75,"جيد جدا",IF(K158&gt;=65,"جيد",IF(K158&gt;=60,"مقبول","راسب"))))</f>
        <v>مقبول</v>
      </c>
      <c r="M158" s="28" t="s">
        <v>200</v>
      </c>
      <c r="N158" s="17">
        <v>24</v>
      </c>
      <c r="O158" s="37">
        <v>61.25</v>
      </c>
      <c r="P158" s="29" t="str">
        <f>IF(AND(N158&gt;=24),IF(O158&gt;=85,"ممتاز",IF(O158&gt;=75,"جيد جداً",IF(O158&gt;=65,"جيد",IF(O158&gt;=60,"مقبول","راسب")))),"راسب ")</f>
        <v>مقبول</v>
      </c>
      <c r="Q158" s="28" t="s">
        <v>316</v>
      </c>
      <c r="R158" s="37">
        <v>60</v>
      </c>
      <c r="S158" s="29" t="str">
        <f>IF(R158&gt;=85,"ممتاز",IF(R158&gt;=75,"جيد جدا",IF(R158&gt;=65,"جيد",IF(R158&gt;=60,"مقبول","راسب"))))</f>
        <v>مقبول</v>
      </c>
      <c r="T158" s="28" t="s">
        <v>316</v>
      </c>
      <c r="U158" s="29"/>
      <c r="V158" s="32">
        <f>SUM(E158,H158,K158,O158,R158)</f>
        <v>495.4</v>
      </c>
      <c r="W158" s="18" t="str">
        <f>IF(AND(H158&gt;=180,E158&gt;=120,O158&gt;=60,K158&gt;=60,R158&gt;=60,D158&gt;=30,N158&gt;=24),IF(V158&gt;=680,"ممتاز",IF(V158&gt;=600,"جيد جدا",IF(V158&gt;=520,"جيد",IF(V158&gt;=480,"مقبول","راسب")))),"راسب")</f>
        <v>راسب</v>
      </c>
      <c r="X158" s="19">
        <f>IF(AND(O158&gt;=60,R158&gt;=60,K158&gt;=60,H158&gt;=180,E158&gt;=120,D158&gt;=30,N158&gt;=24),(V158/800)*100%,0)</f>
        <v>0</v>
      </c>
    </row>
    <row r="159" spans="1:24" x14ac:dyDescent="0.35">
      <c r="A159" s="15">
        <v>150</v>
      </c>
      <c r="B159" s="23">
        <v>18460</v>
      </c>
      <c r="C159" s="23" t="s">
        <v>192</v>
      </c>
      <c r="D159" s="30">
        <v>36.25</v>
      </c>
      <c r="E159" s="30">
        <v>126.58</v>
      </c>
      <c r="F159" s="28" t="str">
        <f>IF(AND(D159&gt;=30),IF(E159&gt;=170,"ممتاز",IF(E159&gt;=150,"جيد جداً",IF(E159&gt;=130,"جيد",IF(E159&gt;=120,"مقبول","راسب")))),"راسب ")</f>
        <v>مقبول</v>
      </c>
      <c r="G159" s="28" t="s">
        <v>200</v>
      </c>
      <c r="H159" s="32">
        <v>205.5</v>
      </c>
      <c r="I159" s="18" t="str">
        <f>IF(H159&gt;=255,"ممتاز",IF(H159&gt;=225,"جيد جدا",IF(H159&gt;=195,"جيد",IF(H159&gt;=180,"مقبول","راسب"))))</f>
        <v>جيد</v>
      </c>
      <c r="J159" s="28" t="s">
        <v>200</v>
      </c>
      <c r="K159" s="37">
        <v>55</v>
      </c>
      <c r="L159" s="28" t="str">
        <f>IF(K159&gt;=85,"ممتاز",IF(K159&gt;=75,"جيد جدا",IF(K159&gt;=65,"جيد",IF(K159&gt;=60,"مقبول","راسب"))))</f>
        <v>راسب</v>
      </c>
      <c r="M159" s="28" t="s">
        <v>316</v>
      </c>
      <c r="N159" s="22">
        <v>27</v>
      </c>
      <c r="O159" s="22">
        <v>69.38</v>
      </c>
      <c r="P159" s="29" t="str">
        <f>IF(AND(N159&gt;=24),IF(O159&gt;=85,"ممتاز",IF(O159&gt;=75,"جيد جداً",IF(O159&gt;=65,"جيد",IF(O159&gt;=60,"مقبول","راسب")))),"راسب ")</f>
        <v>جيد</v>
      </c>
      <c r="Q159" s="28" t="s">
        <v>200</v>
      </c>
      <c r="R159" s="32">
        <v>60</v>
      </c>
      <c r="S159" s="29" t="str">
        <f>IF(R159&gt;=85,"ممتاز",IF(R159&gt;=75,"جيد جدا",IF(R159&gt;=65,"جيد",IF(R159&gt;=60,"مقبول","راسب"))))</f>
        <v>مقبول</v>
      </c>
      <c r="T159" s="28" t="s">
        <v>200</v>
      </c>
      <c r="U159" s="29"/>
      <c r="V159" s="32">
        <f>SUM(E159,H159,K159,O159,R159)</f>
        <v>516.46</v>
      </c>
      <c r="W159" s="18" t="str">
        <f>IF(AND(H159&gt;=180,E159&gt;=120,O159&gt;=60,K159&gt;=60,R159&gt;=60,D159&gt;=30,N159&gt;=24),IF(V159&gt;=680,"ممتاز",IF(V159&gt;=600,"جيد جدا",IF(V159&gt;=520,"جيد",IF(V159&gt;=480,"مقبول","راسب")))),"راسب")</f>
        <v>راسب</v>
      </c>
      <c r="X159" s="19">
        <f>IF(AND(O159&gt;=60,R159&gt;=60,K159&gt;=60,H159&gt;=180,E159&gt;=120,D159&gt;=30,N159&gt;=24),(V159/800)*100%,0)</f>
        <v>0</v>
      </c>
    </row>
    <row r="160" spans="1:24" x14ac:dyDescent="0.35">
      <c r="A160" s="15">
        <v>151</v>
      </c>
      <c r="B160" s="15">
        <v>18764</v>
      </c>
      <c r="C160" s="15" t="s">
        <v>277</v>
      </c>
      <c r="D160" s="30">
        <v>38.25</v>
      </c>
      <c r="E160" s="32">
        <v>124.4</v>
      </c>
      <c r="F160" s="28" t="str">
        <f>IF(AND(D160&gt;=30),IF(E160&gt;=170,"ممتاز",IF(E160&gt;=150,"جيد جداً",IF(E160&gt;=130,"جيد",IF(E160&gt;=120,"مقبول","راسب")))),"راسب ")</f>
        <v>مقبول</v>
      </c>
      <c r="G160" s="28" t="s">
        <v>200</v>
      </c>
      <c r="H160" s="36">
        <v>200</v>
      </c>
      <c r="I160" s="18" t="str">
        <f>IF(H160&gt;=255,"ممتاز",IF(H160&gt;=225,"جيد جدا",IF(H160&gt;=195,"جيد",IF(H160&gt;=180,"مقبول","راسب"))))</f>
        <v>جيد</v>
      </c>
      <c r="J160" s="28" t="s">
        <v>316</v>
      </c>
      <c r="K160" s="37">
        <v>69.010000000000005</v>
      </c>
      <c r="L160" s="28" t="str">
        <f>IF(K160&gt;=85,"ممتاز",IF(K160&gt;=75,"جيد جدا",IF(K160&gt;=65,"جيد",IF(K160&gt;=60,"مقبول","راسب"))))</f>
        <v>جيد</v>
      </c>
      <c r="M160" s="28" t="s">
        <v>200</v>
      </c>
      <c r="N160" s="17">
        <v>31</v>
      </c>
      <c r="O160" s="37">
        <v>68</v>
      </c>
      <c r="P160" s="29" t="str">
        <f>IF(AND(N160&gt;=24),IF(O160&gt;=85,"ممتاز",IF(O160&gt;=75,"جيد جداً",IF(O160&gt;=65,"جيد",IF(O160&gt;=60,"مقبول","راسب")))),"راسب ")</f>
        <v>جيد</v>
      </c>
      <c r="Q160" s="28" t="s">
        <v>200</v>
      </c>
      <c r="R160" s="37">
        <v>60</v>
      </c>
      <c r="S160" s="29" t="str">
        <f>IF(R160&gt;=85,"ممتاز",IF(R160&gt;=75,"جيد جدا",IF(R160&gt;=65,"جيد",IF(R160&gt;=60,"مقبول","راسب"))))</f>
        <v>مقبول</v>
      </c>
      <c r="T160" s="28" t="s">
        <v>200</v>
      </c>
      <c r="U160" s="29"/>
      <c r="V160" s="32">
        <f>SUM(E160,H160,K160,O160,R160)</f>
        <v>521.41</v>
      </c>
      <c r="W160" s="18" t="str">
        <f>IF(AND(H160&gt;=180,E160&gt;=120,O160&gt;=60,K160&gt;=60,R160&gt;=60,D160&gt;=30,N160&gt;=24),IF(V160&gt;=680,"ممتاز",IF(V160&gt;=600,"جيد جدا",IF(V160&gt;=520,"جيد",IF(V160&gt;=480,"مقبول","راسب")))),"راسب")</f>
        <v>جيد</v>
      </c>
      <c r="X160" s="19">
        <f>IF(AND(O160&gt;=60,R160&gt;=60,K160&gt;=60,H160&gt;=180,E160&gt;=120,D160&gt;=30,N160&gt;=24),(V160/800)*100%,0)</f>
        <v>0.65176249999999991</v>
      </c>
    </row>
    <row r="161" spans="1:24" x14ac:dyDescent="0.35">
      <c r="A161" s="15">
        <v>152</v>
      </c>
      <c r="B161" s="23">
        <v>18935</v>
      </c>
      <c r="C161" s="23" t="s">
        <v>196</v>
      </c>
      <c r="D161" s="30">
        <v>0</v>
      </c>
      <c r="E161" s="30">
        <v>0</v>
      </c>
      <c r="F161" s="28" t="str">
        <f>IF(AND(D161&gt;=30),IF(E161&gt;=170,"ممتاز",IF(E161&gt;=150,"جيد جداً",IF(E161&gt;=130,"جيد",IF(E161&gt;=120,"مقبول","راسب")))),"راسب ")</f>
        <v xml:space="preserve">راسب </v>
      </c>
      <c r="G161" s="28" t="s">
        <v>315</v>
      </c>
      <c r="H161" s="36">
        <v>0</v>
      </c>
      <c r="I161" s="18" t="str">
        <f>IF(H161&gt;=255,"ممتاز",IF(H161&gt;=225,"جيد جدا",IF(H161&gt;=195,"جيد",IF(H161&gt;=180,"مقبول","راسب"))))</f>
        <v>راسب</v>
      </c>
      <c r="J161" s="28" t="s">
        <v>315</v>
      </c>
      <c r="K161" s="37">
        <v>0</v>
      </c>
      <c r="L161" s="28" t="str">
        <f>IF(K161&gt;=85,"ممتاز",IF(K161&gt;=75,"جيد جدا",IF(K161&gt;=65,"جيد",IF(K161&gt;=60,"مقبول","راسب"))))</f>
        <v>راسب</v>
      </c>
      <c r="M161" s="28" t="s">
        <v>315</v>
      </c>
      <c r="N161" s="17">
        <v>0</v>
      </c>
      <c r="O161" s="37">
        <v>0</v>
      </c>
      <c r="P161" s="29" t="str">
        <f>IF(AND(N161&gt;=24),IF(O161&gt;=85,"ممتاز",IF(O161&gt;=75,"جيد جداً",IF(O161&gt;=65,"جيد",IF(O161&gt;=60,"مقبول","راسب")))),"راسب ")</f>
        <v xml:space="preserve">راسب </v>
      </c>
      <c r="Q161" s="28" t="s">
        <v>315</v>
      </c>
      <c r="R161" s="32">
        <v>60</v>
      </c>
      <c r="S161" s="29" t="str">
        <f>IF(R161&gt;=85,"ممتاز",IF(R161&gt;=75,"جيد جدا",IF(R161&gt;=65,"جيد",IF(R161&gt;=60,"مقبول","راسب"))))</f>
        <v>مقبول</v>
      </c>
      <c r="T161" s="28" t="s">
        <v>200</v>
      </c>
      <c r="U161" s="29"/>
      <c r="V161" s="32">
        <f>SUM(E161,H161,K161,O161,R161)</f>
        <v>60</v>
      </c>
      <c r="W161" s="18" t="str">
        <f>IF(AND(H161&gt;=180,E161&gt;=120,O161&gt;=60,K161&gt;=60,R161&gt;=60,D161&gt;=30,N161&gt;=24),IF(V161&gt;=680,"ممتاز",IF(V161&gt;=600,"جيد جدا",IF(V161&gt;=520,"جيد",IF(V161&gt;=480,"مقبول","راسب")))),"راسب")</f>
        <v>راسب</v>
      </c>
      <c r="X161" s="19">
        <f>IF(AND(O161&gt;=60,R161&gt;=60,K161&gt;=60,H161&gt;=180,E161&gt;=120,D161&gt;=30,N161&gt;=24),(V161/800)*100%,0)</f>
        <v>0</v>
      </c>
    </row>
    <row r="162" spans="1:24" x14ac:dyDescent="0.35">
      <c r="A162" s="15">
        <v>153</v>
      </c>
      <c r="B162" s="15">
        <v>13928</v>
      </c>
      <c r="C162" s="15" t="s">
        <v>150</v>
      </c>
      <c r="D162" s="30">
        <v>43</v>
      </c>
      <c r="E162" s="30">
        <v>137.5</v>
      </c>
      <c r="F162" s="28" t="str">
        <f>IF(AND(D162&gt;=30),IF(E162&gt;=170,"ممتاز",IF(E162&gt;=150,"جيد جداً",IF(E162&gt;=130,"جيد",IF(E162&gt;=120,"مقبول","راسب")))),"راسب ")</f>
        <v>جيد</v>
      </c>
      <c r="G162" s="28" t="s">
        <v>200</v>
      </c>
      <c r="H162" s="30">
        <v>180</v>
      </c>
      <c r="I162" s="18" t="str">
        <f>IF(H162&gt;=255,"ممتاز",IF(H162&gt;=225,"جيد جدا",IF(H162&gt;=195,"جيد",IF(H162&gt;=180,"مقبول","راسب"))))</f>
        <v>مقبول</v>
      </c>
      <c r="J162" s="28" t="s">
        <v>200</v>
      </c>
      <c r="K162" s="31">
        <v>60.13</v>
      </c>
      <c r="L162" s="28" t="str">
        <f>IF(K162&gt;=85,"ممتاز",IF(K162&gt;=75,"جيد جدا",IF(K162&gt;=65,"جيد",IF(K162&gt;=60,"مقبول","راسب"))))</f>
        <v>مقبول</v>
      </c>
      <c r="M162" s="28" t="s">
        <v>200</v>
      </c>
      <c r="N162" s="17">
        <v>20</v>
      </c>
      <c r="O162" s="37">
        <v>52.5</v>
      </c>
      <c r="P162" s="29" t="str">
        <f>IF(AND(N162&gt;=24),IF(O162&gt;=85,"ممتاز",IF(O162&gt;=75,"جيد جداً",IF(O162&gt;=65,"جيد",IF(O162&gt;=60,"مقبول","راسب")))),"راسب ")</f>
        <v xml:space="preserve">راسب </v>
      </c>
      <c r="Q162" s="28" t="s">
        <v>316</v>
      </c>
      <c r="R162" s="37">
        <v>48.75</v>
      </c>
      <c r="S162" s="29" t="str">
        <f>IF(R162&gt;=85,"ممتاز",IF(R162&gt;=75,"جيد جدا",IF(R162&gt;=65,"جيد",IF(R162&gt;=60,"مقبول","راسب"))))</f>
        <v>راسب</v>
      </c>
      <c r="T162" s="28" t="s">
        <v>316</v>
      </c>
      <c r="U162" s="29"/>
      <c r="V162" s="32">
        <f>SUM(E162,H162,K162,O162,R162)</f>
        <v>478.88</v>
      </c>
      <c r="W162" s="18" t="str">
        <f>IF(AND(H162&gt;=180,E162&gt;=120,O162&gt;=60,K162&gt;=60,R162&gt;=60,D162&gt;=30,N162&gt;=24),IF(V162&gt;=680,"ممتاز",IF(V162&gt;=600,"جيد جدا",IF(V162&gt;=520,"جيد",IF(V162&gt;=480,"مقبول","راسب")))),"راسب")</f>
        <v>راسب</v>
      </c>
      <c r="X162" s="19">
        <f>IF(AND(O162&gt;=60,R162&gt;=60,K162&gt;=60,H162&gt;=180,E162&gt;=120,D162&gt;=30,N162&gt;=24),(V162/800)*100%,0)</f>
        <v>0</v>
      </c>
    </row>
    <row r="163" spans="1:24" x14ac:dyDescent="0.35">
      <c r="A163" s="15">
        <v>154</v>
      </c>
      <c r="B163" s="15">
        <v>15620</v>
      </c>
      <c r="C163" s="15" t="s">
        <v>163</v>
      </c>
      <c r="D163" s="30">
        <v>37.5</v>
      </c>
      <c r="E163" s="30">
        <v>98.25</v>
      </c>
      <c r="F163" s="28" t="str">
        <f>IF(AND(D163&gt;=30),IF(E163&gt;=170,"ممتاز",IF(E163&gt;=150,"جيد جداً",IF(E163&gt;=130,"جيد",IF(E163&gt;=120,"مقبول","راسب")))),"راسب ")</f>
        <v>راسب</v>
      </c>
      <c r="G163" s="28" t="s">
        <v>316</v>
      </c>
      <c r="H163" s="30">
        <v>180.83</v>
      </c>
      <c r="I163" s="18" t="str">
        <f>IF(H163&gt;=255,"ممتاز",IF(H163&gt;=225,"جيد جدا",IF(H163&gt;=195,"جيد",IF(H163&gt;=180,"مقبول","راسب"))))</f>
        <v>مقبول</v>
      </c>
      <c r="J163" s="28" t="s">
        <v>200</v>
      </c>
      <c r="K163" s="31">
        <v>66.5</v>
      </c>
      <c r="L163" s="28" t="str">
        <f>IF(K163&gt;=85,"ممتاز",IF(K163&gt;=75,"جيد جدا",IF(K163&gt;=65,"جيد",IF(K163&gt;=60,"مقبول","راسب"))))</f>
        <v>جيد</v>
      </c>
      <c r="M163" s="28" t="s">
        <v>200</v>
      </c>
      <c r="N163" s="17">
        <v>0</v>
      </c>
      <c r="O163" s="37">
        <v>0</v>
      </c>
      <c r="P163" s="29" t="str">
        <f>IF(AND(N163&gt;=24),IF(O163&gt;=85,"ممتاز",IF(O163&gt;=75,"جيد جداً",IF(O163&gt;=65,"جيد",IF(O163&gt;=60,"مقبول","راسب")))),"راسب ")</f>
        <v xml:space="preserve">راسب </v>
      </c>
      <c r="Q163" s="28" t="s">
        <v>315</v>
      </c>
      <c r="R163" s="37">
        <v>48.4375</v>
      </c>
      <c r="S163" s="29" t="str">
        <f>IF(R163&gt;=85,"ممتاز",IF(R163&gt;=75,"جيد جدا",IF(R163&gt;=65,"جيد",IF(R163&gt;=60,"مقبول","راسب"))))</f>
        <v>راسب</v>
      </c>
      <c r="T163" s="28" t="s">
        <v>316</v>
      </c>
      <c r="U163" s="29"/>
      <c r="V163" s="32">
        <f>SUM(E163,H163,K163,O163,R163)</f>
        <v>394.01750000000004</v>
      </c>
      <c r="W163" s="18" t="str">
        <f>IF(AND(H163&gt;=180,E163&gt;=120,O163&gt;=60,K163&gt;=60,R163&gt;=60,D163&gt;=30,N163&gt;=24),IF(V163&gt;=680,"ممتاز",IF(V163&gt;=600,"جيد جدا",IF(V163&gt;=520,"جيد",IF(V163&gt;=480,"مقبول","راسب")))),"راسب")</f>
        <v>راسب</v>
      </c>
      <c r="X163" s="19">
        <f>IF(AND(O163&gt;=60,R163&gt;=60,K163&gt;=60,H163&gt;=180,E163&gt;=120,D163&gt;=30,N163&gt;=24),(V163/800)*100%,0)</f>
        <v>0</v>
      </c>
    </row>
    <row r="164" spans="1:24" x14ac:dyDescent="0.35">
      <c r="A164" s="15">
        <v>155</v>
      </c>
      <c r="B164" s="15">
        <v>15322</v>
      </c>
      <c r="C164" s="15" t="s">
        <v>110</v>
      </c>
      <c r="D164" s="30">
        <v>36</v>
      </c>
      <c r="E164" s="30">
        <v>120</v>
      </c>
      <c r="F164" s="28" t="str">
        <f>IF(AND(D164&gt;=30),IF(E164&gt;=170,"ممتاز",IF(E164&gt;=150,"جيد جداً",IF(E164&gt;=130,"جيد",IF(E164&gt;=120,"مقبول","راسب")))),"راسب ")</f>
        <v>مقبول</v>
      </c>
      <c r="G164" s="28" t="s">
        <v>200</v>
      </c>
      <c r="H164" s="30">
        <v>186</v>
      </c>
      <c r="I164" s="18" t="str">
        <f>IF(H164&gt;=255,"ممتاز",IF(H164&gt;=225,"جيد جدا",IF(H164&gt;=195,"جيد",IF(H164&gt;=180,"مقبول","راسب"))))</f>
        <v>مقبول</v>
      </c>
      <c r="J164" s="28" t="s">
        <v>200</v>
      </c>
      <c r="K164" s="31">
        <v>60</v>
      </c>
      <c r="L164" s="28" t="str">
        <f>IF(K164&gt;=85,"ممتاز",IF(K164&gt;=75,"جيد جدا",IF(K164&gt;=65,"جيد",IF(K164&gt;=60,"مقبول","راسب"))))</f>
        <v>مقبول</v>
      </c>
      <c r="M164" s="28" t="s">
        <v>200</v>
      </c>
      <c r="N164" s="17">
        <v>24</v>
      </c>
      <c r="O164" s="17">
        <v>61.88</v>
      </c>
      <c r="P164" s="29" t="str">
        <f>IF(AND(N164&gt;=24),IF(O164&gt;=85,"ممتاز",IF(O164&gt;=75,"جيد جداً",IF(O164&gt;=65,"جيد",IF(O164&gt;=60,"مقبول","راسب")))),"راسب ")</f>
        <v>مقبول</v>
      </c>
      <c r="Q164" s="28" t="s">
        <v>200</v>
      </c>
      <c r="R164" s="37">
        <v>48.125</v>
      </c>
      <c r="S164" s="29" t="str">
        <f>IF(R164&gt;=85,"ممتاز",IF(R164&gt;=75,"جيد جدا",IF(R164&gt;=65,"جيد",IF(R164&gt;=60,"مقبول","راسب"))))</f>
        <v>راسب</v>
      </c>
      <c r="T164" s="28" t="s">
        <v>316</v>
      </c>
      <c r="U164" s="29"/>
      <c r="V164" s="32">
        <f>SUM(E164,H164,K164,O164,R164)</f>
        <v>476.005</v>
      </c>
      <c r="W164" s="18" t="str">
        <f>IF(AND(H164&gt;=180,E164&gt;=120,O164&gt;=60,K164&gt;=60,R164&gt;=60,D164&gt;=30,N164&gt;=24),IF(V164&gt;=680,"ممتاز",IF(V164&gt;=600,"جيد جدا",IF(V164&gt;=520,"جيد",IF(V164&gt;=480,"مقبول","راسب")))),"راسب")</f>
        <v>راسب</v>
      </c>
      <c r="X164" s="19">
        <f>IF(AND(O164&gt;=60,R164&gt;=60,K164&gt;=60,H164&gt;=180,E164&gt;=120,D164&gt;=30,N164&gt;=24),(V164/800)*100%,0)</f>
        <v>0</v>
      </c>
    </row>
    <row r="165" spans="1:24" x14ac:dyDescent="0.35">
      <c r="A165" s="15">
        <v>156</v>
      </c>
      <c r="B165" s="27">
        <v>15804</v>
      </c>
      <c r="C165" s="26" t="s">
        <v>165</v>
      </c>
      <c r="D165" s="30">
        <v>44.5</v>
      </c>
      <c r="E165" s="30">
        <v>131.76</v>
      </c>
      <c r="F165" s="28" t="str">
        <f>IF(AND(D165&gt;=30),IF(E165&gt;=170,"ممتاز",IF(E165&gt;=150,"جيد جداً",IF(E165&gt;=130,"جيد",IF(E165&gt;=120,"مقبول","راسب")))),"راسب ")</f>
        <v>جيد</v>
      </c>
      <c r="G165" s="28" t="s">
        <v>200</v>
      </c>
      <c r="H165" s="30">
        <v>197</v>
      </c>
      <c r="I165" s="18" t="str">
        <f>IF(H165&gt;=255,"ممتاز",IF(H165&gt;=225,"جيد جدا",IF(H165&gt;=195,"جيد",IF(H165&gt;=180,"مقبول","راسب"))))</f>
        <v>جيد</v>
      </c>
      <c r="J165" s="28" t="s">
        <v>200</v>
      </c>
      <c r="K165" s="31">
        <v>60.5</v>
      </c>
      <c r="L165" s="28" t="str">
        <f>IF(K165&gt;=85,"ممتاز",IF(K165&gt;=75,"جيد جدا",IF(K165&gt;=65,"جيد",IF(K165&gt;=60,"مقبول","راسب"))))</f>
        <v>مقبول</v>
      </c>
      <c r="M165" s="28" t="s">
        <v>200</v>
      </c>
      <c r="N165" s="17">
        <v>33</v>
      </c>
      <c r="O165" s="37">
        <v>75</v>
      </c>
      <c r="P165" s="29" t="str">
        <f>IF(AND(N165&gt;=24),IF(O165&gt;=85,"ممتاز",IF(O165&gt;=75,"جيد جداً",IF(O165&gt;=65,"جيد",IF(O165&gt;=60,"مقبول","راسب")))),"راسب ")</f>
        <v>جيد جداً</v>
      </c>
      <c r="Q165" s="28" t="s">
        <v>316</v>
      </c>
      <c r="R165" s="37">
        <v>47.1875</v>
      </c>
      <c r="S165" s="29" t="str">
        <f>IF(R165&gt;=85,"ممتاز",IF(R165&gt;=75,"جيد جدا",IF(R165&gt;=65,"جيد",IF(R165&gt;=60,"مقبول","راسب"))))</f>
        <v>راسب</v>
      </c>
      <c r="T165" s="28" t="s">
        <v>316</v>
      </c>
      <c r="U165" s="29"/>
      <c r="V165" s="32">
        <f>SUM(E165,H165,K165,O165,R165)</f>
        <v>511.44749999999999</v>
      </c>
      <c r="W165" s="18" t="str">
        <f>IF(AND(H165&gt;=180,E165&gt;=120,O165&gt;=60,K165&gt;=60,R165&gt;=60,D165&gt;=30,N165&gt;=24),IF(V165&gt;=680,"ممتاز",IF(V165&gt;=600,"جيد جدا",IF(V165&gt;=520,"جيد",IF(V165&gt;=480,"مقبول","راسب")))),"راسب")</f>
        <v>راسب</v>
      </c>
      <c r="X165" s="19">
        <f>IF(AND(O165&gt;=60,R165&gt;=60,K165&gt;=60,H165&gt;=180,E165&gt;=120,D165&gt;=30,N165&gt;=24),(V165/800)*100%,0)</f>
        <v>0</v>
      </c>
    </row>
    <row r="166" spans="1:24" x14ac:dyDescent="0.35">
      <c r="A166" s="15">
        <v>157</v>
      </c>
      <c r="B166" s="15">
        <v>13685</v>
      </c>
      <c r="C166" s="15" t="s">
        <v>211</v>
      </c>
      <c r="D166" s="30">
        <v>24</v>
      </c>
      <c r="E166" s="30">
        <v>89.75</v>
      </c>
      <c r="F166" s="28" t="str">
        <f>IF(AND(D166&gt;=30),IF(E166&gt;=170,"ممتاز",IF(E166&gt;=150,"جيد جداً",IF(E166&gt;=130,"جيد",IF(E166&gt;=120,"مقبول","راسب")))),"راسب ")</f>
        <v xml:space="preserve">راسب </v>
      </c>
      <c r="G166" s="28" t="s">
        <v>316</v>
      </c>
      <c r="H166" s="36">
        <v>180</v>
      </c>
      <c r="I166" s="18" t="str">
        <f>IF(H166&gt;=255,"ممتاز",IF(H166&gt;=225,"جيد جدا",IF(H166&gt;=195,"جيد",IF(H166&gt;=180,"مقبول","راسب"))))</f>
        <v>مقبول</v>
      </c>
      <c r="J166" s="28" t="s">
        <v>200</v>
      </c>
      <c r="K166" s="37">
        <v>60.29</v>
      </c>
      <c r="L166" s="28" t="str">
        <f>IF(K166&gt;=85,"ممتاز",IF(K166&gt;=75,"جيد جدا",IF(K166&gt;=65,"جيد",IF(K166&gt;=60,"مقبول","راسب"))))</f>
        <v>مقبول</v>
      </c>
      <c r="M166" s="28" t="s">
        <v>200</v>
      </c>
      <c r="N166" s="17">
        <v>21</v>
      </c>
      <c r="O166" s="37">
        <v>53.125</v>
      </c>
      <c r="P166" s="29" t="str">
        <f>IF(AND(N166&gt;=24),IF(O166&gt;=85,"ممتاز",IF(O166&gt;=75,"جيد جداً",IF(O166&gt;=65,"جيد",IF(O166&gt;=60,"مقبول","راسب")))),"راسب ")</f>
        <v xml:space="preserve">راسب </v>
      </c>
      <c r="Q166" s="28" t="s">
        <v>316</v>
      </c>
      <c r="R166" s="37">
        <v>44.375</v>
      </c>
      <c r="S166" s="29" t="str">
        <f>IF(R166&gt;=85,"ممتاز",IF(R166&gt;=75,"جيد جدا",IF(R166&gt;=65,"جيد",IF(R166&gt;=60,"مقبول","راسب"))))</f>
        <v>راسب</v>
      </c>
      <c r="T166" s="28" t="s">
        <v>316</v>
      </c>
      <c r="U166" s="29"/>
      <c r="V166" s="32">
        <f>SUM(E166,H166,K166,O166,R166)</f>
        <v>427.54</v>
      </c>
      <c r="W166" s="18" t="str">
        <f>IF(AND(H166&gt;=180,E166&gt;=120,O166&gt;=60,K166&gt;=60,R166&gt;=60,D166&gt;=30,N166&gt;=24),IF(V166&gt;=680,"ممتاز",IF(V166&gt;=600,"جيد جدا",IF(V166&gt;=520,"جيد",IF(V166&gt;=480,"مقبول","راسب")))),"راسب")</f>
        <v>راسب</v>
      </c>
      <c r="X166" s="19">
        <f>IF(AND(O166&gt;=60,R166&gt;=60,K166&gt;=60,H166&gt;=180,E166&gt;=120,D166&gt;=30,N166&gt;=24),(V166/800)*100%,0)</f>
        <v>0</v>
      </c>
    </row>
    <row r="167" spans="1:24" x14ac:dyDescent="0.35">
      <c r="A167" s="15">
        <v>158</v>
      </c>
      <c r="B167" s="15">
        <v>18874</v>
      </c>
      <c r="C167" s="15" t="s">
        <v>280</v>
      </c>
      <c r="D167" s="30">
        <v>0</v>
      </c>
      <c r="E167" s="30">
        <v>26</v>
      </c>
      <c r="F167" s="28" t="str">
        <f>IF(AND(D167&gt;=30),IF(E167&gt;=170,"ممتاز",IF(E167&gt;=150,"جيد جداً",IF(E167&gt;=130,"جيد",IF(E167&gt;=120,"مقبول","راسب")))),"راسب ")</f>
        <v xml:space="preserve">راسب </v>
      </c>
      <c r="G167" s="28" t="s">
        <v>316</v>
      </c>
      <c r="H167" s="36">
        <v>68.333333333333343</v>
      </c>
      <c r="I167" s="18" t="str">
        <f>IF(H167&gt;=255,"ممتاز",IF(H167&gt;=225,"جيد جدا",IF(H167&gt;=195,"جيد",IF(H167&gt;=180,"مقبول","راسب"))))</f>
        <v>راسب</v>
      </c>
      <c r="J167" s="28" t="s">
        <v>316</v>
      </c>
      <c r="K167" s="37">
        <v>27</v>
      </c>
      <c r="L167" s="28" t="str">
        <f>IF(K167&gt;=85,"ممتاز",IF(K167&gt;=75,"جيد جدا",IF(K167&gt;=65,"جيد",IF(K167&gt;=60,"مقبول","راسب"))))</f>
        <v>راسب</v>
      </c>
      <c r="M167" s="28" t="s">
        <v>316</v>
      </c>
      <c r="N167" s="17">
        <v>13</v>
      </c>
      <c r="O167" s="37">
        <v>41.875</v>
      </c>
      <c r="P167" s="29" t="str">
        <f>IF(AND(N167&gt;=24),IF(O167&gt;=85,"ممتاز",IF(O167&gt;=75,"جيد جداً",IF(O167&gt;=65,"جيد",IF(O167&gt;=60,"مقبول","راسب")))),"راسب ")</f>
        <v xml:space="preserve">راسب </v>
      </c>
      <c r="Q167" s="28" t="s">
        <v>316</v>
      </c>
      <c r="R167" s="37">
        <v>37.5</v>
      </c>
      <c r="S167" s="29" t="str">
        <f>IF(R167&gt;=85,"ممتاز",IF(R167&gt;=75,"جيد جدا",IF(R167&gt;=65,"جيد",IF(R167&gt;=60,"مقبول","راسب"))))</f>
        <v>راسب</v>
      </c>
      <c r="T167" s="28" t="s">
        <v>316</v>
      </c>
      <c r="U167" s="29"/>
      <c r="V167" s="32">
        <f>SUM(E167,H167,K167,O167,R167)</f>
        <v>200.70833333333334</v>
      </c>
      <c r="W167" s="18" t="str">
        <f>IF(AND(H167&gt;=180,E167&gt;=120,O167&gt;=60,K167&gt;=60,R167&gt;=60,D167&gt;=30,N167&gt;=24),IF(V167&gt;=680,"ممتاز",IF(V167&gt;=600,"جيد جدا",IF(V167&gt;=520,"جيد",IF(V167&gt;=480,"مقبول","راسب")))),"راسب")</f>
        <v>راسب</v>
      </c>
      <c r="X167" s="19">
        <f>IF(AND(O167&gt;=60,R167&gt;=60,K167&gt;=60,H167&gt;=180,E167&gt;=120,D167&gt;=30,N167&gt;=24),(V167/800)*100%,0)</f>
        <v>0</v>
      </c>
    </row>
    <row r="168" spans="1:24" x14ac:dyDescent="0.35">
      <c r="A168" s="15">
        <v>159</v>
      </c>
      <c r="B168" s="23">
        <v>17587</v>
      </c>
      <c r="C168" s="23" t="s">
        <v>136</v>
      </c>
      <c r="D168" s="30">
        <v>0</v>
      </c>
      <c r="E168" s="30">
        <v>26</v>
      </c>
      <c r="F168" s="28" t="str">
        <f>IF(AND(D168&gt;=30),IF(E168&gt;=170,"ممتاز",IF(E168&gt;=150,"جيد جداً",IF(E168&gt;=130,"جيد",IF(E168&gt;=120,"مقبول","راسب")))),"راسب ")</f>
        <v xml:space="preserve">راسب </v>
      </c>
      <c r="G168" s="28" t="s">
        <v>316</v>
      </c>
      <c r="H168" s="30">
        <v>180.83</v>
      </c>
      <c r="I168" s="18" t="str">
        <f>IF(H168&gt;=255,"ممتاز",IF(H168&gt;=225,"جيد جدا",IF(H168&gt;=195,"جيد",IF(H168&gt;=180,"مقبول","راسب"))))</f>
        <v>مقبول</v>
      </c>
      <c r="J168" s="28" t="s">
        <v>200</v>
      </c>
      <c r="K168" s="30">
        <v>61.44</v>
      </c>
      <c r="L168" s="28" t="str">
        <f>IF(K168&gt;=85,"ممتاز",IF(K168&gt;=75,"جيد جدا",IF(K168&gt;=65,"جيد",IF(K168&gt;=60,"مقبول","راسب"))))</f>
        <v>مقبول</v>
      </c>
      <c r="M168" s="28" t="s">
        <v>200</v>
      </c>
      <c r="N168" s="17">
        <v>0</v>
      </c>
      <c r="O168" s="37">
        <v>17.5</v>
      </c>
      <c r="P168" s="29" t="str">
        <f>IF(AND(N168&gt;=24),IF(O168&gt;=85,"ممتاز",IF(O168&gt;=75,"جيد جداً",IF(O168&gt;=65,"جيد",IF(O168&gt;=60,"مقبول","راسب")))),"راسب ")</f>
        <v xml:space="preserve">راسب </v>
      </c>
      <c r="Q168" s="28" t="s">
        <v>316</v>
      </c>
      <c r="R168" s="37">
        <v>29.6875</v>
      </c>
      <c r="S168" s="29" t="str">
        <f>IF(R168&gt;=85,"ممتاز",IF(R168&gt;=75,"جيد جدا",IF(R168&gt;=65,"جيد",IF(R168&gt;=60,"مقبول","راسب"))))</f>
        <v>راسب</v>
      </c>
      <c r="T168" s="28" t="s">
        <v>316</v>
      </c>
      <c r="U168" s="29"/>
      <c r="V168" s="32">
        <f>SUM(E168,H168,K168,O168,R168)</f>
        <v>315.45749999999998</v>
      </c>
      <c r="W168" s="18" t="str">
        <f>IF(AND(H168&gt;=180,E168&gt;=120,O168&gt;=60,K168&gt;=60,R168&gt;=60,D168&gt;=30,N168&gt;=24),IF(V168&gt;=680,"ممتاز",IF(V168&gt;=600,"جيد جدا",IF(V168&gt;=520,"جيد",IF(V168&gt;=480,"مقبول","راسب")))),"راسب")</f>
        <v>راسب</v>
      </c>
      <c r="X168" s="19">
        <f>IF(AND(O168&gt;=60,R168&gt;=60,K168&gt;=60,H168&gt;=180,E168&gt;=120,D168&gt;=30,N168&gt;=24),(V168/800)*100%,0)</f>
        <v>0</v>
      </c>
    </row>
    <row r="169" spans="1:24" x14ac:dyDescent="0.35">
      <c r="A169" s="15">
        <v>160</v>
      </c>
      <c r="B169" s="15">
        <v>14389</v>
      </c>
      <c r="C169" s="15" t="s">
        <v>93</v>
      </c>
      <c r="D169" s="30">
        <v>31</v>
      </c>
      <c r="E169" s="30">
        <v>89</v>
      </c>
      <c r="F169" s="28" t="str">
        <f>IF(AND(D169&gt;=30),IF(E169&gt;=170,"ممتاز",IF(E169&gt;=150,"جيد جداً",IF(E169&gt;=130,"جيد",IF(E169&gt;=120,"مقبول","راسب")))),"راسب ")</f>
        <v>راسب</v>
      </c>
      <c r="G169" s="28" t="s">
        <v>316</v>
      </c>
      <c r="H169" s="30">
        <v>200</v>
      </c>
      <c r="I169" s="18" t="str">
        <f>IF(H169&gt;=255,"ممتاز",IF(H169&gt;=225,"جيد جدا",IF(H169&gt;=195,"جيد",IF(H169&gt;=180,"مقبول","راسب"))))</f>
        <v>جيد</v>
      </c>
      <c r="J169" s="28" t="s">
        <v>200</v>
      </c>
      <c r="K169" s="31">
        <v>65</v>
      </c>
      <c r="L169" s="28" t="str">
        <f>IF(K169&gt;=85,"ممتاز",IF(K169&gt;=75,"جيد جدا",IF(K169&gt;=65,"جيد",IF(K169&gt;=60,"مقبول","راسب"))))</f>
        <v>جيد</v>
      </c>
      <c r="M169" s="28" t="s">
        <v>200</v>
      </c>
      <c r="N169" s="17">
        <v>26</v>
      </c>
      <c r="O169" s="17">
        <v>68.13</v>
      </c>
      <c r="P169" s="29" t="str">
        <f>IF(AND(N169&gt;=24),IF(O169&gt;=85,"ممتاز",IF(O169&gt;=75,"جيد جداً",IF(O169&gt;=65,"جيد",IF(O169&gt;=60,"مقبول","راسب")))),"راسب ")</f>
        <v>جيد</v>
      </c>
      <c r="Q169" s="28" t="s">
        <v>200</v>
      </c>
      <c r="R169" s="37">
        <v>26.5625</v>
      </c>
      <c r="S169" s="29" t="str">
        <f>IF(R169&gt;=85,"ممتاز",IF(R169&gt;=75,"جيد جدا",IF(R169&gt;=65,"جيد",IF(R169&gt;=60,"مقبول","راسب"))))</f>
        <v>راسب</v>
      </c>
      <c r="T169" s="28" t="s">
        <v>316</v>
      </c>
      <c r="U169" s="29"/>
      <c r="V169" s="32">
        <f>SUM(E169,H169,K169,O169,R169)</f>
        <v>448.6925</v>
      </c>
      <c r="W169" s="18" t="str">
        <f>IF(AND(H169&gt;=180,E169&gt;=120,O169&gt;=60,K169&gt;=60,R169&gt;=60,D169&gt;=30,N169&gt;=24),IF(V169&gt;=680,"ممتاز",IF(V169&gt;=600,"جيد جدا",IF(V169&gt;=520,"جيد",IF(V169&gt;=480,"مقبول","راسب")))),"راسب")</f>
        <v>راسب</v>
      </c>
      <c r="X169" s="19">
        <f>IF(AND(O169&gt;=60,R169&gt;=60,K169&gt;=60,H169&gt;=180,E169&gt;=120,D169&gt;=30,N169&gt;=24),(V169/800)*100%,0)</f>
        <v>0</v>
      </c>
    </row>
    <row r="170" spans="1:24" x14ac:dyDescent="0.35">
      <c r="A170" s="15">
        <v>161</v>
      </c>
      <c r="B170" s="23">
        <v>13919</v>
      </c>
      <c r="C170" s="23" t="s">
        <v>149</v>
      </c>
      <c r="D170" s="30">
        <v>0</v>
      </c>
      <c r="E170" s="30">
        <v>0</v>
      </c>
      <c r="F170" s="28" t="str">
        <f>IF(AND(D170&gt;=30),IF(E170&gt;=170,"ممتاز",IF(E170&gt;=150,"جيد جداً",IF(E170&gt;=130,"جيد",IF(E170&gt;=120,"مقبول","راسب")))),"راسب ")</f>
        <v xml:space="preserve">راسب </v>
      </c>
      <c r="G170" s="28" t="s">
        <v>315</v>
      </c>
      <c r="H170" s="36">
        <v>0</v>
      </c>
      <c r="I170" s="18" t="str">
        <f>IF(H170&gt;=255,"ممتاز",IF(H170&gt;=225,"جيد جدا",IF(H170&gt;=195,"جيد",IF(H170&gt;=180,"مقبول","راسب"))))</f>
        <v>راسب</v>
      </c>
      <c r="J170" s="28" t="s">
        <v>315</v>
      </c>
      <c r="K170" s="37">
        <v>0</v>
      </c>
      <c r="L170" s="28" t="str">
        <f>IF(K170&gt;=85,"ممتاز",IF(K170&gt;=75,"جيد جدا",IF(K170&gt;=65,"جيد",IF(K170&gt;=60,"مقبول","راسب"))))</f>
        <v>راسب</v>
      </c>
      <c r="M170" s="28" t="s">
        <v>315</v>
      </c>
      <c r="N170" s="17">
        <v>0</v>
      </c>
      <c r="O170" s="37">
        <v>0</v>
      </c>
      <c r="P170" s="29" t="str">
        <f>IF(AND(N170&gt;=24),IF(O170&gt;=85,"ممتاز",IF(O170&gt;=75,"جيد جداً",IF(O170&gt;=65,"جيد",IF(O170&gt;=60,"مقبول","راسب")))),"راسب ")</f>
        <v xml:space="preserve">راسب </v>
      </c>
      <c r="Q170" s="28" t="s">
        <v>315</v>
      </c>
      <c r="R170" s="37">
        <v>19.375</v>
      </c>
      <c r="S170" s="29" t="str">
        <f>IF(R170&gt;=85,"ممتاز",IF(R170&gt;=75,"جيد جدا",IF(R170&gt;=65,"جيد",IF(R170&gt;=60,"مقبول","راسب"))))</f>
        <v>راسب</v>
      </c>
      <c r="T170" s="28" t="s">
        <v>316</v>
      </c>
      <c r="U170" s="29"/>
      <c r="V170" s="32">
        <f>SUM(E170,H170,K170,O170,R170)</f>
        <v>19.375</v>
      </c>
      <c r="W170" s="18" t="str">
        <f>IF(AND(H170&gt;=180,E170&gt;=120,O170&gt;=60,K170&gt;=60,R170&gt;=60,D170&gt;=30,N170&gt;=24),IF(V170&gt;=680,"ممتاز",IF(V170&gt;=600,"جيد جدا",IF(V170&gt;=520,"جيد",IF(V170&gt;=480,"مقبول","راسب")))),"راسب")</f>
        <v>راسب</v>
      </c>
      <c r="X170" s="19">
        <f>IF(AND(O170&gt;=60,R170&gt;=60,K170&gt;=60,H170&gt;=180,E170&gt;=120,D170&gt;=30,N170&gt;=24),(V170/800)*100%,0)</f>
        <v>0</v>
      </c>
    </row>
    <row r="171" spans="1:24" x14ac:dyDescent="0.35">
      <c r="A171" s="15">
        <v>162</v>
      </c>
      <c r="B171" s="16">
        <v>529</v>
      </c>
      <c r="C171" s="16" t="s">
        <v>30</v>
      </c>
      <c r="D171" s="30">
        <v>0</v>
      </c>
      <c r="E171" s="30">
        <v>0</v>
      </c>
      <c r="F171" s="28" t="str">
        <f>IF(AND(D171&gt;=30),IF(E171&gt;=170,"ممتاز",IF(E171&gt;=150,"جيد جداً",IF(E171&gt;=130,"جيد",IF(E171&gt;=120,"مقبول","راسب")))),"راسب ")</f>
        <v xml:space="preserve">راسب </v>
      </c>
      <c r="G171" s="28" t="s">
        <v>315</v>
      </c>
      <c r="H171" s="36">
        <v>0</v>
      </c>
      <c r="I171" s="18" t="str">
        <f>IF(H171&gt;=255,"ممتاز",IF(H171&gt;=225,"جيد جدا",IF(H171&gt;=195,"جيد",IF(H171&gt;=180,"مقبول","راسب"))))</f>
        <v>راسب</v>
      </c>
      <c r="J171" s="28" t="s">
        <v>315</v>
      </c>
      <c r="K171" s="37">
        <v>0</v>
      </c>
      <c r="L171" s="28" t="str">
        <f>IF(K171&gt;=85,"ممتاز",IF(K171&gt;=75,"جيد جدا",IF(K171&gt;=65,"جيد",IF(K171&gt;=60,"مقبول","راسب"))))</f>
        <v>راسب</v>
      </c>
      <c r="M171" s="28" t="s">
        <v>315</v>
      </c>
      <c r="N171" s="17">
        <v>0</v>
      </c>
      <c r="O171" s="37">
        <v>0</v>
      </c>
      <c r="P171" s="29" t="str">
        <f>IF(AND(N171&gt;=24),IF(O171&gt;=85,"ممتاز",IF(O171&gt;=75,"جيد جداً",IF(O171&gt;=65,"جيد",IF(O171&gt;=60,"مقبول","راسب")))),"راسب ")</f>
        <v xml:space="preserve">راسب </v>
      </c>
      <c r="Q171" s="28" t="s">
        <v>315</v>
      </c>
      <c r="R171" s="37">
        <v>0</v>
      </c>
      <c r="S171" s="29" t="str">
        <f>IF(R171&gt;=85,"ممتاز",IF(R171&gt;=75,"جيد جدا",IF(R171&gt;=65,"جيد",IF(R171&gt;=60,"مقبول","راسب"))))</f>
        <v>راسب</v>
      </c>
      <c r="T171" s="28" t="s">
        <v>315</v>
      </c>
      <c r="U171" s="29" t="s">
        <v>315</v>
      </c>
      <c r="V171" s="32">
        <f>SUM(E171,H171,K171,O171,R171)</f>
        <v>0</v>
      </c>
      <c r="W171" s="18" t="str">
        <f>IF(AND(H171&gt;=180,E171&gt;=120,O171&gt;=60,K171&gt;=60,R171&gt;=60,D171&gt;=30,N171&gt;=24),IF(V171&gt;=680,"ممتاز",IF(V171&gt;=600,"جيد جدا",IF(V171&gt;=520,"جيد",IF(V171&gt;=480,"مقبول","راسب")))),"راسب")</f>
        <v>راسب</v>
      </c>
      <c r="X171" s="19">
        <f>IF(AND(O171&gt;=60,R171&gt;=60,K171&gt;=60,H171&gt;=180,E171&gt;=120,D171&gt;=30,N171&gt;=24),(V171/800)*100%,0)</f>
        <v>0</v>
      </c>
    </row>
    <row r="172" spans="1:24" x14ac:dyDescent="0.35">
      <c r="A172" s="15">
        <v>163</v>
      </c>
      <c r="B172" s="23">
        <v>1472</v>
      </c>
      <c r="C172" s="23" t="s">
        <v>312</v>
      </c>
      <c r="D172" s="30">
        <v>42</v>
      </c>
      <c r="E172" s="30">
        <v>123.27</v>
      </c>
      <c r="F172" s="28" t="str">
        <f>IF(AND(D172&gt;=30),IF(E172&gt;=170,"ممتاز",IF(E172&gt;=150,"جيد جداً",IF(E172&gt;=130,"جيد",IF(E172&gt;=120,"مقبول","راسب")))),"راسب ")</f>
        <v>مقبول</v>
      </c>
      <c r="G172" s="28" t="s">
        <v>200</v>
      </c>
      <c r="H172" s="36">
        <v>238.33333333333334</v>
      </c>
      <c r="I172" s="18" t="str">
        <f>IF(H172&gt;=255,"ممتاز",IF(H172&gt;=225,"جيد جدا",IF(H172&gt;=195,"جيد",IF(H172&gt;=180,"مقبول","راسب"))))</f>
        <v>جيد جدا</v>
      </c>
      <c r="J172" s="28" t="s">
        <v>316</v>
      </c>
      <c r="K172" s="37">
        <v>0</v>
      </c>
      <c r="L172" s="28" t="str">
        <f>IF(K172&gt;=85,"ممتاز",IF(K172&gt;=75,"جيد جدا",IF(K172&gt;=65,"جيد",IF(K172&gt;=60,"مقبول","راسب"))))</f>
        <v>راسب</v>
      </c>
      <c r="M172" s="28" t="s">
        <v>315</v>
      </c>
      <c r="N172" s="17">
        <v>0</v>
      </c>
      <c r="O172" s="37">
        <v>0</v>
      </c>
      <c r="P172" s="29" t="str">
        <f>IF(AND(N172&gt;=24),IF(O172&gt;=85,"ممتاز",IF(O172&gt;=75,"جيد جداً",IF(O172&gt;=65,"جيد",IF(O172&gt;=60,"مقبول","راسب")))),"راسب ")</f>
        <v xml:space="preserve">راسب </v>
      </c>
      <c r="Q172" s="28" t="s">
        <v>315</v>
      </c>
      <c r="R172" s="37">
        <v>0</v>
      </c>
      <c r="S172" s="29" t="str">
        <f>IF(R172&gt;=85,"ممتاز",IF(R172&gt;=75,"جيد جدا",IF(R172&gt;=65,"جيد",IF(R172&gt;=60,"مقبول","راسب"))))</f>
        <v>راسب</v>
      </c>
      <c r="T172" s="28" t="s">
        <v>315</v>
      </c>
      <c r="U172" s="29"/>
      <c r="V172" s="32">
        <f>SUM(E172,H172,K172,O172,R172)</f>
        <v>361.60333333333335</v>
      </c>
      <c r="W172" s="18" t="str">
        <f>IF(AND(H172&gt;=180,E172&gt;=120,O172&gt;=60,K172&gt;=60,R172&gt;=60,D172&gt;=30,N172&gt;=24),IF(V172&gt;=680,"ممتاز",IF(V172&gt;=600,"جيد جدا",IF(V172&gt;=520,"جيد",IF(V172&gt;=480,"مقبول","راسب")))),"راسب")</f>
        <v>راسب</v>
      </c>
      <c r="X172" s="19">
        <f>IF(AND(O172&gt;=60,R172&gt;=60,K172&gt;=60,H172&gt;=180,E172&gt;=120,D172&gt;=30,N172&gt;=24),(V172/800)*100%,0)</f>
        <v>0</v>
      </c>
    </row>
    <row r="173" spans="1:24" x14ac:dyDescent="0.35">
      <c r="A173" s="15">
        <v>164</v>
      </c>
      <c r="B173" s="15">
        <v>4793</v>
      </c>
      <c r="C173" s="15" t="s">
        <v>31</v>
      </c>
      <c r="D173" s="30">
        <v>0</v>
      </c>
      <c r="E173" s="30">
        <v>0</v>
      </c>
      <c r="F173" s="28" t="str">
        <f>IF(AND(D173&gt;=30),IF(E173&gt;=170,"ممتاز",IF(E173&gt;=150,"جيد جداً",IF(E173&gt;=130,"جيد",IF(E173&gt;=120,"مقبول","راسب")))),"راسب ")</f>
        <v xml:space="preserve">راسب </v>
      </c>
      <c r="G173" s="28" t="s">
        <v>315</v>
      </c>
      <c r="H173" s="36">
        <v>0</v>
      </c>
      <c r="I173" s="18" t="str">
        <f>IF(H173&gt;=255,"ممتاز",IF(H173&gt;=225,"جيد جدا",IF(H173&gt;=195,"جيد",IF(H173&gt;=180,"مقبول","راسب"))))</f>
        <v>راسب</v>
      </c>
      <c r="J173" s="28" t="s">
        <v>315</v>
      </c>
      <c r="K173" s="37">
        <v>0</v>
      </c>
      <c r="L173" s="28" t="str">
        <f>IF(K173&gt;=85,"ممتاز",IF(K173&gt;=75,"جيد جدا",IF(K173&gt;=65,"جيد",IF(K173&gt;=60,"مقبول","راسب"))))</f>
        <v>راسب</v>
      </c>
      <c r="M173" s="28" t="s">
        <v>315</v>
      </c>
      <c r="N173" s="17">
        <v>0</v>
      </c>
      <c r="O173" s="37">
        <v>0</v>
      </c>
      <c r="P173" s="29" t="str">
        <f>IF(AND(N173&gt;=24),IF(O173&gt;=85,"ممتاز",IF(O173&gt;=75,"جيد جداً",IF(O173&gt;=65,"جيد",IF(O173&gt;=60,"مقبول","راسب")))),"راسب ")</f>
        <v xml:space="preserve">راسب </v>
      </c>
      <c r="Q173" s="28" t="s">
        <v>315</v>
      </c>
      <c r="R173" s="37">
        <v>0</v>
      </c>
      <c r="S173" s="29" t="str">
        <f>IF(R173&gt;=85,"ممتاز",IF(R173&gt;=75,"جيد جدا",IF(R173&gt;=65,"جيد",IF(R173&gt;=60,"مقبول","راسب"))))</f>
        <v>راسب</v>
      </c>
      <c r="T173" s="28" t="s">
        <v>315</v>
      </c>
      <c r="U173" s="29" t="s">
        <v>315</v>
      </c>
      <c r="V173" s="32">
        <f>SUM(E173,H173,K173,O173,R173)</f>
        <v>0</v>
      </c>
      <c r="W173" s="18" t="str">
        <f>IF(AND(H173&gt;=180,E173&gt;=120,O173&gt;=60,K173&gt;=60,R173&gt;=60,D173&gt;=30,N173&gt;=24),IF(V173&gt;=680,"ممتاز",IF(V173&gt;=600,"جيد جدا",IF(V173&gt;=520,"جيد",IF(V173&gt;=480,"مقبول","راسب")))),"راسب")</f>
        <v>راسب</v>
      </c>
      <c r="X173" s="19">
        <f>IF(AND(O173&gt;=60,R173&gt;=60,K173&gt;=60,H173&gt;=180,E173&gt;=120,D173&gt;=30,N173&gt;=24),(V173/800)*100%,0)</f>
        <v>0</v>
      </c>
    </row>
    <row r="174" spans="1:24" x14ac:dyDescent="0.35">
      <c r="A174" s="15">
        <v>165</v>
      </c>
      <c r="B174" s="20">
        <v>5631</v>
      </c>
      <c r="C174" s="20" t="s">
        <v>32</v>
      </c>
      <c r="D174" s="30">
        <v>0</v>
      </c>
      <c r="E174" s="30">
        <v>0</v>
      </c>
      <c r="F174" s="28" t="str">
        <f>IF(AND(D174&gt;=30),IF(E174&gt;=170,"ممتاز",IF(E174&gt;=150,"جيد جداً",IF(E174&gt;=130,"جيد",IF(E174&gt;=120,"مقبول","راسب")))),"راسب ")</f>
        <v xml:space="preserve">راسب </v>
      </c>
      <c r="G174" s="28" t="s">
        <v>315</v>
      </c>
      <c r="H174" s="30">
        <v>184</v>
      </c>
      <c r="I174" s="18" t="str">
        <f>IF(H174&gt;=255,"ممتاز",IF(H174&gt;=225,"جيد جدا",IF(H174&gt;=195,"جيد",IF(H174&gt;=180,"مقبول","راسب"))))</f>
        <v>مقبول</v>
      </c>
      <c r="J174" s="28" t="s">
        <v>200</v>
      </c>
      <c r="K174" s="31">
        <v>60</v>
      </c>
      <c r="L174" s="28" t="str">
        <f>IF(K174&gt;=85,"ممتاز",IF(K174&gt;=75,"جيد جدا",IF(K174&gt;=65,"جيد",IF(K174&gt;=60,"مقبول","راسب"))))</f>
        <v>مقبول</v>
      </c>
      <c r="M174" s="28" t="s">
        <v>200</v>
      </c>
      <c r="N174" s="17">
        <v>0</v>
      </c>
      <c r="O174" s="37">
        <v>0</v>
      </c>
      <c r="P174" s="29" t="str">
        <f>IF(AND(N174&gt;=24),IF(O174&gt;=85,"ممتاز",IF(O174&gt;=75,"جيد جداً",IF(O174&gt;=65,"جيد",IF(O174&gt;=60,"مقبول","راسب")))),"راسب ")</f>
        <v xml:space="preserve">راسب </v>
      </c>
      <c r="Q174" s="28" t="s">
        <v>315</v>
      </c>
      <c r="R174" s="37">
        <v>0</v>
      </c>
      <c r="S174" s="29" t="str">
        <f>IF(R174&gt;=85,"ممتاز",IF(R174&gt;=75,"جيد جدا",IF(R174&gt;=65,"جيد",IF(R174&gt;=60,"مقبول","راسب"))))</f>
        <v>راسب</v>
      </c>
      <c r="T174" s="28" t="s">
        <v>315</v>
      </c>
      <c r="U174" s="29"/>
      <c r="V174" s="32">
        <f>SUM(E174,H174,K174,O174,R174)</f>
        <v>244</v>
      </c>
      <c r="W174" s="18" t="str">
        <f>IF(AND(H174&gt;=180,E174&gt;=120,O174&gt;=60,K174&gt;=60,R174&gt;=60,D174&gt;=30,N174&gt;=24),IF(V174&gt;=680,"ممتاز",IF(V174&gt;=600,"جيد جدا",IF(V174&gt;=520,"جيد",IF(V174&gt;=480,"مقبول","راسب")))),"راسب")</f>
        <v>راسب</v>
      </c>
      <c r="X174" s="19">
        <f>IF(AND(O174&gt;=60,R174&gt;=60,K174&gt;=60,H174&gt;=180,E174&gt;=120,D174&gt;=30,N174&gt;=24),(V174/800)*100%,0)</f>
        <v>0</v>
      </c>
    </row>
    <row r="175" spans="1:24" x14ac:dyDescent="0.35">
      <c r="A175" s="15">
        <v>166</v>
      </c>
      <c r="B175" s="15">
        <v>6466</v>
      </c>
      <c r="C175" s="15" t="s">
        <v>36</v>
      </c>
      <c r="D175" s="30">
        <v>0</v>
      </c>
      <c r="E175" s="30">
        <v>0</v>
      </c>
      <c r="F175" s="28" t="str">
        <f>IF(AND(D175&gt;=30),IF(E175&gt;=170,"ممتاز",IF(E175&gt;=150,"جيد جداً",IF(E175&gt;=130,"جيد",IF(E175&gt;=120,"مقبول","راسب")))),"راسب ")</f>
        <v xml:space="preserve">راسب </v>
      </c>
      <c r="G175" s="28" t="s">
        <v>315</v>
      </c>
      <c r="H175" s="36">
        <v>0</v>
      </c>
      <c r="I175" s="18" t="str">
        <f>IF(H175&gt;=255,"ممتاز",IF(H175&gt;=225,"جيد جدا",IF(H175&gt;=195,"جيد",IF(H175&gt;=180,"مقبول","راسب"))))</f>
        <v>راسب</v>
      </c>
      <c r="J175" s="28" t="s">
        <v>315</v>
      </c>
      <c r="K175" s="37">
        <v>0</v>
      </c>
      <c r="L175" s="28" t="str">
        <f>IF(K175&gt;=85,"ممتاز",IF(K175&gt;=75,"جيد جدا",IF(K175&gt;=65,"جيد",IF(K175&gt;=60,"مقبول","راسب"))))</f>
        <v>راسب</v>
      </c>
      <c r="M175" s="28" t="s">
        <v>315</v>
      </c>
      <c r="N175" s="17">
        <v>0</v>
      </c>
      <c r="O175" s="37">
        <v>0</v>
      </c>
      <c r="P175" s="29" t="str">
        <f>IF(AND(N175&gt;=24),IF(O175&gt;=85,"ممتاز",IF(O175&gt;=75,"جيد جداً",IF(O175&gt;=65,"جيد",IF(O175&gt;=60,"مقبول","راسب")))),"راسب ")</f>
        <v xml:space="preserve">راسب </v>
      </c>
      <c r="Q175" s="28" t="s">
        <v>315</v>
      </c>
      <c r="R175" s="37">
        <v>0</v>
      </c>
      <c r="S175" s="29" t="str">
        <f>IF(R175&gt;=85,"ممتاز",IF(R175&gt;=75,"جيد جدا",IF(R175&gt;=65,"جيد",IF(R175&gt;=60,"مقبول","راسب"))))</f>
        <v>راسب</v>
      </c>
      <c r="T175" s="28" t="s">
        <v>315</v>
      </c>
      <c r="U175" s="29" t="s">
        <v>315</v>
      </c>
      <c r="V175" s="32">
        <f>SUM(E175,H175,K175,O175,R175)</f>
        <v>0</v>
      </c>
      <c r="W175" s="18" t="str">
        <f>IF(AND(H175&gt;=180,E175&gt;=120,O175&gt;=60,K175&gt;=60,R175&gt;=60,D175&gt;=30,N175&gt;=24),IF(V175&gt;=680,"ممتاز",IF(V175&gt;=600,"جيد جدا",IF(V175&gt;=520,"جيد",IF(V175&gt;=480,"مقبول","راسب")))),"راسب")</f>
        <v>راسب</v>
      </c>
      <c r="X175" s="19">
        <f>IF(AND(O175&gt;=60,R175&gt;=60,K175&gt;=60,H175&gt;=180,E175&gt;=120,D175&gt;=30,N175&gt;=24),(V175/800)*100%,0)</f>
        <v>0</v>
      </c>
    </row>
    <row r="176" spans="1:24" x14ac:dyDescent="0.35">
      <c r="A176" s="15">
        <v>167</v>
      </c>
      <c r="B176" s="15">
        <v>6487</v>
      </c>
      <c r="C176" s="15" t="s">
        <v>37</v>
      </c>
      <c r="D176" s="30">
        <v>0</v>
      </c>
      <c r="E176" s="30">
        <v>0</v>
      </c>
      <c r="F176" s="28" t="str">
        <f>IF(AND(D176&gt;=30),IF(E176&gt;=170,"ممتاز",IF(E176&gt;=150,"جيد جداً",IF(E176&gt;=130,"جيد",IF(E176&gt;=120,"مقبول","راسب")))),"راسب ")</f>
        <v xml:space="preserve">راسب </v>
      </c>
      <c r="G176" s="28" t="s">
        <v>315</v>
      </c>
      <c r="H176" s="30">
        <v>205</v>
      </c>
      <c r="I176" s="18" t="str">
        <f>IF(H176&gt;=255,"ممتاز",IF(H176&gt;=225,"جيد جدا",IF(H176&gt;=195,"جيد",IF(H176&gt;=180,"مقبول","راسب"))))</f>
        <v>جيد</v>
      </c>
      <c r="J176" s="28" t="s">
        <v>200</v>
      </c>
      <c r="K176" s="31">
        <v>69</v>
      </c>
      <c r="L176" s="28" t="str">
        <f>IF(K176&gt;=85,"ممتاز",IF(K176&gt;=75,"جيد جدا",IF(K176&gt;=65,"جيد",IF(K176&gt;=60,"مقبول","راسب"))))</f>
        <v>جيد</v>
      </c>
      <c r="M176" s="28" t="s">
        <v>200</v>
      </c>
      <c r="N176" s="17">
        <v>24</v>
      </c>
      <c r="O176" s="17">
        <v>62</v>
      </c>
      <c r="P176" s="29" t="str">
        <f>IF(AND(N176&gt;=24),IF(O176&gt;=85,"ممتاز",IF(O176&gt;=75,"جيد جداً",IF(O176&gt;=65,"جيد",IF(O176&gt;=60,"مقبول","راسب")))),"راسب ")</f>
        <v>مقبول</v>
      </c>
      <c r="Q176" s="28" t="s">
        <v>200</v>
      </c>
      <c r="R176" s="37">
        <v>0</v>
      </c>
      <c r="S176" s="29" t="str">
        <f>IF(R176&gt;=85,"ممتاز",IF(R176&gt;=75,"جيد جدا",IF(R176&gt;=65,"جيد",IF(R176&gt;=60,"مقبول","راسب"))))</f>
        <v>راسب</v>
      </c>
      <c r="T176" s="28" t="s">
        <v>315</v>
      </c>
      <c r="U176" s="29"/>
      <c r="V176" s="32">
        <f>SUM(E176,H176,K176,O176,R176)</f>
        <v>336</v>
      </c>
      <c r="W176" s="18" t="str">
        <f>IF(AND(H176&gt;=180,E176&gt;=120,O176&gt;=60,K176&gt;=60,R176&gt;=60,D176&gt;=30,N176&gt;=24),IF(V176&gt;=680,"ممتاز",IF(V176&gt;=600,"جيد جدا",IF(V176&gt;=520,"جيد",IF(V176&gt;=480,"مقبول","راسب")))),"راسب")</f>
        <v>راسب</v>
      </c>
      <c r="X176" s="19">
        <f>IF(AND(O176&gt;=60,R176&gt;=60,K176&gt;=60,H176&gt;=180,E176&gt;=120,D176&gt;=30,N176&gt;=24),(V176/800)*100%,0)</f>
        <v>0</v>
      </c>
    </row>
    <row r="177" spans="1:24" x14ac:dyDescent="0.35">
      <c r="A177" s="15">
        <v>168</v>
      </c>
      <c r="B177" s="15">
        <v>6935</v>
      </c>
      <c r="C177" s="15" t="s">
        <v>39</v>
      </c>
      <c r="D177" s="32">
        <v>36</v>
      </c>
      <c r="E177" s="32">
        <v>120</v>
      </c>
      <c r="F177" s="28" t="str">
        <f>IF(AND(D177&gt;=30),IF(E177&gt;=170,"ممتاز",IF(E177&gt;=150,"جيد جداً",IF(E177&gt;=130,"جيد",IF(E177&gt;=120,"مقبول","راسب")))),"راسب ")</f>
        <v>مقبول</v>
      </c>
      <c r="G177" s="28" t="s">
        <v>200</v>
      </c>
      <c r="H177" s="36">
        <v>0</v>
      </c>
      <c r="I177" s="18" t="str">
        <f>IF(H177&gt;=255,"ممتاز",IF(H177&gt;=225,"جيد جدا",IF(H177&gt;=195,"جيد",IF(H177&gt;=180,"مقبول","راسب"))))</f>
        <v>راسب</v>
      </c>
      <c r="J177" s="28" t="s">
        <v>315</v>
      </c>
      <c r="K177" s="37">
        <v>0</v>
      </c>
      <c r="L177" s="28" t="str">
        <f>IF(K177&gt;=85,"ممتاز",IF(K177&gt;=75,"جيد جدا",IF(K177&gt;=65,"جيد",IF(K177&gt;=60,"مقبول","راسب"))))</f>
        <v>راسب</v>
      </c>
      <c r="M177" s="28" t="s">
        <v>315</v>
      </c>
      <c r="N177" s="17">
        <v>0</v>
      </c>
      <c r="O177" s="37">
        <v>0</v>
      </c>
      <c r="P177" s="29" t="str">
        <f>IF(AND(N177&gt;=24),IF(O177&gt;=85,"ممتاز",IF(O177&gt;=75,"جيد جداً",IF(O177&gt;=65,"جيد",IF(O177&gt;=60,"مقبول","راسب")))),"راسب ")</f>
        <v xml:space="preserve">راسب </v>
      </c>
      <c r="Q177" s="28" t="s">
        <v>315</v>
      </c>
      <c r="R177" s="37">
        <v>0</v>
      </c>
      <c r="S177" s="29" t="str">
        <f>IF(R177&gt;=85,"ممتاز",IF(R177&gt;=75,"جيد جدا",IF(R177&gt;=65,"جيد",IF(R177&gt;=60,"مقبول","راسب"))))</f>
        <v>راسب</v>
      </c>
      <c r="T177" s="28" t="s">
        <v>315</v>
      </c>
      <c r="U177" s="29"/>
      <c r="V177" s="32">
        <f>SUM(E177,H177,K177,O177,R177)</f>
        <v>120</v>
      </c>
      <c r="W177" s="18" t="str">
        <f>IF(AND(H177&gt;=180,E177&gt;=120,O177&gt;=60,K177&gt;=60,R177&gt;=60,D177&gt;=30,N177&gt;=24),IF(V177&gt;=680,"ممتاز",IF(V177&gt;=600,"جيد جدا",IF(V177&gt;=520,"جيد",IF(V177&gt;=480,"مقبول","راسب")))),"راسب")</f>
        <v>راسب</v>
      </c>
      <c r="X177" s="19">
        <f>IF(AND(O177&gt;=60,R177&gt;=60,K177&gt;=60,H177&gt;=180,E177&gt;=120,D177&gt;=30,N177&gt;=24),(V177/800)*100%,0)</f>
        <v>0</v>
      </c>
    </row>
    <row r="178" spans="1:24" x14ac:dyDescent="0.35">
      <c r="A178" s="15">
        <v>169</v>
      </c>
      <c r="B178" s="15">
        <v>7091</v>
      </c>
      <c r="C178" s="15" t="s">
        <v>40</v>
      </c>
      <c r="D178" s="30">
        <v>0</v>
      </c>
      <c r="E178" s="30">
        <v>53.5</v>
      </c>
      <c r="F178" s="28" t="str">
        <f>IF(AND(D178&gt;=30),IF(E178&gt;=170,"ممتاز",IF(E178&gt;=150,"جيد جداً",IF(E178&gt;=130,"جيد",IF(E178&gt;=120,"مقبول","راسب")))),"راسب ")</f>
        <v xml:space="preserve">راسب </v>
      </c>
      <c r="G178" s="28" t="s">
        <v>316</v>
      </c>
      <c r="H178" s="36">
        <v>0</v>
      </c>
      <c r="I178" s="18" t="str">
        <f>IF(H178&gt;=255,"ممتاز",IF(H178&gt;=225,"جيد جدا",IF(H178&gt;=195,"جيد",IF(H178&gt;=180,"مقبول","راسب"))))</f>
        <v>راسب</v>
      </c>
      <c r="J178" s="28" t="s">
        <v>315</v>
      </c>
      <c r="K178" s="37">
        <v>0</v>
      </c>
      <c r="L178" s="28" t="str">
        <f>IF(K178&gt;=85,"ممتاز",IF(K178&gt;=75,"جيد جدا",IF(K178&gt;=65,"جيد",IF(K178&gt;=60,"مقبول","راسب"))))</f>
        <v>راسب</v>
      </c>
      <c r="M178" s="28" t="s">
        <v>315</v>
      </c>
      <c r="N178" s="17">
        <v>0</v>
      </c>
      <c r="O178" s="37">
        <v>13.75</v>
      </c>
      <c r="P178" s="29" t="str">
        <f>IF(AND(N178&gt;=24),IF(O178&gt;=85,"ممتاز",IF(O178&gt;=75,"جيد جداً",IF(O178&gt;=65,"جيد",IF(O178&gt;=60,"مقبول","راسب")))),"راسب ")</f>
        <v xml:space="preserve">راسب </v>
      </c>
      <c r="Q178" s="28" t="s">
        <v>316</v>
      </c>
      <c r="R178" s="37">
        <v>0</v>
      </c>
      <c r="S178" s="29" t="str">
        <f>IF(R178&gt;=85,"ممتاز",IF(R178&gt;=75,"جيد جدا",IF(R178&gt;=65,"جيد",IF(R178&gt;=60,"مقبول","راسب"))))</f>
        <v>راسب</v>
      </c>
      <c r="T178" s="28" t="s">
        <v>315</v>
      </c>
      <c r="U178" s="29"/>
      <c r="V178" s="32">
        <f>SUM(E178,H178,K178,O178,R178)</f>
        <v>67.25</v>
      </c>
      <c r="W178" s="18" t="str">
        <f>IF(AND(H178&gt;=180,E178&gt;=120,O178&gt;=60,K178&gt;=60,R178&gt;=60,D178&gt;=30,N178&gt;=24),IF(V178&gt;=680,"ممتاز",IF(V178&gt;=600,"جيد جدا",IF(V178&gt;=520,"جيد",IF(V178&gt;=480,"مقبول","راسب")))),"راسب")</f>
        <v>راسب</v>
      </c>
      <c r="X178" s="19">
        <f>IF(AND(O178&gt;=60,R178&gt;=60,K178&gt;=60,H178&gt;=180,E178&gt;=120,D178&gt;=30,N178&gt;=24),(V178/800)*100%,0)</f>
        <v>0</v>
      </c>
    </row>
    <row r="179" spans="1:24" x14ac:dyDescent="0.35">
      <c r="A179" s="15">
        <v>170</v>
      </c>
      <c r="B179" s="24">
        <v>7347</v>
      </c>
      <c r="C179" s="24" t="s">
        <v>43</v>
      </c>
      <c r="D179" s="30">
        <v>0</v>
      </c>
      <c r="E179" s="30">
        <v>0</v>
      </c>
      <c r="F179" s="28" t="str">
        <f>IF(AND(D179&gt;=30),IF(E179&gt;=170,"ممتاز",IF(E179&gt;=150,"جيد جداً",IF(E179&gt;=130,"جيد",IF(E179&gt;=120,"مقبول","راسب")))),"راسب ")</f>
        <v xml:space="preserve">راسب </v>
      </c>
      <c r="G179" s="28" t="s">
        <v>315</v>
      </c>
      <c r="H179" s="36">
        <v>0</v>
      </c>
      <c r="I179" s="18" t="str">
        <f>IF(H179&gt;=255,"ممتاز",IF(H179&gt;=225,"جيد جدا",IF(H179&gt;=195,"جيد",IF(H179&gt;=180,"مقبول","راسب"))))</f>
        <v>راسب</v>
      </c>
      <c r="J179" s="28" t="s">
        <v>315</v>
      </c>
      <c r="K179" s="37">
        <v>0</v>
      </c>
      <c r="L179" s="28" t="str">
        <f>IF(K179&gt;=85,"ممتاز",IF(K179&gt;=75,"جيد جدا",IF(K179&gt;=65,"جيد",IF(K179&gt;=60,"مقبول","راسب"))))</f>
        <v>راسب</v>
      </c>
      <c r="M179" s="28" t="s">
        <v>315</v>
      </c>
      <c r="N179" s="17">
        <v>0</v>
      </c>
      <c r="O179" s="37">
        <v>0</v>
      </c>
      <c r="P179" s="29" t="str">
        <f>IF(AND(N179&gt;=24),IF(O179&gt;=85,"ممتاز",IF(O179&gt;=75,"جيد جداً",IF(O179&gt;=65,"جيد",IF(O179&gt;=60,"مقبول","راسب")))),"راسب ")</f>
        <v xml:space="preserve">راسب </v>
      </c>
      <c r="Q179" s="28" t="s">
        <v>315</v>
      </c>
      <c r="R179" s="37">
        <v>0</v>
      </c>
      <c r="S179" s="29" t="str">
        <f>IF(R179&gt;=85,"ممتاز",IF(R179&gt;=75,"جيد جدا",IF(R179&gt;=65,"جيد",IF(R179&gt;=60,"مقبول","راسب"))))</f>
        <v>راسب</v>
      </c>
      <c r="T179" s="28" t="s">
        <v>315</v>
      </c>
      <c r="U179" s="29" t="s">
        <v>315</v>
      </c>
      <c r="V179" s="32">
        <f>SUM(E179,H179,K179,O179,R179)</f>
        <v>0</v>
      </c>
      <c r="W179" s="18" t="str">
        <f>IF(AND(H179&gt;=180,E179&gt;=120,O179&gt;=60,K179&gt;=60,R179&gt;=60,D179&gt;=30,N179&gt;=24),IF(V179&gt;=680,"ممتاز",IF(V179&gt;=600,"جيد جدا",IF(V179&gt;=520,"جيد",IF(V179&gt;=480,"مقبول","راسب")))),"راسب")</f>
        <v>راسب</v>
      </c>
      <c r="X179" s="19">
        <f>IF(AND(O179&gt;=60,R179&gt;=60,K179&gt;=60,H179&gt;=180,E179&gt;=120,D179&gt;=30,N179&gt;=24),(V179/800)*100%,0)</f>
        <v>0</v>
      </c>
    </row>
    <row r="180" spans="1:24" x14ac:dyDescent="0.35">
      <c r="A180" s="15">
        <v>171</v>
      </c>
      <c r="B180" s="15">
        <v>8192</v>
      </c>
      <c r="C180" s="15" t="s">
        <v>140</v>
      </c>
      <c r="D180" s="30">
        <v>37</v>
      </c>
      <c r="E180" s="30">
        <v>113.75</v>
      </c>
      <c r="F180" s="28" t="str">
        <f>IF(AND(D180&gt;=30),IF(E180&gt;=170,"ممتاز",IF(E180&gt;=150,"جيد جداً",IF(E180&gt;=130,"جيد",IF(E180&gt;=120,"مقبول","راسب")))),"راسب ")</f>
        <v>راسب</v>
      </c>
      <c r="G180" s="28" t="s">
        <v>316</v>
      </c>
      <c r="H180" s="36">
        <v>208.33333333333334</v>
      </c>
      <c r="I180" s="18" t="str">
        <f>IF(H180&gt;=255,"ممتاز",IF(H180&gt;=225,"جيد جدا",IF(H180&gt;=195,"جيد",IF(H180&gt;=180,"مقبول","راسب"))))</f>
        <v>جيد</v>
      </c>
      <c r="J180" s="28" t="s">
        <v>316</v>
      </c>
      <c r="K180" s="31">
        <v>72.150000000000006</v>
      </c>
      <c r="L180" s="28" t="str">
        <f>IF(K180&gt;=85,"ممتاز",IF(K180&gt;=75,"جيد جدا",IF(K180&gt;=65,"جيد",IF(K180&gt;=60,"مقبول","راسب"))))</f>
        <v>جيد</v>
      </c>
      <c r="M180" s="28" t="s">
        <v>200</v>
      </c>
      <c r="N180" s="17">
        <v>0</v>
      </c>
      <c r="O180" s="37">
        <v>0</v>
      </c>
      <c r="P180" s="29" t="str">
        <f>IF(AND(N180&gt;=24),IF(O180&gt;=85,"ممتاز",IF(O180&gt;=75,"جيد جداً",IF(O180&gt;=65,"جيد",IF(O180&gt;=60,"مقبول","راسب")))),"راسب ")</f>
        <v xml:space="preserve">راسب </v>
      </c>
      <c r="Q180" s="28" t="s">
        <v>315</v>
      </c>
      <c r="R180" s="37">
        <v>0</v>
      </c>
      <c r="S180" s="29" t="str">
        <f>IF(R180&gt;=85,"ممتاز",IF(R180&gt;=75,"جيد جدا",IF(R180&gt;=65,"جيد",IF(R180&gt;=60,"مقبول","راسب"))))</f>
        <v>راسب</v>
      </c>
      <c r="T180" s="28" t="s">
        <v>315</v>
      </c>
      <c r="U180" s="29"/>
      <c r="V180" s="32">
        <f>SUM(E180,H180,K180,O180,R180)</f>
        <v>394.23333333333335</v>
      </c>
      <c r="W180" s="18" t="str">
        <f>IF(AND(H180&gt;=180,E180&gt;=120,O180&gt;=60,K180&gt;=60,R180&gt;=60,D180&gt;=30,N180&gt;=24),IF(V180&gt;=680,"ممتاز",IF(V180&gt;=600,"جيد جدا",IF(V180&gt;=520,"جيد",IF(V180&gt;=480,"مقبول","راسب")))),"راسب")</f>
        <v>راسب</v>
      </c>
      <c r="X180" s="19">
        <f>IF(AND(O180&gt;=60,R180&gt;=60,K180&gt;=60,H180&gt;=180,E180&gt;=120,D180&gt;=30,N180&gt;=24),(V180/800)*100%,0)</f>
        <v>0</v>
      </c>
    </row>
    <row r="181" spans="1:24" x14ac:dyDescent="0.35">
      <c r="A181" s="15">
        <v>172</v>
      </c>
      <c r="B181" s="24">
        <v>8311</v>
      </c>
      <c r="C181" s="20" t="s">
        <v>141</v>
      </c>
      <c r="D181" s="30">
        <v>0</v>
      </c>
      <c r="E181" s="30">
        <v>0</v>
      </c>
      <c r="F181" s="28" t="str">
        <f>IF(AND(D181&gt;=30),IF(E181&gt;=170,"ممتاز",IF(E181&gt;=150,"جيد جداً",IF(E181&gt;=130,"جيد",IF(E181&gt;=120,"مقبول","راسب")))),"راسب ")</f>
        <v xml:space="preserve">راسب </v>
      </c>
      <c r="G181" s="28" t="s">
        <v>315</v>
      </c>
      <c r="H181" s="36">
        <v>0</v>
      </c>
      <c r="I181" s="18" t="str">
        <f>IF(H181&gt;=255,"ممتاز",IF(H181&gt;=225,"جيد جدا",IF(H181&gt;=195,"جيد",IF(H181&gt;=180,"مقبول","راسب"))))</f>
        <v>راسب</v>
      </c>
      <c r="J181" s="28" t="s">
        <v>315</v>
      </c>
      <c r="K181" s="37">
        <v>0</v>
      </c>
      <c r="L181" s="28" t="str">
        <f>IF(K181&gt;=85,"ممتاز",IF(K181&gt;=75,"جيد جدا",IF(K181&gt;=65,"جيد",IF(K181&gt;=60,"مقبول","راسب"))))</f>
        <v>راسب</v>
      </c>
      <c r="M181" s="28" t="s">
        <v>315</v>
      </c>
      <c r="N181" s="17">
        <v>0</v>
      </c>
      <c r="O181" s="37">
        <v>0</v>
      </c>
      <c r="P181" s="29" t="str">
        <f>IF(AND(N181&gt;=24),IF(O181&gt;=85,"ممتاز",IF(O181&gt;=75,"جيد جداً",IF(O181&gt;=65,"جيد",IF(O181&gt;=60,"مقبول","راسب")))),"راسب ")</f>
        <v xml:space="preserve">راسب </v>
      </c>
      <c r="Q181" s="28" t="s">
        <v>315</v>
      </c>
      <c r="R181" s="37">
        <v>0</v>
      </c>
      <c r="S181" s="29" t="str">
        <f>IF(R181&gt;=85,"ممتاز",IF(R181&gt;=75,"جيد جدا",IF(R181&gt;=65,"جيد",IF(R181&gt;=60,"مقبول","راسب"))))</f>
        <v>راسب</v>
      </c>
      <c r="T181" s="28" t="s">
        <v>315</v>
      </c>
      <c r="U181" s="29" t="s">
        <v>315</v>
      </c>
      <c r="V181" s="32">
        <f>SUM(E181,H181,K181,O181,R181)</f>
        <v>0</v>
      </c>
      <c r="W181" s="18" t="str">
        <f>IF(AND(H181&gt;=180,E181&gt;=120,O181&gt;=60,K181&gt;=60,R181&gt;=60,D181&gt;=30,N181&gt;=24),IF(V181&gt;=680,"ممتاز",IF(V181&gt;=600,"جيد جدا",IF(V181&gt;=520,"جيد",IF(V181&gt;=480,"مقبول","راسب")))),"راسب")</f>
        <v>راسب</v>
      </c>
      <c r="X181" s="19">
        <f>IF(AND(O181&gt;=60,R181&gt;=60,K181&gt;=60,H181&gt;=180,E181&gt;=120,D181&gt;=30,N181&gt;=24),(V181/800)*100%,0)</f>
        <v>0</v>
      </c>
    </row>
    <row r="182" spans="1:24" x14ac:dyDescent="0.35">
      <c r="A182" s="15">
        <v>173</v>
      </c>
      <c r="B182" s="15">
        <v>8417</v>
      </c>
      <c r="C182" s="15" t="s">
        <v>49</v>
      </c>
      <c r="D182" s="30">
        <v>0</v>
      </c>
      <c r="E182" s="30">
        <v>0</v>
      </c>
      <c r="F182" s="28" t="str">
        <f>IF(AND(D182&gt;=30),IF(E182&gt;=170,"ممتاز",IF(E182&gt;=150,"جيد جداً",IF(E182&gt;=130,"جيد",IF(E182&gt;=120,"مقبول","راسب")))),"راسب ")</f>
        <v xml:space="preserve">راسب </v>
      </c>
      <c r="G182" s="28" t="s">
        <v>315</v>
      </c>
      <c r="H182" s="36">
        <v>0</v>
      </c>
      <c r="I182" s="18" t="str">
        <f>IF(H182&gt;=255,"ممتاز",IF(H182&gt;=225,"جيد جدا",IF(H182&gt;=195,"جيد",IF(H182&gt;=180,"مقبول","راسب"))))</f>
        <v>راسب</v>
      </c>
      <c r="J182" s="28" t="s">
        <v>315</v>
      </c>
      <c r="K182" s="37">
        <v>0</v>
      </c>
      <c r="L182" s="28" t="str">
        <f>IF(K182&gt;=85,"ممتاز",IF(K182&gt;=75,"جيد جدا",IF(K182&gt;=65,"جيد",IF(K182&gt;=60,"مقبول","راسب"))))</f>
        <v>راسب</v>
      </c>
      <c r="M182" s="28" t="s">
        <v>315</v>
      </c>
      <c r="N182" s="17">
        <v>0</v>
      </c>
      <c r="O182" s="37">
        <v>0</v>
      </c>
      <c r="P182" s="29" t="str">
        <f>IF(AND(N182&gt;=24),IF(O182&gt;=85,"ممتاز",IF(O182&gt;=75,"جيد جداً",IF(O182&gt;=65,"جيد",IF(O182&gt;=60,"مقبول","راسب")))),"راسب ")</f>
        <v xml:space="preserve">راسب </v>
      </c>
      <c r="Q182" s="28" t="s">
        <v>315</v>
      </c>
      <c r="R182" s="37">
        <v>0</v>
      </c>
      <c r="S182" s="29" t="str">
        <f>IF(R182&gt;=85,"ممتاز",IF(R182&gt;=75,"جيد جدا",IF(R182&gt;=65,"جيد",IF(R182&gt;=60,"مقبول","راسب"))))</f>
        <v>راسب</v>
      </c>
      <c r="T182" s="28" t="s">
        <v>315</v>
      </c>
      <c r="U182" s="29" t="s">
        <v>315</v>
      </c>
      <c r="V182" s="32">
        <f>SUM(E182,H182,K182,O182,R182)</f>
        <v>0</v>
      </c>
      <c r="W182" s="18" t="str">
        <f>IF(AND(H182&gt;=180,E182&gt;=120,O182&gt;=60,K182&gt;=60,R182&gt;=60,D182&gt;=30,N182&gt;=24),IF(V182&gt;=680,"ممتاز",IF(V182&gt;=600,"جيد جدا",IF(V182&gt;=520,"جيد",IF(V182&gt;=480,"مقبول","راسب")))),"راسب")</f>
        <v>راسب</v>
      </c>
      <c r="X182" s="19">
        <f>IF(AND(O182&gt;=60,R182&gt;=60,K182&gt;=60,H182&gt;=180,E182&gt;=120,D182&gt;=30,N182&gt;=24),(V182/800)*100%,0)</f>
        <v>0</v>
      </c>
    </row>
    <row r="183" spans="1:24" x14ac:dyDescent="0.35">
      <c r="A183" s="15">
        <v>174</v>
      </c>
      <c r="B183" s="15">
        <v>8565</v>
      </c>
      <c r="C183" s="15" t="s">
        <v>51</v>
      </c>
      <c r="D183" s="30">
        <v>0</v>
      </c>
      <c r="E183" s="30">
        <v>0</v>
      </c>
      <c r="F183" s="28" t="str">
        <f>IF(AND(D183&gt;=30),IF(E183&gt;=170,"ممتاز",IF(E183&gt;=150,"جيد جداً",IF(E183&gt;=130,"جيد",IF(E183&gt;=120,"مقبول","راسب")))),"راسب ")</f>
        <v xml:space="preserve">راسب </v>
      </c>
      <c r="G183" s="28" t="s">
        <v>315</v>
      </c>
      <c r="H183" s="32">
        <v>189</v>
      </c>
      <c r="I183" s="18" t="str">
        <f>IF(H183&gt;=255,"ممتاز",IF(H183&gt;=225,"جيد جدا",IF(H183&gt;=195,"جيد",IF(H183&gt;=180,"مقبول","راسب"))))</f>
        <v>مقبول</v>
      </c>
      <c r="J183" s="28" t="s">
        <v>200</v>
      </c>
      <c r="K183" s="32">
        <v>60</v>
      </c>
      <c r="L183" s="28" t="str">
        <f>IF(K183&gt;=85,"ممتاز",IF(K183&gt;=75,"جيد جدا",IF(K183&gt;=65,"جيد",IF(K183&gt;=60,"مقبول","راسب"))))</f>
        <v>مقبول</v>
      </c>
      <c r="M183" s="28" t="s">
        <v>200</v>
      </c>
      <c r="N183" s="17">
        <v>0</v>
      </c>
      <c r="O183" s="37">
        <v>0</v>
      </c>
      <c r="P183" s="29" t="str">
        <f>IF(AND(N183&gt;=24),IF(O183&gt;=85,"ممتاز",IF(O183&gt;=75,"جيد جداً",IF(O183&gt;=65,"جيد",IF(O183&gt;=60,"مقبول","راسب")))),"راسب ")</f>
        <v xml:space="preserve">راسب </v>
      </c>
      <c r="Q183" s="28" t="s">
        <v>315</v>
      </c>
      <c r="R183" s="37">
        <v>0</v>
      </c>
      <c r="S183" s="29" t="str">
        <f>IF(R183&gt;=85,"ممتاز",IF(R183&gt;=75,"جيد جدا",IF(R183&gt;=65,"جيد",IF(R183&gt;=60,"مقبول","راسب"))))</f>
        <v>راسب</v>
      </c>
      <c r="T183" s="28" t="s">
        <v>315</v>
      </c>
      <c r="U183" s="29"/>
      <c r="V183" s="32">
        <f>SUM(E183,H183,K183,O183,R183)</f>
        <v>249</v>
      </c>
      <c r="W183" s="18" t="str">
        <f>IF(AND(H183&gt;=180,E183&gt;=120,O183&gt;=60,K183&gt;=60,R183&gt;=60,D183&gt;=30,N183&gt;=24),IF(V183&gt;=680,"ممتاز",IF(V183&gt;=600,"جيد جدا",IF(V183&gt;=520,"جيد",IF(V183&gt;=480,"مقبول","راسب")))),"راسب")</f>
        <v>راسب</v>
      </c>
      <c r="X183" s="19">
        <f>IF(AND(O183&gt;=60,R183&gt;=60,K183&gt;=60,H183&gt;=180,E183&gt;=120,D183&gt;=30,N183&gt;=24),(V183/800)*100%,0)</f>
        <v>0</v>
      </c>
    </row>
    <row r="184" spans="1:24" x14ac:dyDescent="0.35">
      <c r="A184" s="15">
        <v>175</v>
      </c>
      <c r="B184" s="15">
        <v>8796</v>
      </c>
      <c r="C184" s="15" t="s">
        <v>54</v>
      </c>
      <c r="D184" s="30">
        <v>0</v>
      </c>
      <c r="E184" s="30">
        <v>0</v>
      </c>
      <c r="F184" s="28" t="str">
        <f>IF(AND(D184&gt;=30),IF(E184&gt;=170,"ممتاز",IF(E184&gt;=150,"جيد جداً",IF(E184&gt;=130,"جيد",IF(E184&gt;=120,"مقبول","راسب")))),"راسب ")</f>
        <v xml:space="preserve">راسب </v>
      </c>
      <c r="G184" s="28" t="s">
        <v>315</v>
      </c>
      <c r="H184" s="32">
        <v>199</v>
      </c>
      <c r="I184" s="18" t="str">
        <f>IF(H184&gt;=255,"ممتاز",IF(H184&gt;=225,"جيد جدا",IF(H184&gt;=195,"جيد",IF(H184&gt;=180,"مقبول","راسب"))))</f>
        <v>جيد</v>
      </c>
      <c r="J184" s="28" t="s">
        <v>200</v>
      </c>
      <c r="K184" s="32">
        <v>63</v>
      </c>
      <c r="L184" s="28" t="str">
        <f>IF(K184&gt;=85,"ممتاز",IF(K184&gt;=75,"جيد جدا",IF(K184&gt;=65,"جيد",IF(K184&gt;=60,"مقبول","راسب"))))</f>
        <v>مقبول</v>
      </c>
      <c r="M184" s="28" t="s">
        <v>200</v>
      </c>
      <c r="N184" s="17">
        <v>0</v>
      </c>
      <c r="O184" s="37">
        <v>0</v>
      </c>
      <c r="P184" s="29" t="str">
        <f>IF(AND(N184&gt;=24),IF(O184&gt;=85,"ممتاز",IF(O184&gt;=75,"جيد جداً",IF(O184&gt;=65,"جيد",IF(O184&gt;=60,"مقبول","راسب")))),"راسب ")</f>
        <v xml:space="preserve">راسب </v>
      </c>
      <c r="Q184" s="28" t="s">
        <v>315</v>
      </c>
      <c r="R184" s="37">
        <v>0</v>
      </c>
      <c r="S184" s="29" t="str">
        <f>IF(R184&gt;=85,"ممتاز",IF(R184&gt;=75,"جيد جدا",IF(R184&gt;=65,"جيد",IF(R184&gt;=60,"مقبول","راسب"))))</f>
        <v>راسب</v>
      </c>
      <c r="T184" s="28" t="s">
        <v>315</v>
      </c>
      <c r="U184" s="29"/>
      <c r="V184" s="32">
        <f>SUM(E184,H184,K184,O184,R184)</f>
        <v>262</v>
      </c>
      <c r="W184" s="18" t="str">
        <f>IF(AND(H184&gt;=180,E184&gt;=120,O184&gt;=60,K184&gt;=60,R184&gt;=60,D184&gt;=30,N184&gt;=24),IF(V184&gt;=680,"ممتاز",IF(V184&gt;=600,"جيد جدا",IF(V184&gt;=520,"جيد",IF(V184&gt;=480,"مقبول","راسب")))),"راسب")</f>
        <v>راسب</v>
      </c>
      <c r="X184" s="19">
        <f>IF(AND(O184&gt;=60,R184&gt;=60,K184&gt;=60,H184&gt;=180,E184&gt;=120,D184&gt;=30,N184&gt;=24),(V184/800)*100%,0)</f>
        <v>0</v>
      </c>
    </row>
    <row r="185" spans="1:24" x14ac:dyDescent="0.35">
      <c r="A185" s="15">
        <v>176</v>
      </c>
      <c r="B185" s="15">
        <v>8819</v>
      </c>
      <c r="C185" s="15" t="s">
        <v>55</v>
      </c>
      <c r="D185" s="30">
        <v>0</v>
      </c>
      <c r="E185" s="30">
        <v>0</v>
      </c>
      <c r="F185" s="28" t="str">
        <f>IF(AND(D185&gt;=30),IF(E185&gt;=170,"ممتاز",IF(E185&gt;=150,"جيد جداً",IF(E185&gt;=130,"جيد",IF(E185&gt;=120,"مقبول","راسب")))),"راسب ")</f>
        <v xml:space="preserve">راسب </v>
      </c>
      <c r="G185" s="28" t="s">
        <v>315</v>
      </c>
      <c r="H185" s="36">
        <v>0</v>
      </c>
      <c r="I185" s="18" t="str">
        <f>IF(H185&gt;=255,"ممتاز",IF(H185&gt;=225,"جيد جدا",IF(H185&gt;=195,"جيد",IF(H185&gt;=180,"مقبول","راسب"))))</f>
        <v>راسب</v>
      </c>
      <c r="J185" s="28" t="s">
        <v>315</v>
      </c>
      <c r="K185" s="37">
        <v>0</v>
      </c>
      <c r="L185" s="28" t="str">
        <f>IF(K185&gt;=85,"ممتاز",IF(K185&gt;=75,"جيد جدا",IF(K185&gt;=65,"جيد",IF(K185&gt;=60,"مقبول","راسب"))))</f>
        <v>راسب</v>
      </c>
      <c r="M185" s="28" t="s">
        <v>315</v>
      </c>
      <c r="N185" s="17">
        <v>26.5</v>
      </c>
      <c r="O185" s="17">
        <v>69.38</v>
      </c>
      <c r="P185" s="29" t="str">
        <f>IF(AND(N185&gt;=24),IF(O185&gt;=85,"ممتاز",IF(O185&gt;=75,"جيد جداً",IF(O185&gt;=65,"جيد",IF(O185&gt;=60,"مقبول","راسب")))),"راسب ")</f>
        <v>جيد</v>
      </c>
      <c r="Q185" s="28" t="s">
        <v>200</v>
      </c>
      <c r="R185" s="37">
        <v>0</v>
      </c>
      <c r="S185" s="29" t="str">
        <f>IF(R185&gt;=85,"ممتاز",IF(R185&gt;=75,"جيد جدا",IF(R185&gt;=65,"جيد",IF(R185&gt;=60,"مقبول","راسب"))))</f>
        <v>راسب</v>
      </c>
      <c r="T185" s="28" t="s">
        <v>315</v>
      </c>
      <c r="U185" s="29"/>
      <c r="V185" s="32">
        <f>SUM(E185,H185,K185,O185,R185)</f>
        <v>69.38</v>
      </c>
      <c r="W185" s="18" t="str">
        <f>IF(AND(H185&gt;=180,E185&gt;=120,O185&gt;=60,K185&gt;=60,R185&gt;=60,D185&gt;=30,N185&gt;=24),IF(V185&gt;=680,"ممتاز",IF(V185&gt;=600,"جيد جدا",IF(V185&gt;=520,"جيد",IF(V185&gt;=480,"مقبول","راسب")))),"راسب")</f>
        <v>راسب</v>
      </c>
      <c r="X185" s="19">
        <f>IF(AND(O185&gt;=60,R185&gt;=60,K185&gt;=60,H185&gt;=180,E185&gt;=120,D185&gt;=30,N185&gt;=24),(V185/800)*100%,0)</f>
        <v>0</v>
      </c>
    </row>
    <row r="186" spans="1:24" x14ac:dyDescent="0.35">
      <c r="A186" s="15">
        <v>177</v>
      </c>
      <c r="B186" s="15">
        <v>8891</v>
      </c>
      <c r="C186" s="15" t="s">
        <v>56</v>
      </c>
      <c r="D186" s="30">
        <v>0</v>
      </c>
      <c r="E186" s="30">
        <v>0</v>
      </c>
      <c r="F186" s="28" t="str">
        <f>IF(AND(D186&gt;=30),IF(E186&gt;=170,"ممتاز",IF(E186&gt;=150,"جيد جداً",IF(E186&gt;=130,"جيد",IF(E186&gt;=120,"مقبول","راسب")))),"راسب ")</f>
        <v xml:space="preserve">راسب </v>
      </c>
      <c r="G186" s="28" t="s">
        <v>315</v>
      </c>
      <c r="H186" s="32">
        <v>181</v>
      </c>
      <c r="I186" s="18" t="str">
        <f>IF(H186&gt;=255,"ممتاز",IF(H186&gt;=225,"جيد جدا",IF(H186&gt;=195,"جيد",IF(H186&gt;=180,"مقبول","راسب"))))</f>
        <v>مقبول</v>
      </c>
      <c r="J186" s="28" t="s">
        <v>200</v>
      </c>
      <c r="K186" s="37">
        <v>0</v>
      </c>
      <c r="L186" s="28" t="str">
        <f>IF(K186&gt;=85,"ممتاز",IF(K186&gt;=75,"جيد جدا",IF(K186&gt;=65,"جيد",IF(K186&gt;=60,"مقبول","راسب"))))</f>
        <v>راسب</v>
      </c>
      <c r="M186" s="28" t="s">
        <v>315</v>
      </c>
      <c r="N186" s="17">
        <v>0</v>
      </c>
      <c r="O186" s="37">
        <v>0</v>
      </c>
      <c r="P186" s="29" t="str">
        <f>IF(AND(N186&gt;=24),IF(O186&gt;=85,"ممتاز",IF(O186&gt;=75,"جيد جداً",IF(O186&gt;=65,"جيد",IF(O186&gt;=60,"مقبول","راسب")))),"راسب ")</f>
        <v xml:space="preserve">راسب </v>
      </c>
      <c r="Q186" s="28" t="s">
        <v>315</v>
      </c>
      <c r="R186" s="37">
        <v>0</v>
      </c>
      <c r="S186" s="29" t="str">
        <f>IF(R186&gt;=85,"ممتاز",IF(R186&gt;=75,"جيد جدا",IF(R186&gt;=65,"جيد",IF(R186&gt;=60,"مقبول","راسب"))))</f>
        <v>راسب</v>
      </c>
      <c r="T186" s="28" t="s">
        <v>315</v>
      </c>
      <c r="U186" s="29"/>
      <c r="V186" s="32">
        <f>SUM(E186,H186,K186,O186,R186)</f>
        <v>181</v>
      </c>
      <c r="W186" s="18" t="str">
        <f>IF(AND(H186&gt;=180,E186&gt;=120,O186&gt;=60,K186&gt;=60,R186&gt;=60,D186&gt;=30,N186&gt;=24),IF(V186&gt;=680,"ممتاز",IF(V186&gt;=600,"جيد جدا",IF(V186&gt;=520,"جيد",IF(V186&gt;=480,"مقبول","راسب")))),"راسب")</f>
        <v>راسب</v>
      </c>
      <c r="X186" s="19">
        <f>IF(AND(O186&gt;=60,R186&gt;=60,K186&gt;=60,H186&gt;=180,E186&gt;=120,D186&gt;=30,N186&gt;=24),(V186/800)*100%,0)</f>
        <v>0</v>
      </c>
    </row>
    <row r="187" spans="1:24" x14ac:dyDescent="0.35">
      <c r="A187" s="15">
        <v>178</v>
      </c>
      <c r="B187" s="23">
        <v>8990</v>
      </c>
      <c r="C187" s="23" t="s">
        <v>57</v>
      </c>
      <c r="D187" s="30">
        <v>0</v>
      </c>
      <c r="E187" s="30">
        <v>0</v>
      </c>
      <c r="F187" s="28" t="str">
        <f>IF(AND(D187&gt;=30),IF(E187&gt;=170,"ممتاز",IF(E187&gt;=150,"جيد جداً",IF(E187&gt;=130,"جيد",IF(E187&gt;=120,"مقبول","راسب")))),"راسب ")</f>
        <v xml:space="preserve">راسب </v>
      </c>
      <c r="G187" s="28" t="s">
        <v>315</v>
      </c>
      <c r="H187" s="30">
        <v>196</v>
      </c>
      <c r="I187" s="18" t="str">
        <f>IF(H187&gt;=255,"ممتاز",IF(H187&gt;=225,"جيد جدا",IF(H187&gt;=195,"جيد",IF(H187&gt;=180,"مقبول","راسب"))))</f>
        <v>جيد</v>
      </c>
      <c r="J187" s="28" t="s">
        <v>200</v>
      </c>
      <c r="K187" s="37">
        <v>0</v>
      </c>
      <c r="L187" s="28" t="str">
        <f>IF(K187&gt;=85,"ممتاز",IF(K187&gt;=75,"جيد جدا",IF(K187&gt;=65,"جيد",IF(K187&gt;=60,"مقبول","راسب"))))</f>
        <v>راسب</v>
      </c>
      <c r="M187" s="28" t="s">
        <v>315</v>
      </c>
      <c r="N187" s="17">
        <v>28</v>
      </c>
      <c r="O187" s="17">
        <v>60</v>
      </c>
      <c r="P187" s="29" t="str">
        <f>IF(AND(N187&gt;=24),IF(O187&gt;=85,"ممتاز",IF(O187&gt;=75,"جيد جداً",IF(O187&gt;=65,"جيد",IF(O187&gt;=60,"مقبول","راسب")))),"راسب ")</f>
        <v>مقبول</v>
      </c>
      <c r="Q187" s="28" t="s">
        <v>200</v>
      </c>
      <c r="R187" s="37">
        <v>0</v>
      </c>
      <c r="S187" s="29" t="str">
        <f>IF(R187&gt;=85,"ممتاز",IF(R187&gt;=75,"جيد جدا",IF(R187&gt;=65,"جيد",IF(R187&gt;=60,"مقبول","راسب"))))</f>
        <v>راسب</v>
      </c>
      <c r="T187" s="28" t="s">
        <v>315</v>
      </c>
      <c r="U187" s="29"/>
      <c r="V187" s="32">
        <f>SUM(E187,H187,K187,O187,R187)</f>
        <v>256</v>
      </c>
      <c r="W187" s="18" t="str">
        <f>IF(AND(H187&gt;=180,E187&gt;=120,O187&gt;=60,K187&gt;=60,R187&gt;=60,D187&gt;=30,N187&gt;=24),IF(V187&gt;=680,"ممتاز",IF(V187&gt;=600,"جيد جدا",IF(V187&gt;=520,"جيد",IF(V187&gt;=480,"مقبول","راسب")))),"راسب")</f>
        <v>راسب</v>
      </c>
      <c r="X187" s="19">
        <f>IF(AND(O187&gt;=60,R187&gt;=60,K187&gt;=60,H187&gt;=180,E187&gt;=120,D187&gt;=30,N187&gt;=24),(V187/800)*100%,0)</f>
        <v>0</v>
      </c>
    </row>
    <row r="188" spans="1:24" x14ac:dyDescent="0.35">
      <c r="A188" s="15">
        <v>179</v>
      </c>
      <c r="B188" s="25">
        <v>9363</v>
      </c>
      <c r="C188" s="26" t="s">
        <v>60</v>
      </c>
      <c r="D188" s="30">
        <v>0</v>
      </c>
      <c r="E188" s="30">
        <v>0</v>
      </c>
      <c r="F188" s="28" t="str">
        <f>IF(AND(D188&gt;=30),IF(E188&gt;=170,"ممتاز",IF(E188&gt;=150,"جيد جداً",IF(E188&gt;=130,"جيد",IF(E188&gt;=120,"مقبول","راسب")))),"راسب ")</f>
        <v xml:space="preserve">راسب </v>
      </c>
      <c r="G188" s="28" t="s">
        <v>315</v>
      </c>
      <c r="H188" s="36">
        <v>0</v>
      </c>
      <c r="I188" s="18" t="str">
        <f>IF(H188&gt;=255,"ممتاز",IF(H188&gt;=225,"جيد جدا",IF(H188&gt;=195,"جيد",IF(H188&gt;=180,"مقبول","راسب"))))</f>
        <v>راسب</v>
      </c>
      <c r="J188" s="28" t="s">
        <v>315</v>
      </c>
      <c r="K188" s="37">
        <v>0</v>
      </c>
      <c r="L188" s="28" t="str">
        <f>IF(K188&gt;=85,"ممتاز",IF(K188&gt;=75,"جيد جدا",IF(K188&gt;=65,"جيد",IF(K188&gt;=60,"مقبول","راسب"))))</f>
        <v>راسب</v>
      </c>
      <c r="M188" s="28" t="s">
        <v>315</v>
      </c>
      <c r="N188" s="17">
        <v>0</v>
      </c>
      <c r="O188" s="37">
        <v>0</v>
      </c>
      <c r="P188" s="29" t="str">
        <f>IF(AND(N188&gt;=24),IF(O188&gt;=85,"ممتاز",IF(O188&gt;=75,"جيد جداً",IF(O188&gt;=65,"جيد",IF(O188&gt;=60,"مقبول","راسب")))),"راسب ")</f>
        <v xml:space="preserve">راسب </v>
      </c>
      <c r="Q188" s="28" t="s">
        <v>315</v>
      </c>
      <c r="R188" s="37">
        <v>0</v>
      </c>
      <c r="S188" s="29" t="str">
        <f>IF(R188&gt;=85,"ممتاز",IF(R188&gt;=75,"جيد جدا",IF(R188&gt;=65,"جيد",IF(R188&gt;=60,"مقبول","راسب"))))</f>
        <v>راسب</v>
      </c>
      <c r="T188" s="28" t="s">
        <v>315</v>
      </c>
      <c r="U188" s="29" t="s">
        <v>315</v>
      </c>
      <c r="V188" s="32">
        <f>SUM(E188,H188,K188,O188,R188)</f>
        <v>0</v>
      </c>
      <c r="W188" s="18" t="str">
        <f>IF(AND(H188&gt;=180,E188&gt;=120,O188&gt;=60,K188&gt;=60,R188&gt;=60,D188&gt;=30,N188&gt;=24),IF(V188&gt;=680,"ممتاز",IF(V188&gt;=600,"جيد جدا",IF(V188&gt;=520,"جيد",IF(V188&gt;=480,"مقبول","راسب")))),"راسب")</f>
        <v>راسب</v>
      </c>
      <c r="X188" s="19">
        <f>IF(AND(O188&gt;=60,R188&gt;=60,K188&gt;=60,H188&gt;=180,E188&gt;=120,D188&gt;=30,N188&gt;=24),(V188/800)*100%,0)</f>
        <v>0</v>
      </c>
    </row>
    <row r="189" spans="1:24" x14ac:dyDescent="0.35">
      <c r="A189" s="15">
        <v>180</v>
      </c>
      <c r="B189" s="20">
        <v>9958</v>
      </c>
      <c r="C189" s="20" t="s">
        <v>63</v>
      </c>
      <c r="D189" s="30">
        <v>0</v>
      </c>
      <c r="E189" s="30">
        <v>0</v>
      </c>
      <c r="F189" s="28" t="str">
        <f>IF(AND(D189&gt;=30),IF(E189&gt;=170,"ممتاز",IF(E189&gt;=150,"جيد جداً",IF(E189&gt;=130,"جيد",IF(E189&gt;=120,"مقبول","راسب")))),"راسب ")</f>
        <v xml:space="preserve">راسب </v>
      </c>
      <c r="G189" s="28" t="s">
        <v>315</v>
      </c>
      <c r="H189" s="36">
        <v>0</v>
      </c>
      <c r="I189" s="18" t="str">
        <f>IF(H189&gt;=255,"ممتاز",IF(H189&gt;=225,"جيد جدا",IF(H189&gt;=195,"جيد",IF(H189&gt;=180,"مقبول","راسب"))))</f>
        <v>راسب</v>
      </c>
      <c r="J189" s="28" t="s">
        <v>315</v>
      </c>
      <c r="K189" s="31">
        <v>60</v>
      </c>
      <c r="L189" s="28" t="str">
        <f>IF(K189&gt;=85,"ممتاز",IF(K189&gt;=75,"جيد جدا",IF(K189&gt;=65,"جيد",IF(K189&gt;=60,"مقبول","راسب"))))</f>
        <v>مقبول</v>
      </c>
      <c r="M189" s="28" t="s">
        <v>200</v>
      </c>
      <c r="N189" s="17">
        <v>0</v>
      </c>
      <c r="O189" s="37">
        <v>0</v>
      </c>
      <c r="P189" s="29" t="str">
        <f>IF(AND(N189&gt;=24),IF(O189&gt;=85,"ممتاز",IF(O189&gt;=75,"جيد جداً",IF(O189&gt;=65,"جيد",IF(O189&gt;=60,"مقبول","راسب")))),"راسب ")</f>
        <v xml:space="preserve">راسب </v>
      </c>
      <c r="Q189" s="28" t="s">
        <v>315</v>
      </c>
      <c r="R189" s="37">
        <v>0</v>
      </c>
      <c r="S189" s="29" t="str">
        <f>IF(R189&gt;=85,"ممتاز",IF(R189&gt;=75,"جيد جدا",IF(R189&gt;=65,"جيد",IF(R189&gt;=60,"مقبول","راسب"))))</f>
        <v>راسب</v>
      </c>
      <c r="T189" s="28" t="s">
        <v>315</v>
      </c>
      <c r="U189" s="29"/>
      <c r="V189" s="32">
        <f>SUM(E189,H189,K189,O189,R189)</f>
        <v>60</v>
      </c>
      <c r="W189" s="18" t="str">
        <f>IF(AND(H189&gt;=180,E189&gt;=120,O189&gt;=60,K189&gt;=60,R189&gt;=60,D189&gt;=30,N189&gt;=24),IF(V189&gt;=680,"ممتاز",IF(V189&gt;=600,"جيد جدا",IF(V189&gt;=520,"جيد",IF(V189&gt;=480,"مقبول","راسب")))),"راسب")</f>
        <v>راسب</v>
      </c>
      <c r="X189" s="19">
        <f>IF(AND(O189&gt;=60,R189&gt;=60,K189&gt;=60,H189&gt;=180,E189&gt;=120,D189&gt;=30,N189&gt;=24),(V189/800)*100%,0)</f>
        <v>0</v>
      </c>
    </row>
    <row r="190" spans="1:24" x14ac:dyDescent="0.35">
      <c r="A190" s="15">
        <v>181</v>
      </c>
      <c r="B190" s="15">
        <v>10515</v>
      </c>
      <c r="C190" s="15" t="s">
        <v>65</v>
      </c>
      <c r="D190" s="30">
        <v>51</v>
      </c>
      <c r="E190" s="30">
        <v>122</v>
      </c>
      <c r="F190" s="28" t="str">
        <f>IF(AND(D190&gt;=30),IF(E190&gt;=170,"ممتاز",IF(E190&gt;=150,"جيد جداً",IF(E190&gt;=130,"جيد",IF(E190&gt;=120,"مقبول","راسب")))),"راسب ")</f>
        <v>مقبول</v>
      </c>
      <c r="G190" s="28" t="s">
        <v>200</v>
      </c>
      <c r="H190" s="30">
        <v>193</v>
      </c>
      <c r="I190" s="18" t="str">
        <f>IF(H190&gt;=255,"ممتاز",IF(H190&gt;=225,"جيد جدا",IF(H190&gt;=195,"جيد",IF(H190&gt;=180,"مقبول","راسب"))))</f>
        <v>مقبول</v>
      </c>
      <c r="J190" s="28" t="s">
        <v>200</v>
      </c>
      <c r="K190" s="31">
        <v>60.01</v>
      </c>
      <c r="L190" s="28" t="str">
        <f>IF(K190&gt;=85,"ممتاز",IF(K190&gt;=75,"جيد جدا",IF(K190&gt;=65,"جيد",IF(K190&gt;=60,"مقبول","راسب"))))</f>
        <v>مقبول</v>
      </c>
      <c r="M190" s="28" t="s">
        <v>200</v>
      </c>
      <c r="N190" s="17">
        <v>24</v>
      </c>
      <c r="O190" s="17">
        <v>60.63</v>
      </c>
      <c r="P190" s="29" t="str">
        <f>IF(AND(N190&gt;=24),IF(O190&gt;=85,"ممتاز",IF(O190&gt;=75,"جيد جداً",IF(O190&gt;=65,"جيد",IF(O190&gt;=60,"مقبول","راسب")))),"راسب ")</f>
        <v>مقبول</v>
      </c>
      <c r="Q190" s="28" t="s">
        <v>200</v>
      </c>
      <c r="R190" s="37">
        <v>0</v>
      </c>
      <c r="S190" s="29" t="str">
        <f>IF(R190&gt;=85,"ممتاز",IF(R190&gt;=75,"جيد جدا",IF(R190&gt;=65,"جيد",IF(R190&gt;=60,"مقبول","راسب"))))</f>
        <v>راسب</v>
      </c>
      <c r="T190" s="28" t="s">
        <v>315</v>
      </c>
      <c r="U190" s="29"/>
      <c r="V190" s="32">
        <f>SUM(E190,H190,K190,O190,R190)</f>
        <v>435.64</v>
      </c>
      <c r="W190" s="18" t="str">
        <f>IF(AND(H190&gt;=180,E190&gt;=120,O190&gt;=60,K190&gt;=60,R190&gt;=60,D190&gt;=30,N190&gt;=24),IF(V190&gt;=680,"ممتاز",IF(V190&gt;=600,"جيد جدا",IF(V190&gt;=520,"جيد",IF(V190&gt;=480,"مقبول","راسب")))),"راسب")</f>
        <v>راسب</v>
      </c>
      <c r="X190" s="19">
        <f>IF(AND(O190&gt;=60,R190&gt;=60,K190&gt;=60,H190&gt;=180,E190&gt;=120,D190&gt;=30,N190&gt;=24),(V190/800)*100%,0)</f>
        <v>0</v>
      </c>
    </row>
    <row r="191" spans="1:24" x14ac:dyDescent="0.35">
      <c r="A191" s="15">
        <v>182</v>
      </c>
      <c r="B191" s="25">
        <v>10712</v>
      </c>
      <c r="C191" s="26" t="s">
        <v>66</v>
      </c>
      <c r="D191" s="30">
        <v>36</v>
      </c>
      <c r="E191" s="30">
        <v>120</v>
      </c>
      <c r="F191" s="28" t="str">
        <f>IF(AND(D191&gt;=30),IF(E191&gt;=170,"ممتاز",IF(E191&gt;=150,"جيد جداً",IF(E191&gt;=130,"جيد",IF(E191&gt;=120,"مقبول","راسب")))),"راسب ")</f>
        <v>مقبول</v>
      </c>
      <c r="G191" s="28" t="s">
        <v>200</v>
      </c>
      <c r="H191" s="32">
        <v>233</v>
      </c>
      <c r="I191" s="18" t="str">
        <f>IF(H191&gt;=255,"ممتاز",IF(H191&gt;=225,"جيد جدا",IF(H191&gt;=195,"جيد",IF(H191&gt;=180,"مقبول","راسب"))))</f>
        <v>جيد جدا</v>
      </c>
      <c r="J191" s="28" t="s">
        <v>200</v>
      </c>
      <c r="K191" s="32">
        <v>74</v>
      </c>
      <c r="L191" s="28" t="str">
        <f>IF(K191&gt;=85,"ممتاز",IF(K191&gt;=75,"جيد جدا",IF(K191&gt;=65,"جيد",IF(K191&gt;=60,"مقبول","راسب"))))</f>
        <v>جيد</v>
      </c>
      <c r="M191" s="28" t="s">
        <v>200</v>
      </c>
      <c r="N191" s="17">
        <v>24</v>
      </c>
      <c r="O191" s="17">
        <v>76</v>
      </c>
      <c r="P191" s="29" t="str">
        <f>IF(AND(N191&gt;=24),IF(O191&gt;=85,"ممتاز",IF(O191&gt;=75,"جيد جداً",IF(O191&gt;=65,"جيد",IF(O191&gt;=60,"مقبول","راسب")))),"راسب ")</f>
        <v>جيد جداً</v>
      </c>
      <c r="Q191" s="28" t="s">
        <v>200</v>
      </c>
      <c r="R191" s="37">
        <v>0</v>
      </c>
      <c r="S191" s="29" t="str">
        <f>IF(R191&gt;=85,"ممتاز",IF(R191&gt;=75,"جيد جدا",IF(R191&gt;=65,"جيد",IF(R191&gt;=60,"مقبول","راسب"))))</f>
        <v>راسب</v>
      </c>
      <c r="T191" s="28" t="s">
        <v>315</v>
      </c>
      <c r="U191" s="29"/>
      <c r="V191" s="32">
        <f>SUM(E191,H191,K191,O191,R191)</f>
        <v>503</v>
      </c>
      <c r="W191" s="18" t="str">
        <f>IF(AND(H191&gt;=180,E191&gt;=120,O191&gt;=60,K191&gt;=60,R191&gt;=60,D191&gt;=30,N191&gt;=24),IF(V191&gt;=680,"ممتاز",IF(V191&gt;=600,"جيد جدا",IF(V191&gt;=520,"جيد",IF(V191&gt;=480,"مقبول","راسب")))),"راسب")</f>
        <v>راسب</v>
      </c>
      <c r="X191" s="19">
        <f>IF(AND(O191&gt;=60,R191&gt;=60,K191&gt;=60,H191&gt;=180,E191&gt;=120,D191&gt;=30,N191&gt;=24),(V191/800)*100%,0)</f>
        <v>0</v>
      </c>
    </row>
    <row r="192" spans="1:24" x14ac:dyDescent="0.35">
      <c r="A192" s="15">
        <v>183</v>
      </c>
      <c r="B192" s="24">
        <v>10776</v>
      </c>
      <c r="C192" s="24" t="s">
        <v>67</v>
      </c>
      <c r="D192" s="30">
        <v>0</v>
      </c>
      <c r="E192" s="30">
        <v>0</v>
      </c>
      <c r="F192" s="28" t="str">
        <f>IF(AND(D192&gt;=30),IF(E192&gt;=170,"ممتاز",IF(E192&gt;=150,"جيد جداً",IF(E192&gt;=130,"جيد",IF(E192&gt;=120,"مقبول","راسب")))),"راسب ")</f>
        <v xml:space="preserve">راسب </v>
      </c>
      <c r="G192" s="28" t="s">
        <v>315</v>
      </c>
      <c r="H192" s="36">
        <v>0</v>
      </c>
      <c r="I192" s="18" t="str">
        <f>IF(H192&gt;=255,"ممتاز",IF(H192&gt;=225,"جيد جدا",IF(H192&gt;=195,"جيد",IF(H192&gt;=180,"مقبول","راسب"))))</f>
        <v>راسب</v>
      </c>
      <c r="J192" s="28" t="s">
        <v>315</v>
      </c>
      <c r="K192" s="37">
        <v>0</v>
      </c>
      <c r="L192" s="28" t="str">
        <f>IF(K192&gt;=85,"ممتاز",IF(K192&gt;=75,"جيد جدا",IF(K192&gt;=65,"جيد",IF(K192&gt;=60,"مقبول","راسب"))))</f>
        <v>راسب</v>
      </c>
      <c r="M192" s="28" t="s">
        <v>315</v>
      </c>
      <c r="N192" s="17">
        <v>0</v>
      </c>
      <c r="O192" s="37">
        <v>0</v>
      </c>
      <c r="P192" s="29" t="str">
        <f>IF(AND(N192&gt;=24),IF(O192&gt;=85,"ممتاز",IF(O192&gt;=75,"جيد جداً",IF(O192&gt;=65,"جيد",IF(O192&gt;=60,"مقبول","راسب")))),"راسب ")</f>
        <v xml:space="preserve">راسب </v>
      </c>
      <c r="Q192" s="28" t="s">
        <v>315</v>
      </c>
      <c r="R192" s="37">
        <v>0</v>
      </c>
      <c r="S192" s="29" t="str">
        <f>IF(R192&gt;=85,"ممتاز",IF(R192&gt;=75,"جيد جدا",IF(R192&gt;=65,"جيد",IF(R192&gt;=60,"مقبول","راسب"))))</f>
        <v>راسب</v>
      </c>
      <c r="T192" s="28" t="s">
        <v>315</v>
      </c>
      <c r="U192" s="29" t="s">
        <v>315</v>
      </c>
      <c r="V192" s="32">
        <f>SUM(E192,H192,K192,O192,R192)</f>
        <v>0</v>
      </c>
      <c r="W192" s="18" t="str">
        <f>IF(AND(H192&gt;=180,E192&gt;=120,O192&gt;=60,K192&gt;=60,R192&gt;=60,D192&gt;=30,N192&gt;=24),IF(V192&gt;=680,"ممتاز",IF(V192&gt;=600,"جيد جدا",IF(V192&gt;=520,"جيد",IF(V192&gt;=480,"مقبول","راسب")))),"راسب")</f>
        <v>راسب</v>
      </c>
      <c r="X192" s="19">
        <f>IF(AND(O192&gt;=60,R192&gt;=60,K192&gt;=60,H192&gt;=180,E192&gt;=120,D192&gt;=30,N192&gt;=24),(V192/800)*100%,0)</f>
        <v>0</v>
      </c>
    </row>
    <row r="193" spans="1:24" x14ac:dyDescent="0.35">
      <c r="A193" s="15">
        <v>184</v>
      </c>
      <c r="B193" s="15">
        <v>11010</v>
      </c>
      <c r="C193" s="15" t="s">
        <v>68</v>
      </c>
      <c r="D193" s="30">
        <v>0</v>
      </c>
      <c r="E193" s="30">
        <v>0</v>
      </c>
      <c r="F193" s="28" t="str">
        <f>IF(AND(D193&gt;=30),IF(E193&gt;=170,"ممتاز",IF(E193&gt;=150,"جيد جداً",IF(E193&gt;=130,"جيد",IF(E193&gt;=120,"مقبول","راسب")))),"راسب ")</f>
        <v xml:space="preserve">راسب </v>
      </c>
      <c r="G193" s="28" t="s">
        <v>315</v>
      </c>
      <c r="H193" s="30">
        <v>196</v>
      </c>
      <c r="I193" s="18" t="str">
        <f>IF(H193&gt;=255,"ممتاز",IF(H193&gt;=225,"جيد جدا",IF(H193&gt;=195,"جيد",IF(H193&gt;=180,"مقبول","راسب"))))</f>
        <v>جيد</v>
      </c>
      <c r="J193" s="28" t="s">
        <v>200</v>
      </c>
      <c r="K193" s="37">
        <v>0</v>
      </c>
      <c r="L193" s="28" t="str">
        <f>IF(K193&gt;=85,"ممتاز",IF(K193&gt;=75,"جيد جدا",IF(K193&gt;=65,"جيد",IF(K193&gt;=60,"مقبول","راسب"))))</f>
        <v>راسب</v>
      </c>
      <c r="M193" s="28" t="s">
        <v>315</v>
      </c>
      <c r="N193" s="17">
        <v>0</v>
      </c>
      <c r="O193" s="37">
        <v>0</v>
      </c>
      <c r="P193" s="29" t="str">
        <f>IF(AND(N193&gt;=24),IF(O193&gt;=85,"ممتاز",IF(O193&gt;=75,"جيد جداً",IF(O193&gt;=65,"جيد",IF(O193&gt;=60,"مقبول","راسب")))),"راسب ")</f>
        <v xml:space="preserve">راسب </v>
      </c>
      <c r="Q193" s="28" t="s">
        <v>315</v>
      </c>
      <c r="R193" s="37">
        <v>0</v>
      </c>
      <c r="S193" s="29" t="str">
        <f>IF(R193&gt;=85,"ممتاز",IF(R193&gt;=75,"جيد جدا",IF(R193&gt;=65,"جيد",IF(R193&gt;=60,"مقبول","راسب"))))</f>
        <v>راسب</v>
      </c>
      <c r="T193" s="28" t="s">
        <v>315</v>
      </c>
      <c r="U193" s="29"/>
      <c r="V193" s="32">
        <f>SUM(E193,H193,K193,O193,R193)</f>
        <v>196</v>
      </c>
      <c r="W193" s="18" t="str">
        <f>IF(AND(H193&gt;=180,E193&gt;=120,O193&gt;=60,K193&gt;=60,R193&gt;=60,D193&gt;=30,N193&gt;=24),IF(V193&gt;=680,"ممتاز",IF(V193&gt;=600,"جيد جدا",IF(V193&gt;=520,"جيد",IF(V193&gt;=480,"مقبول","راسب")))),"راسب")</f>
        <v>راسب</v>
      </c>
      <c r="X193" s="19">
        <f>IF(AND(O193&gt;=60,R193&gt;=60,K193&gt;=60,H193&gt;=180,E193&gt;=120,D193&gt;=30,N193&gt;=24),(V193/800)*100%,0)</f>
        <v>0</v>
      </c>
    </row>
    <row r="194" spans="1:24" x14ac:dyDescent="0.35">
      <c r="A194" s="15">
        <v>185</v>
      </c>
      <c r="B194" s="15">
        <v>11062</v>
      </c>
      <c r="C194" s="15" t="s">
        <v>70</v>
      </c>
      <c r="D194" s="30">
        <v>36</v>
      </c>
      <c r="E194" s="30">
        <v>156</v>
      </c>
      <c r="F194" s="28" t="str">
        <f>IF(AND(D194&gt;=30),IF(E194&gt;=170,"ممتاز",IF(E194&gt;=150,"جيد جداً",IF(E194&gt;=130,"جيد",IF(E194&gt;=120,"مقبول","راسب")))),"راسب ")</f>
        <v>جيد جداً</v>
      </c>
      <c r="G194" s="28" t="s">
        <v>200</v>
      </c>
      <c r="H194" s="30">
        <v>209</v>
      </c>
      <c r="I194" s="18" t="str">
        <f>IF(H194&gt;=255,"ممتاز",IF(H194&gt;=225,"جيد جدا",IF(H194&gt;=195,"جيد",IF(H194&gt;=180,"مقبول","راسب"))))</f>
        <v>جيد</v>
      </c>
      <c r="J194" s="28" t="s">
        <v>200</v>
      </c>
      <c r="K194" s="31">
        <v>63</v>
      </c>
      <c r="L194" s="28" t="str">
        <f>IF(K194&gt;=85,"ممتاز",IF(K194&gt;=75,"جيد جدا",IF(K194&gt;=65,"جيد",IF(K194&gt;=60,"مقبول","راسب"))))</f>
        <v>مقبول</v>
      </c>
      <c r="M194" s="28" t="s">
        <v>200</v>
      </c>
      <c r="N194" s="17">
        <v>24</v>
      </c>
      <c r="O194" s="17">
        <v>63</v>
      </c>
      <c r="P194" s="29" t="str">
        <f>IF(AND(N194&gt;=24),IF(O194&gt;=85,"ممتاز",IF(O194&gt;=75,"جيد جداً",IF(O194&gt;=65,"جيد",IF(O194&gt;=60,"مقبول","راسب")))),"راسب ")</f>
        <v>مقبول</v>
      </c>
      <c r="Q194" s="28" t="s">
        <v>200</v>
      </c>
      <c r="R194" s="37">
        <v>0</v>
      </c>
      <c r="S194" s="29" t="str">
        <f>IF(R194&gt;=85,"ممتاز",IF(R194&gt;=75,"جيد جدا",IF(R194&gt;=65,"جيد",IF(R194&gt;=60,"مقبول","راسب"))))</f>
        <v>راسب</v>
      </c>
      <c r="T194" s="28" t="s">
        <v>315</v>
      </c>
      <c r="U194" s="29"/>
      <c r="V194" s="32">
        <f>SUM(E194,H194,K194,O194,R194)</f>
        <v>491</v>
      </c>
      <c r="W194" s="18" t="str">
        <f>IF(AND(H194&gt;=180,E194&gt;=120,O194&gt;=60,K194&gt;=60,R194&gt;=60,D194&gt;=30,N194&gt;=24),IF(V194&gt;=680,"ممتاز",IF(V194&gt;=600,"جيد جدا",IF(V194&gt;=520,"جيد",IF(V194&gt;=480,"مقبول","راسب")))),"راسب")</f>
        <v>راسب</v>
      </c>
      <c r="X194" s="19">
        <f>IF(AND(O194&gt;=60,R194&gt;=60,K194&gt;=60,H194&gt;=180,E194&gt;=120,D194&gt;=30,N194&gt;=24),(V194/800)*100%,0)</f>
        <v>0</v>
      </c>
    </row>
    <row r="195" spans="1:24" x14ac:dyDescent="0.35">
      <c r="A195" s="15">
        <v>186</v>
      </c>
      <c r="B195" s="24">
        <v>11291</v>
      </c>
      <c r="C195" s="20" t="s">
        <v>72</v>
      </c>
      <c r="D195" s="30">
        <v>40</v>
      </c>
      <c r="E195" s="30">
        <v>122</v>
      </c>
      <c r="F195" s="28" t="str">
        <f>IF(AND(D195&gt;=30),IF(E195&gt;=170,"ممتاز",IF(E195&gt;=150,"جيد جداً",IF(E195&gt;=130,"جيد",IF(E195&gt;=120,"مقبول","راسب")))),"راسب ")</f>
        <v>مقبول</v>
      </c>
      <c r="G195" s="28" t="s">
        <v>200</v>
      </c>
      <c r="H195" s="30">
        <v>188</v>
      </c>
      <c r="I195" s="18" t="str">
        <f>IF(H195&gt;=255,"ممتاز",IF(H195&gt;=225,"جيد جدا",IF(H195&gt;=195,"جيد",IF(H195&gt;=180,"مقبول","راسب"))))</f>
        <v>مقبول</v>
      </c>
      <c r="J195" s="28" t="s">
        <v>200</v>
      </c>
      <c r="K195" s="31">
        <v>68</v>
      </c>
      <c r="L195" s="28" t="str">
        <f>IF(K195&gt;=85,"ممتاز",IF(K195&gt;=75,"جيد جدا",IF(K195&gt;=65,"جيد",IF(K195&gt;=60,"مقبول","راسب"))))</f>
        <v>جيد</v>
      </c>
      <c r="M195" s="28" t="s">
        <v>200</v>
      </c>
      <c r="N195" s="17">
        <v>0</v>
      </c>
      <c r="O195" s="37">
        <v>0</v>
      </c>
      <c r="P195" s="29" t="str">
        <f>IF(AND(N195&gt;=24),IF(O195&gt;=85,"ممتاز",IF(O195&gt;=75,"جيد جداً",IF(O195&gt;=65,"جيد",IF(O195&gt;=60,"مقبول","راسب")))),"راسب ")</f>
        <v xml:space="preserve">راسب </v>
      </c>
      <c r="Q195" s="28" t="s">
        <v>315</v>
      </c>
      <c r="R195" s="37">
        <v>0</v>
      </c>
      <c r="S195" s="29" t="str">
        <f>IF(R195&gt;=85,"ممتاز",IF(R195&gt;=75,"جيد جدا",IF(R195&gt;=65,"جيد",IF(R195&gt;=60,"مقبول","راسب"))))</f>
        <v>راسب</v>
      </c>
      <c r="T195" s="28" t="s">
        <v>315</v>
      </c>
      <c r="U195" s="29"/>
      <c r="V195" s="32">
        <f>SUM(E195,H195,K195,O195,R195)</f>
        <v>378</v>
      </c>
      <c r="W195" s="18" t="str">
        <f>IF(AND(H195&gt;=180,E195&gt;=120,O195&gt;=60,K195&gt;=60,R195&gt;=60,D195&gt;=30,N195&gt;=24),IF(V195&gt;=680,"ممتاز",IF(V195&gt;=600,"جيد جدا",IF(V195&gt;=520,"جيد",IF(V195&gt;=480,"مقبول","راسب")))),"راسب")</f>
        <v>راسب</v>
      </c>
      <c r="X195" s="19">
        <f>IF(AND(O195&gt;=60,R195&gt;=60,K195&gt;=60,H195&gt;=180,E195&gt;=120,D195&gt;=30,N195&gt;=24),(V195/800)*100%,0)</f>
        <v>0</v>
      </c>
    </row>
    <row r="196" spans="1:24" x14ac:dyDescent="0.35">
      <c r="A196" s="15">
        <v>187</v>
      </c>
      <c r="B196" s="15">
        <v>11419</v>
      </c>
      <c r="C196" s="15" t="s">
        <v>73</v>
      </c>
      <c r="D196" s="30">
        <v>38</v>
      </c>
      <c r="E196" s="30">
        <v>120</v>
      </c>
      <c r="F196" s="28" t="str">
        <f>IF(AND(D196&gt;=30),IF(E196&gt;=170,"ممتاز",IF(E196&gt;=150,"جيد جداً",IF(E196&gt;=130,"جيد",IF(E196&gt;=120,"مقبول","راسب")))),"راسب ")</f>
        <v>مقبول</v>
      </c>
      <c r="G196" s="28" t="s">
        <v>200</v>
      </c>
      <c r="H196" s="30">
        <v>215</v>
      </c>
      <c r="I196" s="18" t="str">
        <f>IF(H196&gt;=255,"ممتاز",IF(H196&gt;=225,"جيد جدا",IF(H196&gt;=195,"جيد",IF(H196&gt;=180,"مقبول","راسب"))))</f>
        <v>جيد</v>
      </c>
      <c r="J196" s="28" t="s">
        <v>200</v>
      </c>
      <c r="K196" s="31">
        <v>64</v>
      </c>
      <c r="L196" s="28" t="str">
        <f>IF(K196&gt;=85,"ممتاز",IF(K196&gt;=75,"جيد جدا",IF(K196&gt;=65,"جيد",IF(K196&gt;=60,"مقبول","راسب"))))</f>
        <v>مقبول</v>
      </c>
      <c r="M196" s="28" t="s">
        <v>200</v>
      </c>
      <c r="N196" s="17">
        <v>24</v>
      </c>
      <c r="O196" s="17">
        <v>61</v>
      </c>
      <c r="P196" s="29" t="str">
        <f>IF(AND(N196&gt;=24),IF(O196&gt;=85,"ممتاز",IF(O196&gt;=75,"جيد جداً",IF(O196&gt;=65,"جيد",IF(O196&gt;=60,"مقبول","راسب")))),"راسب ")</f>
        <v>مقبول</v>
      </c>
      <c r="Q196" s="28" t="s">
        <v>200</v>
      </c>
      <c r="R196" s="37">
        <v>0</v>
      </c>
      <c r="S196" s="29" t="str">
        <f>IF(R196&gt;=85,"ممتاز",IF(R196&gt;=75,"جيد جدا",IF(R196&gt;=65,"جيد",IF(R196&gt;=60,"مقبول","راسب"))))</f>
        <v>راسب</v>
      </c>
      <c r="T196" s="28" t="s">
        <v>315</v>
      </c>
      <c r="U196" s="29"/>
      <c r="V196" s="32">
        <f>SUM(E196,H196,K196,O196,R196)</f>
        <v>460</v>
      </c>
      <c r="W196" s="18" t="str">
        <f>IF(AND(H196&gt;=180,E196&gt;=120,O196&gt;=60,K196&gt;=60,R196&gt;=60,D196&gt;=30,N196&gt;=24),IF(V196&gt;=680,"ممتاز",IF(V196&gt;=600,"جيد جدا",IF(V196&gt;=520,"جيد",IF(V196&gt;=480,"مقبول","راسب")))),"راسب")</f>
        <v>راسب</v>
      </c>
      <c r="X196" s="19">
        <f>IF(AND(O196&gt;=60,R196&gt;=60,K196&gt;=60,H196&gt;=180,E196&gt;=120,D196&gt;=30,N196&gt;=24),(V196/800)*100%,0)</f>
        <v>0</v>
      </c>
    </row>
    <row r="197" spans="1:24" x14ac:dyDescent="0.35">
      <c r="A197" s="15">
        <v>188</v>
      </c>
      <c r="B197" s="25">
        <v>11669</v>
      </c>
      <c r="C197" s="26" t="s">
        <v>75</v>
      </c>
      <c r="D197" s="30">
        <v>0</v>
      </c>
      <c r="E197" s="30">
        <v>0</v>
      </c>
      <c r="F197" s="28" t="str">
        <f>IF(AND(D197&gt;=30),IF(E197&gt;=170,"ممتاز",IF(E197&gt;=150,"جيد جداً",IF(E197&gt;=130,"جيد",IF(E197&gt;=120,"مقبول","راسب")))),"راسب ")</f>
        <v xml:space="preserve">راسب </v>
      </c>
      <c r="G197" s="28" t="s">
        <v>315</v>
      </c>
      <c r="H197" s="36">
        <v>0</v>
      </c>
      <c r="I197" s="18" t="str">
        <f>IF(H197&gt;=255,"ممتاز",IF(H197&gt;=225,"جيد جدا",IF(H197&gt;=195,"جيد",IF(H197&gt;=180,"مقبول","راسب"))))</f>
        <v>راسب</v>
      </c>
      <c r="J197" s="28" t="s">
        <v>315</v>
      </c>
      <c r="K197" s="37">
        <v>0</v>
      </c>
      <c r="L197" s="28" t="str">
        <f>IF(K197&gt;=85,"ممتاز",IF(K197&gt;=75,"جيد جدا",IF(K197&gt;=65,"جيد",IF(K197&gt;=60,"مقبول","راسب"))))</f>
        <v>راسب</v>
      </c>
      <c r="M197" s="28" t="s">
        <v>315</v>
      </c>
      <c r="N197" s="17">
        <v>0</v>
      </c>
      <c r="O197" s="37">
        <v>0</v>
      </c>
      <c r="P197" s="29" t="str">
        <f>IF(AND(N197&gt;=24),IF(O197&gt;=85,"ممتاز",IF(O197&gt;=75,"جيد جداً",IF(O197&gt;=65,"جيد",IF(O197&gt;=60,"مقبول","راسب")))),"راسب ")</f>
        <v xml:space="preserve">راسب </v>
      </c>
      <c r="Q197" s="28" t="s">
        <v>315</v>
      </c>
      <c r="R197" s="37">
        <v>0</v>
      </c>
      <c r="S197" s="29" t="str">
        <f>IF(R197&gt;=85,"ممتاز",IF(R197&gt;=75,"جيد جدا",IF(R197&gt;=65,"جيد",IF(R197&gt;=60,"مقبول","راسب"))))</f>
        <v>راسب</v>
      </c>
      <c r="T197" s="28" t="s">
        <v>315</v>
      </c>
      <c r="U197" s="29" t="s">
        <v>315</v>
      </c>
      <c r="V197" s="32">
        <f>SUM(E197,H197,K197,O197,R197)</f>
        <v>0</v>
      </c>
      <c r="W197" s="18" t="str">
        <f>IF(AND(H197&gt;=180,E197&gt;=120,O197&gt;=60,K197&gt;=60,R197&gt;=60,D197&gt;=30,N197&gt;=24),IF(V197&gt;=680,"ممتاز",IF(V197&gt;=600,"جيد جدا",IF(V197&gt;=520,"جيد",IF(V197&gt;=480,"مقبول","راسب")))),"راسب")</f>
        <v>راسب</v>
      </c>
      <c r="X197" s="19">
        <f>IF(AND(O197&gt;=60,R197&gt;=60,K197&gt;=60,H197&gt;=180,E197&gt;=120,D197&gt;=30,N197&gt;=24),(V197/800)*100%,0)</f>
        <v>0</v>
      </c>
    </row>
    <row r="198" spans="1:24" x14ac:dyDescent="0.35">
      <c r="A198" s="15">
        <v>189</v>
      </c>
      <c r="B198" s="16">
        <v>11729</v>
      </c>
      <c r="C198" s="16" t="s">
        <v>77</v>
      </c>
      <c r="D198" s="30">
        <v>46</v>
      </c>
      <c r="E198" s="30">
        <v>120</v>
      </c>
      <c r="F198" s="28" t="str">
        <f>IF(AND(D198&gt;=30),IF(E198&gt;=170,"ممتاز",IF(E198&gt;=150,"جيد جداً",IF(E198&gt;=130,"جيد",IF(E198&gt;=120,"مقبول","راسب")))),"راسب ")</f>
        <v>مقبول</v>
      </c>
      <c r="G198" s="28" t="s">
        <v>200</v>
      </c>
      <c r="H198" s="36">
        <v>0</v>
      </c>
      <c r="I198" s="18" t="str">
        <f>IF(H198&gt;=255,"ممتاز",IF(H198&gt;=225,"جيد جدا",IF(H198&gt;=195,"جيد",IF(H198&gt;=180,"مقبول","راسب"))))</f>
        <v>راسب</v>
      </c>
      <c r="J198" s="28" t="s">
        <v>315</v>
      </c>
      <c r="K198" s="37">
        <v>0</v>
      </c>
      <c r="L198" s="28" t="str">
        <f>IF(K198&gt;=85,"ممتاز",IF(K198&gt;=75,"جيد جدا",IF(K198&gt;=65,"جيد",IF(K198&gt;=60,"مقبول","راسب"))))</f>
        <v>راسب</v>
      </c>
      <c r="M198" s="28" t="s">
        <v>315</v>
      </c>
      <c r="N198" s="17">
        <v>0</v>
      </c>
      <c r="O198" s="37">
        <v>0</v>
      </c>
      <c r="P198" s="29" t="str">
        <f>IF(AND(N198&gt;=24),IF(O198&gt;=85,"ممتاز",IF(O198&gt;=75,"جيد جداً",IF(O198&gt;=65,"جيد",IF(O198&gt;=60,"مقبول","راسب")))),"راسب ")</f>
        <v xml:space="preserve">راسب </v>
      </c>
      <c r="Q198" s="28" t="s">
        <v>315</v>
      </c>
      <c r="R198" s="37">
        <v>0</v>
      </c>
      <c r="S198" s="29" t="str">
        <f>IF(R198&gt;=85,"ممتاز",IF(R198&gt;=75,"جيد جدا",IF(R198&gt;=65,"جيد",IF(R198&gt;=60,"مقبول","راسب"))))</f>
        <v>راسب</v>
      </c>
      <c r="T198" s="28" t="s">
        <v>315</v>
      </c>
      <c r="U198" s="29"/>
      <c r="V198" s="32">
        <f>SUM(E198,H198,K198,O198,R198)</f>
        <v>120</v>
      </c>
      <c r="W198" s="18" t="str">
        <f>IF(AND(H198&gt;=180,E198&gt;=120,O198&gt;=60,K198&gt;=60,R198&gt;=60,D198&gt;=30,N198&gt;=24),IF(V198&gt;=680,"ممتاز",IF(V198&gt;=600,"جيد جدا",IF(V198&gt;=520,"جيد",IF(V198&gt;=480,"مقبول","راسب")))),"راسب")</f>
        <v>راسب</v>
      </c>
      <c r="X198" s="19">
        <f>IF(AND(O198&gt;=60,R198&gt;=60,K198&gt;=60,H198&gt;=180,E198&gt;=120,D198&gt;=30,N198&gt;=24),(V198/800)*100%,0)</f>
        <v>0</v>
      </c>
    </row>
    <row r="199" spans="1:24" x14ac:dyDescent="0.35">
      <c r="A199" s="15">
        <v>190</v>
      </c>
      <c r="B199" s="15">
        <v>11761</v>
      </c>
      <c r="C199" s="15" t="s">
        <v>78</v>
      </c>
      <c r="D199" s="30">
        <v>39</v>
      </c>
      <c r="E199" s="30">
        <v>120</v>
      </c>
      <c r="F199" s="28" t="str">
        <f>IF(AND(D199&gt;=30),IF(E199&gt;=170,"ممتاز",IF(E199&gt;=150,"جيد جداً",IF(E199&gt;=130,"جيد",IF(E199&gt;=120,"مقبول","راسب")))),"راسب ")</f>
        <v>مقبول</v>
      </c>
      <c r="G199" s="28" t="s">
        <v>200</v>
      </c>
      <c r="H199" s="32">
        <v>195</v>
      </c>
      <c r="I199" s="18" t="str">
        <f>IF(H199&gt;=255,"ممتاز",IF(H199&gt;=225,"جيد جدا",IF(H199&gt;=195,"جيد",IF(H199&gt;=180,"مقبول","راسب"))))</f>
        <v>جيد</v>
      </c>
      <c r="J199" s="28" t="s">
        <v>200</v>
      </c>
      <c r="K199" s="32">
        <v>67</v>
      </c>
      <c r="L199" s="28" t="str">
        <f>IF(K199&gt;=85,"ممتاز",IF(K199&gt;=75,"جيد جدا",IF(K199&gt;=65,"جيد",IF(K199&gt;=60,"مقبول","راسب"))))</f>
        <v>جيد</v>
      </c>
      <c r="M199" s="28" t="s">
        <v>200</v>
      </c>
      <c r="N199" s="17">
        <v>0</v>
      </c>
      <c r="O199" s="37">
        <v>0</v>
      </c>
      <c r="P199" s="29" t="str">
        <f>IF(AND(N199&gt;=24),IF(O199&gt;=85,"ممتاز",IF(O199&gt;=75,"جيد جداً",IF(O199&gt;=65,"جيد",IF(O199&gt;=60,"مقبول","راسب")))),"راسب ")</f>
        <v xml:space="preserve">راسب </v>
      </c>
      <c r="Q199" s="28" t="s">
        <v>315</v>
      </c>
      <c r="R199" s="37">
        <v>0</v>
      </c>
      <c r="S199" s="29" t="str">
        <f>IF(R199&gt;=85,"ممتاز",IF(R199&gt;=75,"جيد جدا",IF(R199&gt;=65,"جيد",IF(R199&gt;=60,"مقبول","راسب"))))</f>
        <v>راسب</v>
      </c>
      <c r="T199" s="28" t="s">
        <v>315</v>
      </c>
      <c r="U199" s="29"/>
      <c r="V199" s="32">
        <f>SUM(E199,H199,K199,O199,R199)</f>
        <v>382</v>
      </c>
      <c r="W199" s="18" t="str">
        <f>IF(AND(H199&gt;=180,E199&gt;=120,O199&gt;=60,K199&gt;=60,R199&gt;=60,D199&gt;=30,N199&gt;=24),IF(V199&gt;=680,"ممتاز",IF(V199&gt;=600,"جيد جدا",IF(V199&gt;=520,"جيد",IF(V199&gt;=480,"مقبول","راسب")))),"راسب")</f>
        <v>راسب</v>
      </c>
      <c r="X199" s="19">
        <f>IF(AND(O199&gt;=60,R199&gt;=60,K199&gt;=60,H199&gt;=180,E199&gt;=120,D199&gt;=30,N199&gt;=24),(V199/800)*100%,0)</f>
        <v>0</v>
      </c>
    </row>
    <row r="200" spans="1:24" x14ac:dyDescent="0.35">
      <c r="A200" s="15">
        <v>191</v>
      </c>
      <c r="B200" s="16">
        <v>11994</v>
      </c>
      <c r="C200" s="16" t="s">
        <v>79</v>
      </c>
      <c r="D200" s="30">
        <v>0</v>
      </c>
      <c r="E200" s="30">
        <v>0</v>
      </c>
      <c r="F200" s="28" t="str">
        <f>IF(AND(D200&gt;=30),IF(E200&gt;=170,"ممتاز",IF(E200&gt;=150,"جيد جداً",IF(E200&gt;=130,"جيد",IF(E200&gt;=120,"مقبول","راسب")))),"راسب ")</f>
        <v xml:space="preserve">راسب </v>
      </c>
      <c r="G200" s="28" t="s">
        <v>315</v>
      </c>
      <c r="H200" s="36">
        <v>0</v>
      </c>
      <c r="I200" s="18" t="str">
        <f>IF(H200&gt;=255,"ممتاز",IF(H200&gt;=225,"جيد جدا",IF(H200&gt;=195,"جيد",IF(H200&gt;=180,"مقبول","راسب"))))</f>
        <v>راسب</v>
      </c>
      <c r="J200" s="28" t="s">
        <v>315</v>
      </c>
      <c r="K200" s="37">
        <v>0</v>
      </c>
      <c r="L200" s="28" t="str">
        <f>IF(K200&gt;=85,"ممتاز",IF(K200&gt;=75,"جيد جدا",IF(K200&gt;=65,"جيد",IF(K200&gt;=60,"مقبول","راسب"))))</f>
        <v>راسب</v>
      </c>
      <c r="M200" s="28" t="s">
        <v>315</v>
      </c>
      <c r="N200" s="17">
        <v>0</v>
      </c>
      <c r="O200" s="37">
        <v>0</v>
      </c>
      <c r="P200" s="29" t="str">
        <f>IF(AND(N200&gt;=24),IF(O200&gt;=85,"ممتاز",IF(O200&gt;=75,"جيد جداً",IF(O200&gt;=65,"جيد",IF(O200&gt;=60,"مقبول","راسب")))),"راسب ")</f>
        <v xml:space="preserve">راسب </v>
      </c>
      <c r="Q200" s="28" t="s">
        <v>315</v>
      </c>
      <c r="R200" s="37">
        <v>0</v>
      </c>
      <c r="S200" s="29" t="str">
        <f>IF(R200&gt;=85,"ممتاز",IF(R200&gt;=75,"جيد جدا",IF(R200&gt;=65,"جيد",IF(R200&gt;=60,"مقبول","راسب"))))</f>
        <v>راسب</v>
      </c>
      <c r="T200" s="28" t="s">
        <v>315</v>
      </c>
      <c r="U200" s="29" t="s">
        <v>315</v>
      </c>
      <c r="V200" s="32">
        <f>SUM(E200,H200,K200,O200,R200)</f>
        <v>0</v>
      </c>
      <c r="W200" s="18" t="str">
        <f>IF(AND(H200&gt;=180,E200&gt;=120,O200&gt;=60,K200&gt;=60,R200&gt;=60,D200&gt;=30,N200&gt;=24),IF(V200&gt;=680,"ممتاز",IF(V200&gt;=600,"جيد جدا",IF(V200&gt;=520,"جيد",IF(V200&gt;=480,"مقبول","راسب")))),"راسب")</f>
        <v>راسب</v>
      </c>
      <c r="X200" s="19">
        <f>IF(AND(O200&gt;=60,R200&gt;=60,K200&gt;=60,H200&gt;=180,E200&gt;=120,D200&gt;=30,N200&gt;=24),(V200/800)*100%,0)</f>
        <v>0</v>
      </c>
    </row>
    <row r="201" spans="1:24" x14ac:dyDescent="0.35">
      <c r="A201" s="15">
        <v>192</v>
      </c>
      <c r="B201" s="15">
        <v>12217</v>
      </c>
      <c r="C201" s="15" t="s">
        <v>82</v>
      </c>
      <c r="D201" s="30">
        <v>44</v>
      </c>
      <c r="E201" s="30">
        <v>126</v>
      </c>
      <c r="F201" s="28" t="str">
        <f>IF(AND(D201&gt;=30),IF(E201&gt;=170,"ممتاز",IF(E201&gt;=150,"جيد جداً",IF(E201&gt;=130,"جيد",IF(E201&gt;=120,"مقبول","راسب")))),"راسب ")</f>
        <v>مقبول</v>
      </c>
      <c r="G201" s="28" t="s">
        <v>200</v>
      </c>
      <c r="H201" s="36">
        <v>0</v>
      </c>
      <c r="I201" s="18" t="str">
        <f>IF(H201&gt;=255,"ممتاز",IF(H201&gt;=225,"جيد جدا",IF(H201&gt;=195,"جيد",IF(H201&gt;=180,"مقبول","راسب"))))</f>
        <v>راسب</v>
      </c>
      <c r="J201" s="28" t="s">
        <v>315</v>
      </c>
      <c r="K201" s="37">
        <v>0</v>
      </c>
      <c r="L201" s="28" t="str">
        <f>IF(K201&gt;=85,"ممتاز",IF(K201&gt;=75,"جيد جدا",IF(K201&gt;=65,"جيد",IF(K201&gt;=60,"مقبول","راسب"))))</f>
        <v>راسب</v>
      </c>
      <c r="M201" s="28" t="s">
        <v>315</v>
      </c>
      <c r="N201" s="17">
        <v>24</v>
      </c>
      <c r="O201" s="17">
        <v>60</v>
      </c>
      <c r="P201" s="29" t="str">
        <f>IF(AND(N201&gt;=24),IF(O201&gt;=85,"ممتاز",IF(O201&gt;=75,"جيد جداً",IF(O201&gt;=65,"جيد",IF(O201&gt;=60,"مقبول","راسب")))),"راسب ")</f>
        <v>مقبول</v>
      </c>
      <c r="Q201" s="28" t="s">
        <v>200</v>
      </c>
      <c r="R201" s="37">
        <v>0</v>
      </c>
      <c r="S201" s="29" t="str">
        <f>IF(R201&gt;=85,"ممتاز",IF(R201&gt;=75,"جيد جدا",IF(R201&gt;=65,"جيد",IF(R201&gt;=60,"مقبول","راسب"))))</f>
        <v>راسب</v>
      </c>
      <c r="T201" s="28" t="s">
        <v>315</v>
      </c>
      <c r="U201" s="29"/>
      <c r="V201" s="32">
        <f>SUM(E201,H201,K201,O201,R201)</f>
        <v>186</v>
      </c>
      <c r="W201" s="18" t="str">
        <f>IF(AND(H201&gt;=180,E201&gt;=120,O201&gt;=60,K201&gt;=60,R201&gt;=60,D201&gt;=30,N201&gt;=24),IF(V201&gt;=680,"ممتاز",IF(V201&gt;=600,"جيد جدا",IF(V201&gt;=520,"جيد",IF(V201&gt;=480,"مقبول","راسب")))),"راسب")</f>
        <v>راسب</v>
      </c>
      <c r="X201" s="19">
        <f>IF(AND(O201&gt;=60,R201&gt;=60,K201&gt;=60,H201&gt;=180,E201&gt;=120,D201&gt;=30,N201&gt;=24),(V201/800)*100%,0)</f>
        <v>0</v>
      </c>
    </row>
    <row r="202" spans="1:24" x14ac:dyDescent="0.35">
      <c r="A202" s="15">
        <v>193</v>
      </c>
      <c r="B202" s="15">
        <v>12885</v>
      </c>
      <c r="C202" s="15" t="s">
        <v>83</v>
      </c>
      <c r="D202" s="30">
        <v>0</v>
      </c>
      <c r="E202" s="30">
        <v>0</v>
      </c>
      <c r="F202" s="28" t="str">
        <f>IF(AND(D202&gt;=30),IF(E202&gt;=170,"ممتاز",IF(E202&gt;=150,"جيد جداً",IF(E202&gt;=130,"جيد",IF(E202&gt;=120,"مقبول","راسب")))),"راسب ")</f>
        <v xml:space="preserve">راسب </v>
      </c>
      <c r="G202" s="28" t="s">
        <v>315</v>
      </c>
      <c r="H202" s="36">
        <v>0</v>
      </c>
      <c r="I202" s="18" t="str">
        <f>IF(H202&gt;=255,"ممتاز",IF(H202&gt;=225,"جيد جدا",IF(H202&gt;=195,"جيد",IF(H202&gt;=180,"مقبول","راسب"))))</f>
        <v>راسب</v>
      </c>
      <c r="J202" s="28" t="s">
        <v>315</v>
      </c>
      <c r="K202" s="37">
        <v>0</v>
      </c>
      <c r="L202" s="28" t="str">
        <f>IF(K202&gt;=85,"ممتاز",IF(K202&gt;=75,"جيد جدا",IF(K202&gt;=65,"جيد",IF(K202&gt;=60,"مقبول","راسب"))))</f>
        <v>راسب</v>
      </c>
      <c r="M202" s="28" t="s">
        <v>315</v>
      </c>
      <c r="N202" s="17">
        <v>0</v>
      </c>
      <c r="O202" s="37">
        <v>0</v>
      </c>
      <c r="P202" s="29" t="str">
        <f>IF(AND(N202&gt;=24),IF(O202&gt;=85,"ممتاز",IF(O202&gt;=75,"جيد جداً",IF(O202&gt;=65,"جيد",IF(O202&gt;=60,"مقبول","راسب")))),"راسب ")</f>
        <v xml:space="preserve">راسب </v>
      </c>
      <c r="Q202" s="28" t="s">
        <v>315</v>
      </c>
      <c r="R202" s="37">
        <v>0</v>
      </c>
      <c r="S202" s="29" t="str">
        <f>IF(R202&gt;=85,"ممتاز",IF(R202&gt;=75,"جيد جدا",IF(R202&gt;=65,"جيد",IF(R202&gt;=60,"مقبول","راسب"))))</f>
        <v>راسب</v>
      </c>
      <c r="T202" s="28" t="s">
        <v>315</v>
      </c>
      <c r="U202" s="29" t="s">
        <v>315</v>
      </c>
      <c r="V202" s="32">
        <f>SUM(E202,H202,K202,O202,R202)</f>
        <v>0</v>
      </c>
      <c r="W202" s="18" t="str">
        <f>IF(AND(H202&gt;=180,E202&gt;=120,O202&gt;=60,K202&gt;=60,R202&gt;=60,D202&gt;=30,N202&gt;=24),IF(V202&gt;=680,"ممتاز",IF(V202&gt;=600,"جيد جدا",IF(V202&gt;=520,"جيد",IF(V202&gt;=480,"مقبول","راسب")))),"راسب")</f>
        <v>راسب</v>
      </c>
      <c r="X202" s="19">
        <f>IF(AND(O202&gt;=60,R202&gt;=60,K202&gt;=60,H202&gt;=180,E202&gt;=120,D202&gt;=30,N202&gt;=24),(V202/800)*100%,0)</f>
        <v>0</v>
      </c>
    </row>
    <row r="203" spans="1:24" x14ac:dyDescent="0.35">
      <c r="A203" s="15">
        <v>194</v>
      </c>
      <c r="B203" s="15">
        <v>13024</v>
      </c>
      <c r="C203" s="15" t="s">
        <v>84</v>
      </c>
      <c r="D203" s="30">
        <v>0</v>
      </c>
      <c r="E203" s="30">
        <v>0</v>
      </c>
      <c r="F203" s="28" t="str">
        <f>IF(AND(D203&gt;=30),IF(E203&gt;=170,"ممتاز",IF(E203&gt;=150,"جيد جداً",IF(E203&gt;=130,"جيد",IF(E203&gt;=120,"مقبول","راسب")))),"راسب ")</f>
        <v xml:space="preserve">راسب </v>
      </c>
      <c r="G203" s="28" t="s">
        <v>315</v>
      </c>
      <c r="H203" s="36">
        <v>0</v>
      </c>
      <c r="I203" s="18" t="str">
        <f>IF(H203&gt;=255,"ممتاز",IF(H203&gt;=225,"جيد جدا",IF(H203&gt;=195,"جيد",IF(H203&gt;=180,"مقبول","راسب"))))</f>
        <v>راسب</v>
      </c>
      <c r="J203" s="28" t="s">
        <v>315</v>
      </c>
      <c r="K203" s="37">
        <v>0</v>
      </c>
      <c r="L203" s="28" t="str">
        <f>IF(K203&gt;=85,"ممتاز",IF(K203&gt;=75,"جيد جدا",IF(K203&gt;=65,"جيد",IF(K203&gt;=60,"مقبول","راسب"))))</f>
        <v>راسب</v>
      </c>
      <c r="M203" s="28" t="s">
        <v>315</v>
      </c>
      <c r="N203" s="17">
        <v>0</v>
      </c>
      <c r="O203" s="37">
        <v>0</v>
      </c>
      <c r="P203" s="29" t="str">
        <f>IF(AND(N203&gt;=24),IF(O203&gt;=85,"ممتاز",IF(O203&gt;=75,"جيد جداً",IF(O203&gt;=65,"جيد",IF(O203&gt;=60,"مقبول","راسب")))),"راسب ")</f>
        <v xml:space="preserve">راسب </v>
      </c>
      <c r="Q203" s="28" t="s">
        <v>315</v>
      </c>
      <c r="R203" s="37">
        <v>0</v>
      </c>
      <c r="S203" s="29" t="str">
        <f>IF(R203&gt;=85,"ممتاز",IF(R203&gt;=75,"جيد جدا",IF(R203&gt;=65,"جيد",IF(R203&gt;=60,"مقبول","راسب"))))</f>
        <v>راسب</v>
      </c>
      <c r="T203" s="28" t="s">
        <v>315</v>
      </c>
      <c r="U203" s="29" t="s">
        <v>315</v>
      </c>
      <c r="V203" s="32">
        <f>SUM(E203,H203,K203,O203,R203)</f>
        <v>0</v>
      </c>
      <c r="W203" s="18" t="str">
        <f>IF(AND(H203&gt;=180,E203&gt;=120,O203&gt;=60,K203&gt;=60,R203&gt;=60,D203&gt;=30,N203&gt;=24),IF(V203&gt;=680,"ممتاز",IF(V203&gt;=600,"جيد جدا",IF(V203&gt;=520,"جيد",IF(V203&gt;=480,"مقبول","راسب")))),"راسب")</f>
        <v>راسب</v>
      </c>
      <c r="X203" s="19">
        <f>IF(AND(O203&gt;=60,R203&gt;=60,K203&gt;=60,H203&gt;=180,E203&gt;=120,D203&gt;=30,N203&gt;=24),(V203/800)*100%,0)</f>
        <v>0</v>
      </c>
    </row>
    <row r="204" spans="1:24" x14ac:dyDescent="0.35">
      <c r="A204" s="15">
        <v>195</v>
      </c>
      <c r="B204" s="16">
        <v>13434</v>
      </c>
      <c r="C204" s="16" t="s">
        <v>146</v>
      </c>
      <c r="D204" s="30">
        <v>0</v>
      </c>
      <c r="E204" s="30">
        <v>0</v>
      </c>
      <c r="F204" s="28" t="str">
        <f>IF(AND(D204&gt;=30),IF(E204&gt;=170,"ممتاز",IF(E204&gt;=150,"جيد جداً",IF(E204&gt;=130,"جيد",IF(E204&gt;=120,"مقبول","راسب")))),"راسب ")</f>
        <v xml:space="preserve">راسب </v>
      </c>
      <c r="G204" s="28" t="s">
        <v>315</v>
      </c>
      <c r="H204" s="30">
        <v>198</v>
      </c>
      <c r="I204" s="18" t="str">
        <f>IF(H204&gt;=255,"ممتاز",IF(H204&gt;=225,"جيد جدا",IF(H204&gt;=195,"جيد",IF(H204&gt;=180,"مقبول","راسب"))))</f>
        <v>جيد</v>
      </c>
      <c r="J204" s="28" t="s">
        <v>200</v>
      </c>
      <c r="K204" s="37">
        <v>0</v>
      </c>
      <c r="L204" s="28" t="str">
        <f>IF(K204&gt;=85,"ممتاز",IF(K204&gt;=75,"جيد جدا",IF(K204&gt;=65,"جيد",IF(K204&gt;=60,"مقبول","راسب"))))</f>
        <v>راسب</v>
      </c>
      <c r="M204" s="28" t="s">
        <v>315</v>
      </c>
      <c r="N204" s="17">
        <v>0</v>
      </c>
      <c r="O204" s="37">
        <v>0</v>
      </c>
      <c r="P204" s="29" t="str">
        <f>IF(AND(N204&gt;=24),IF(O204&gt;=85,"ممتاز",IF(O204&gt;=75,"جيد جداً",IF(O204&gt;=65,"جيد",IF(O204&gt;=60,"مقبول","راسب")))),"راسب ")</f>
        <v xml:space="preserve">راسب </v>
      </c>
      <c r="Q204" s="28" t="s">
        <v>315</v>
      </c>
      <c r="R204" s="37">
        <v>0</v>
      </c>
      <c r="S204" s="29" t="str">
        <f>IF(R204&gt;=85,"ممتاز",IF(R204&gt;=75,"جيد جدا",IF(R204&gt;=65,"جيد",IF(R204&gt;=60,"مقبول","راسب"))))</f>
        <v>راسب</v>
      </c>
      <c r="T204" s="28" t="s">
        <v>315</v>
      </c>
      <c r="U204" s="29"/>
      <c r="V204" s="32">
        <f>SUM(E204,H204,K204,O204,R204)</f>
        <v>198</v>
      </c>
      <c r="W204" s="18" t="str">
        <f>IF(AND(H204&gt;=180,E204&gt;=120,O204&gt;=60,K204&gt;=60,R204&gt;=60,D204&gt;=30,N204&gt;=24),IF(V204&gt;=680,"ممتاز",IF(V204&gt;=600,"جيد جدا",IF(V204&gt;=520,"جيد",IF(V204&gt;=480,"مقبول","راسب")))),"راسب")</f>
        <v>راسب</v>
      </c>
      <c r="X204" s="19">
        <f>IF(AND(O204&gt;=60,R204&gt;=60,K204&gt;=60,H204&gt;=180,E204&gt;=120,D204&gt;=30,N204&gt;=24),(V204/800)*100%,0)</f>
        <v>0</v>
      </c>
    </row>
    <row r="205" spans="1:24" x14ac:dyDescent="0.35">
      <c r="A205" s="15">
        <v>196</v>
      </c>
      <c r="B205" s="15">
        <v>13606</v>
      </c>
      <c r="C205" s="15" t="s">
        <v>206</v>
      </c>
      <c r="D205" s="30">
        <v>0</v>
      </c>
      <c r="E205" s="30">
        <v>60</v>
      </c>
      <c r="F205" s="28" t="str">
        <f>IF(AND(D205&gt;=30),IF(E205&gt;=170,"ممتاز",IF(E205&gt;=150,"جيد جداً",IF(E205&gt;=130,"جيد",IF(E205&gt;=120,"مقبول","راسب")))),"راسب ")</f>
        <v xml:space="preserve">راسب </v>
      </c>
      <c r="G205" s="28" t="s">
        <v>316</v>
      </c>
      <c r="H205" s="36">
        <v>0</v>
      </c>
      <c r="I205" s="18" t="str">
        <f>IF(H205&gt;=255,"ممتاز",IF(H205&gt;=225,"جيد جدا",IF(H205&gt;=195,"جيد",IF(H205&gt;=180,"مقبول","راسب"))))</f>
        <v>راسب</v>
      </c>
      <c r="J205" s="28" t="s">
        <v>315</v>
      </c>
      <c r="K205" s="37">
        <v>0</v>
      </c>
      <c r="L205" s="28" t="str">
        <f>IF(K205&gt;=85,"ممتاز",IF(K205&gt;=75,"جيد جدا",IF(K205&gt;=65,"جيد",IF(K205&gt;=60,"مقبول","راسب"))))</f>
        <v>راسب</v>
      </c>
      <c r="M205" s="28" t="s">
        <v>315</v>
      </c>
      <c r="N205" s="17">
        <v>0</v>
      </c>
      <c r="O205" s="37">
        <v>0</v>
      </c>
      <c r="P205" s="29" t="str">
        <f>IF(AND(N205&gt;=24),IF(O205&gt;=85,"ممتاز",IF(O205&gt;=75,"جيد جداً",IF(O205&gt;=65,"جيد",IF(O205&gt;=60,"مقبول","راسب")))),"راسب ")</f>
        <v xml:space="preserve">راسب </v>
      </c>
      <c r="Q205" s="28" t="s">
        <v>315</v>
      </c>
      <c r="R205" s="37">
        <v>0</v>
      </c>
      <c r="S205" s="29" t="str">
        <f>IF(R205&gt;=85,"ممتاز",IF(R205&gt;=75,"جيد جدا",IF(R205&gt;=65,"جيد",IF(R205&gt;=60,"مقبول","راسب"))))</f>
        <v>راسب</v>
      </c>
      <c r="T205" s="28" t="s">
        <v>315</v>
      </c>
      <c r="U205" s="29"/>
      <c r="V205" s="32">
        <f>SUM(E205,H205,K205,O205,R205)</f>
        <v>60</v>
      </c>
      <c r="W205" s="18" t="str">
        <f>IF(AND(H205&gt;=180,E205&gt;=120,O205&gt;=60,K205&gt;=60,R205&gt;=60,D205&gt;=30,N205&gt;=24),IF(V205&gt;=680,"ممتاز",IF(V205&gt;=600,"جيد جدا",IF(V205&gt;=520,"جيد",IF(V205&gt;=480,"مقبول","راسب")))),"راسب")</f>
        <v>راسب</v>
      </c>
      <c r="X205" s="19">
        <f>IF(AND(O205&gt;=60,R205&gt;=60,K205&gt;=60,H205&gt;=180,E205&gt;=120,D205&gt;=30,N205&gt;=24),(V205/800)*100%,0)</f>
        <v>0</v>
      </c>
    </row>
    <row r="206" spans="1:24" x14ac:dyDescent="0.35">
      <c r="A206" s="15">
        <v>197</v>
      </c>
      <c r="B206" s="15">
        <v>13609</v>
      </c>
      <c r="C206" s="15" t="s">
        <v>207</v>
      </c>
      <c r="D206" s="30">
        <v>0</v>
      </c>
      <c r="E206" s="30">
        <v>0</v>
      </c>
      <c r="F206" s="28" t="str">
        <f>IF(AND(D206&gt;=30),IF(E206&gt;=170,"ممتاز",IF(E206&gt;=150,"جيد جداً",IF(E206&gt;=130,"جيد",IF(E206&gt;=120,"مقبول","راسب")))),"راسب ")</f>
        <v xml:space="preserve">راسب </v>
      </c>
      <c r="G206" s="28" t="s">
        <v>315</v>
      </c>
      <c r="H206" s="36">
        <v>0</v>
      </c>
      <c r="I206" s="18" t="str">
        <f>IF(H206&gt;=255,"ممتاز",IF(H206&gt;=225,"جيد جدا",IF(H206&gt;=195,"جيد",IF(H206&gt;=180,"مقبول","راسب"))))</f>
        <v>راسب</v>
      </c>
      <c r="J206" s="28" t="s">
        <v>315</v>
      </c>
      <c r="K206" s="37">
        <v>0</v>
      </c>
      <c r="L206" s="28" t="str">
        <f>IF(K206&gt;=85,"ممتاز",IF(K206&gt;=75,"جيد جدا",IF(K206&gt;=65,"جيد",IF(K206&gt;=60,"مقبول","راسب"))))</f>
        <v>راسب</v>
      </c>
      <c r="M206" s="28" t="s">
        <v>315</v>
      </c>
      <c r="N206" s="17">
        <v>0</v>
      </c>
      <c r="O206" s="37">
        <v>0</v>
      </c>
      <c r="P206" s="29" t="str">
        <f>IF(AND(N206&gt;=24),IF(O206&gt;=85,"ممتاز",IF(O206&gt;=75,"جيد جداً",IF(O206&gt;=65,"جيد",IF(O206&gt;=60,"مقبول","راسب")))),"راسب ")</f>
        <v xml:space="preserve">راسب </v>
      </c>
      <c r="Q206" s="28" t="s">
        <v>315</v>
      </c>
      <c r="R206" s="37">
        <v>0</v>
      </c>
      <c r="S206" s="29" t="str">
        <f>IF(R206&gt;=85,"ممتاز",IF(R206&gt;=75,"جيد جدا",IF(R206&gt;=65,"جيد",IF(R206&gt;=60,"مقبول","راسب"))))</f>
        <v>راسب</v>
      </c>
      <c r="T206" s="28" t="s">
        <v>315</v>
      </c>
      <c r="U206" s="29" t="s">
        <v>315</v>
      </c>
      <c r="V206" s="32">
        <f>SUM(E206,H206,K206,O206,R206)</f>
        <v>0</v>
      </c>
      <c r="W206" s="18" t="str">
        <f>IF(AND(H206&gt;=180,E206&gt;=120,O206&gt;=60,K206&gt;=60,R206&gt;=60,D206&gt;=30,N206&gt;=24),IF(V206&gt;=680,"ممتاز",IF(V206&gt;=600,"جيد جدا",IF(V206&gt;=520,"جيد",IF(V206&gt;=480,"مقبول","راسب")))),"راسب")</f>
        <v>راسب</v>
      </c>
      <c r="X206" s="19">
        <f>IF(AND(O206&gt;=60,R206&gt;=60,K206&gt;=60,H206&gt;=180,E206&gt;=120,D206&gt;=30,N206&gt;=24),(V206/800)*100%,0)</f>
        <v>0</v>
      </c>
    </row>
    <row r="207" spans="1:24" x14ac:dyDescent="0.35">
      <c r="A207" s="15">
        <v>198</v>
      </c>
      <c r="B207" s="23">
        <v>13650</v>
      </c>
      <c r="C207" s="23" t="s">
        <v>210</v>
      </c>
      <c r="D207" s="30">
        <v>0</v>
      </c>
      <c r="E207" s="30">
        <v>0</v>
      </c>
      <c r="F207" s="28" t="str">
        <f>IF(AND(D207&gt;=30),IF(E207&gt;=170,"ممتاز",IF(E207&gt;=150,"جيد جداً",IF(E207&gt;=130,"جيد",IF(E207&gt;=120,"مقبول","راسب")))),"راسب ")</f>
        <v xml:space="preserve">راسب </v>
      </c>
      <c r="G207" s="28" t="s">
        <v>315</v>
      </c>
      <c r="H207" s="36">
        <v>135</v>
      </c>
      <c r="I207" s="18" t="str">
        <f>IF(H207&gt;=255,"ممتاز",IF(H207&gt;=225,"جيد جدا",IF(H207&gt;=195,"جيد",IF(H207&gt;=180,"مقبول","راسب"))))</f>
        <v>راسب</v>
      </c>
      <c r="J207" s="28" t="s">
        <v>316</v>
      </c>
      <c r="K207" s="37">
        <v>0</v>
      </c>
      <c r="L207" s="28" t="str">
        <f>IF(K207&gt;=85,"ممتاز",IF(K207&gt;=75,"جيد جدا",IF(K207&gt;=65,"جيد",IF(K207&gt;=60,"مقبول","راسب"))))</f>
        <v>راسب</v>
      </c>
      <c r="M207" s="28" t="s">
        <v>315</v>
      </c>
      <c r="N207" s="17">
        <v>27</v>
      </c>
      <c r="O207" s="37">
        <v>68.125</v>
      </c>
      <c r="P207" s="29" t="str">
        <f>IF(AND(N207&gt;=24),IF(O207&gt;=85,"ممتاز",IF(O207&gt;=75,"جيد جداً",IF(O207&gt;=65,"جيد",IF(O207&gt;=60,"مقبول","راسب")))),"راسب ")</f>
        <v>جيد</v>
      </c>
      <c r="Q207" s="28" t="s">
        <v>316</v>
      </c>
      <c r="R207" s="37">
        <v>0</v>
      </c>
      <c r="S207" s="29" t="str">
        <f>IF(R207&gt;=85,"ممتاز",IF(R207&gt;=75,"جيد جدا",IF(R207&gt;=65,"جيد",IF(R207&gt;=60,"مقبول","راسب"))))</f>
        <v>راسب</v>
      </c>
      <c r="T207" s="28" t="s">
        <v>315</v>
      </c>
      <c r="U207" s="29"/>
      <c r="V207" s="32">
        <f>SUM(E207,H207,K207,O207,R207)</f>
        <v>203.125</v>
      </c>
      <c r="W207" s="18" t="str">
        <f>IF(AND(H207&gt;=180,E207&gt;=120,O207&gt;=60,K207&gt;=60,R207&gt;=60,D207&gt;=30,N207&gt;=24),IF(V207&gt;=680,"ممتاز",IF(V207&gt;=600,"جيد جدا",IF(V207&gt;=520,"جيد",IF(V207&gt;=480,"مقبول","راسب")))),"راسب")</f>
        <v>راسب</v>
      </c>
      <c r="X207" s="19">
        <f>IF(AND(O207&gt;=60,R207&gt;=60,K207&gt;=60,H207&gt;=180,E207&gt;=120,D207&gt;=30,N207&gt;=24),(V207/800)*100%,0)</f>
        <v>0</v>
      </c>
    </row>
    <row r="208" spans="1:24" x14ac:dyDescent="0.35">
      <c r="A208" s="15">
        <v>199</v>
      </c>
      <c r="B208" s="15">
        <v>13664</v>
      </c>
      <c r="C208" s="15" t="s">
        <v>147</v>
      </c>
      <c r="D208" s="30">
        <v>0</v>
      </c>
      <c r="E208" s="30">
        <v>0</v>
      </c>
      <c r="F208" s="28" t="str">
        <f>IF(AND(D208&gt;=30),IF(E208&gt;=170,"ممتاز",IF(E208&gt;=150,"جيد جداً",IF(E208&gt;=130,"جيد",IF(E208&gt;=120,"مقبول","راسب")))),"راسب ")</f>
        <v xml:space="preserve">راسب </v>
      </c>
      <c r="G208" s="28" t="s">
        <v>315</v>
      </c>
      <c r="H208" s="36">
        <v>0</v>
      </c>
      <c r="I208" s="18" t="str">
        <f>IF(H208&gt;=255,"ممتاز",IF(H208&gt;=225,"جيد جدا",IF(H208&gt;=195,"جيد",IF(H208&gt;=180,"مقبول","راسب"))))</f>
        <v>راسب</v>
      </c>
      <c r="J208" s="28" t="s">
        <v>315</v>
      </c>
      <c r="K208" s="37">
        <v>0</v>
      </c>
      <c r="L208" s="28" t="str">
        <f>IF(K208&gt;=85,"ممتاز",IF(K208&gt;=75,"جيد جدا",IF(K208&gt;=65,"جيد",IF(K208&gt;=60,"مقبول","راسب"))))</f>
        <v>راسب</v>
      </c>
      <c r="M208" s="28" t="s">
        <v>315</v>
      </c>
      <c r="N208" s="17">
        <v>0</v>
      </c>
      <c r="O208" s="37">
        <v>0</v>
      </c>
      <c r="P208" s="29" t="str">
        <f>IF(AND(N208&gt;=24),IF(O208&gt;=85,"ممتاز",IF(O208&gt;=75,"جيد جداً",IF(O208&gt;=65,"جيد",IF(O208&gt;=60,"مقبول","راسب")))),"راسب ")</f>
        <v xml:space="preserve">راسب </v>
      </c>
      <c r="Q208" s="28" t="s">
        <v>315</v>
      </c>
      <c r="R208" s="37">
        <v>0</v>
      </c>
      <c r="S208" s="29" t="str">
        <f>IF(R208&gt;=85,"ممتاز",IF(R208&gt;=75,"جيد جدا",IF(R208&gt;=65,"جيد",IF(R208&gt;=60,"مقبول","راسب"))))</f>
        <v>راسب</v>
      </c>
      <c r="T208" s="28" t="s">
        <v>315</v>
      </c>
      <c r="U208" s="29" t="s">
        <v>315</v>
      </c>
      <c r="V208" s="32">
        <f>SUM(E208,H208,K208,O208,R208)</f>
        <v>0</v>
      </c>
      <c r="W208" s="18" t="str">
        <f>IF(AND(H208&gt;=180,E208&gt;=120,O208&gt;=60,K208&gt;=60,R208&gt;=60,D208&gt;=30,N208&gt;=24),IF(V208&gt;=680,"ممتاز",IF(V208&gt;=600,"جيد جدا",IF(V208&gt;=520,"جيد",IF(V208&gt;=480,"مقبول","راسب")))),"راسب")</f>
        <v>راسب</v>
      </c>
      <c r="X208" s="19">
        <f>IF(AND(O208&gt;=60,R208&gt;=60,K208&gt;=60,H208&gt;=180,E208&gt;=120,D208&gt;=30,N208&gt;=24),(V208/800)*100%,0)</f>
        <v>0</v>
      </c>
    </row>
    <row r="209" spans="1:24" x14ac:dyDescent="0.35">
      <c r="A209" s="15">
        <v>200</v>
      </c>
      <c r="B209" s="15">
        <v>13691</v>
      </c>
      <c r="C209" s="15" t="s">
        <v>212</v>
      </c>
      <c r="D209" s="30">
        <v>47.8</v>
      </c>
      <c r="E209" s="30">
        <v>133.30000000000001</v>
      </c>
      <c r="F209" s="28" t="str">
        <f>IF(AND(D209&gt;=30),IF(E209&gt;=170,"ممتاز",IF(E209&gt;=150,"جيد جداً",IF(E209&gt;=130,"جيد",IF(E209&gt;=120,"مقبول","راسب")))),"راسب ")</f>
        <v>جيد</v>
      </c>
      <c r="G209" s="28" t="s">
        <v>316</v>
      </c>
      <c r="H209" s="36">
        <v>206.66666666666669</v>
      </c>
      <c r="I209" s="18" t="str">
        <f>IF(H209&gt;=255,"ممتاز",IF(H209&gt;=225,"جيد جدا",IF(H209&gt;=195,"جيد",IF(H209&gt;=180,"مقبول","راسب"))))</f>
        <v>جيد</v>
      </c>
      <c r="J209" s="28" t="s">
        <v>316</v>
      </c>
      <c r="K209" s="37">
        <v>68.930000000000007</v>
      </c>
      <c r="L209" s="28" t="str">
        <f>IF(K209&gt;=85,"ممتاز",IF(K209&gt;=75,"جيد جدا",IF(K209&gt;=65,"جيد",IF(K209&gt;=60,"مقبول","راسب"))))</f>
        <v>جيد</v>
      </c>
      <c r="M209" s="28" t="s">
        <v>200</v>
      </c>
      <c r="N209" s="17">
        <v>29</v>
      </c>
      <c r="O209" s="37">
        <v>70.5</v>
      </c>
      <c r="P209" s="29" t="str">
        <f>IF(AND(N209&gt;=24),IF(O209&gt;=85,"ممتاز",IF(O209&gt;=75,"جيد جداً",IF(O209&gt;=65,"جيد",IF(O209&gt;=60,"مقبول","راسب")))),"راسب ")</f>
        <v>جيد</v>
      </c>
      <c r="Q209" s="28" t="s">
        <v>200</v>
      </c>
      <c r="R209" s="37">
        <v>0</v>
      </c>
      <c r="S209" s="29" t="str">
        <f>IF(R209&gt;=85,"ممتاز",IF(R209&gt;=75,"جيد جدا",IF(R209&gt;=65,"جيد",IF(R209&gt;=60,"مقبول","راسب"))))</f>
        <v>راسب</v>
      </c>
      <c r="T209" s="28" t="s">
        <v>315</v>
      </c>
      <c r="U209" s="29"/>
      <c r="V209" s="32">
        <f>SUM(E209,H209,K209,O209,R209)</f>
        <v>479.3966666666667</v>
      </c>
      <c r="W209" s="18" t="str">
        <f>IF(AND(H209&gt;=180,E209&gt;=120,O209&gt;=60,K209&gt;=60,R209&gt;=60,D209&gt;=30,N209&gt;=24),IF(V209&gt;=680,"ممتاز",IF(V209&gt;=600,"جيد جدا",IF(V209&gt;=520,"جيد",IF(V209&gt;=480,"مقبول","راسب")))),"راسب")</f>
        <v>راسب</v>
      </c>
      <c r="X209" s="19">
        <f>IF(AND(O209&gt;=60,R209&gt;=60,K209&gt;=60,H209&gt;=180,E209&gt;=120,D209&gt;=30,N209&gt;=24),(V209/800)*100%,0)</f>
        <v>0</v>
      </c>
    </row>
    <row r="210" spans="1:24" x14ac:dyDescent="0.35">
      <c r="A210" s="15">
        <v>201</v>
      </c>
      <c r="B210" s="15">
        <v>13938</v>
      </c>
      <c r="C210" s="15" t="s">
        <v>213</v>
      </c>
      <c r="D210" s="30">
        <v>0</v>
      </c>
      <c r="E210" s="30">
        <v>0</v>
      </c>
      <c r="F210" s="28" t="str">
        <f>IF(AND(D210&gt;=30),IF(E210&gt;=170,"ممتاز",IF(E210&gt;=150,"جيد جداً",IF(E210&gt;=130,"جيد",IF(E210&gt;=120,"مقبول","راسب")))),"راسب ")</f>
        <v xml:space="preserve">راسب </v>
      </c>
      <c r="G210" s="28" t="s">
        <v>315</v>
      </c>
      <c r="H210" s="36">
        <v>0</v>
      </c>
      <c r="I210" s="18" t="str">
        <f>IF(H210&gt;=255,"ممتاز",IF(H210&gt;=225,"جيد جدا",IF(H210&gt;=195,"جيد",IF(H210&gt;=180,"مقبول","راسب"))))</f>
        <v>راسب</v>
      </c>
      <c r="J210" s="28" t="s">
        <v>315</v>
      </c>
      <c r="K210" s="37">
        <v>61.27</v>
      </c>
      <c r="L210" s="28" t="str">
        <f>IF(K210&gt;=85,"ممتاز",IF(K210&gt;=75,"جيد جدا",IF(K210&gt;=65,"جيد",IF(K210&gt;=60,"مقبول","راسب"))))</f>
        <v>مقبول</v>
      </c>
      <c r="M210" s="28" t="s">
        <v>200</v>
      </c>
      <c r="N210" s="17">
        <v>0</v>
      </c>
      <c r="O210" s="37">
        <v>0</v>
      </c>
      <c r="P210" s="29" t="str">
        <f>IF(AND(N210&gt;=24),IF(O210&gt;=85,"ممتاز",IF(O210&gt;=75,"جيد جداً",IF(O210&gt;=65,"جيد",IF(O210&gt;=60,"مقبول","راسب")))),"راسب ")</f>
        <v xml:space="preserve">راسب </v>
      </c>
      <c r="Q210" s="28" t="s">
        <v>315</v>
      </c>
      <c r="R210" s="37">
        <v>0</v>
      </c>
      <c r="S210" s="29" t="str">
        <f>IF(R210&gt;=85,"ممتاز",IF(R210&gt;=75,"جيد جدا",IF(R210&gt;=65,"جيد",IF(R210&gt;=60,"مقبول","راسب"))))</f>
        <v>راسب</v>
      </c>
      <c r="T210" s="28" t="s">
        <v>315</v>
      </c>
      <c r="U210" s="29"/>
      <c r="V210" s="32">
        <f>SUM(E210,H210,K210,O210,R210)</f>
        <v>61.27</v>
      </c>
      <c r="W210" s="18" t="str">
        <f>IF(AND(H210&gt;=180,E210&gt;=120,O210&gt;=60,K210&gt;=60,R210&gt;=60,D210&gt;=30,N210&gt;=24),IF(V210&gt;=680,"ممتاز",IF(V210&gt;=600,"جيد جدا",IF(V210&gt;=520,"جيد",IF(V210&gt;=480,"مقبول","راسب")))),"راسب")</f>
        <v>راسب</v>
      </c>
      <c r="X210" s="19">
        <f>IF(AND(O210&gt;=60,R210&gt;=60,K210&gt;=60,H210&gt;=180,E210&gt;=120,D210&gt;=30,N210&gt;=24),(V210/800)*100%,0)</f>
        <v>0</v>
      </c>
    </row>
    <row r="211" spans="1:24" x14ac:dyDescent="0.35">
      <c r="A211" s="15">
        <v>202</v>
      </c>
      <c r="B211" s="27">
        <v>14031</v>
      </c>
      <c r="C211" s="26" t="s">
        <v>152</v>
      </c>
      <c r="D211" s="30">
        <v>0</v>
      </c>
      <c r="E211" s="30">
        <v>0</v>
      </c>
      <c r="F211" s="28" t="str">
        <f>IF(AND(D211&gt;=30),IF(E211&gt;=170,"ممتاز",IF(E211&gt;=150,"جيد جداً",IF(E211&gt;=130,"جيد",IF(E211&gt;=120,"مقبول","راسب")))),"راسب ")</f>
        <v xml:space="preserve">راسب </v>
      </c>
      <c r="G211" s="28" t="s">
        <v>315</v>
      </c>
      <c r="H211" s="36">
        <v>0</v>
      </c>
      <c r="I211" s="18" t="str">
        <f>IF(H211&gt;=255,"ممتاز",IF(H211&gt;=225,"جيد جدا",IF(H211&gt;=195,"جيد",IF(H211&gt;=180,"مقبول","راسب"))))</f>
        <v>راسب</v>
      </c>
      <c r="J211" s="28" t="s">
        <v>315</v>
      </c>
      <c r="K211" s="37">
        <v>0</v>
      </c>
      <c r="L211" s="28" t="str">
        <f>IF(K211&gt;=85,"ممتاز",IF(K211&gt;=75,"جيد جدا",IF(K211&gt;=65,"جيد",IF(K211&gt;=60,"مقبول","راسب"))))</f>
        <v>راسب</v>
      </c>
      <c r="M211" s="28" t="s">
        <v>315</v>
      </c>
      <c r="N211" s="17">
        <v>0</v>
      </c>
      <c r="O211" s="37">
        <v>0</v>
      </c>
      <c r="P211" s="29" t="str">
        <f>IF(AND(N211&gt;=24),IF(O211&gt;=85,"ممتاز",IF(O211&gt;=75,"جيد جداً",IF(O211&gt;=65,"جيد",IF(O211&gt;=60,"مقبول","راسب")))),"راسب ")</f>
        <v xml:space="preserve">راسب </v>
      </c>
      <c r="Q211" s="28" t="s">
        <v>315</v>
      </c>
      <c r="R211" s="37">
        <v>0</v>
      </c>
      <c r="S211" s="29" t="str">
        <f>IF(R211&gt;=85,"ممتاز",IF(R211&gt;=75,"جيد جدا",IF(R211&gt;=65,"جيد",IF(R211&gt;=60,"مقبول","راسب"))))</f>
        <v>راسب</v>
      </c>
      <c r="T211" s="28" t="s">
        <v>315</v>
      </c>
      <c r="U211" s="29" t="s">
        <v>315</v>
      </c>
      <c r="V211" s="32">
        <f>SUM(E211,H211,K211,O211,R211)</f>
        <v>0</v>
      </c>
      <c r="W211" s="18" t="str">
        <f>IF(AND(H211&gt;=180,E211&gt;=120,O211&gt;=60,K211&gt;=60,R211&gt;=60,D211&gt;=30,N211&gt;=24),IF(V211&gt;=680,"ممتاز",IF(V211&gt;=600,"جيد جدا",IF(V211&gt;=520,"جيد",IF(V211&gt;=480,"مقبول","راسب")))),"راسب")</f>
        <v>راسب</v>
      </c>
      <c r="X211" s="19">
        <f>IF(AND(O211&gt;=60,R211&gt;=60,K211&gt;=60,H211&gt;=180,E211&gt;=120,D211&gt;=30,N211&gt;=24),(V211/800)*100%,0)</f>
        <v>0</v>
      </c>
    </row>
    <row r="212" spans="1:24" x14ac:dyDescent="0.35">
      <c r="A212" s="15">
        <v>203</v>
      </c>
      <c r="B212" s="15">
        <v>14049</v>
      </c>
      <c r="C212" s="15" t="s">
        <v>214</v>
      </c>
      <c r="D212" s="30">
        <v>37.5</v>
      </c>
      <c r="E212" s="30">
        <v>127.75</v>
      </c>
      <c r="F212" s="28" t="str">
        <f>IF(AND(D212&gt;=30),IF(E212&gt;=170,"ممتاز",IF(E212&gt;=150,"جيد جداً",IF(E212&gt;=130,"جيد",IF(E212&gt;=120,"مقبول","راسب")))),"راسب ")</f>
        <v>مقبول</v>
      </c>
      <c r="G212" s="28" t="s">
        <v>316</v>
      </c>
      <c r="H212" s="36">
        <v>0</v>
      </c>
      <c r="I212" s="18" t="str">
        <f>IF(H212&gt;=255,"ممتاز",IF(H212&gt;=225,"جيد جدا",IF(H212&gt;=195,"جيد",IF(H212&gt;=180,"مقبول","راسب"))))</f>
        <v>راسب</v>
      </c>
      <c r="J212" s="28" t="s">
        <v>315</v>
      </c>
      <c r="K212" s="37">
        <v>0</v>
      </c>
      <c r="L212" s="28" t="str">
        <f>IF(K212&gt;=85,"ممتاز",IF(K212&gt;=75,"جيد جدا",IF(K212&gt;=65,"جيد",IF(K212&gt;=60,"مقبول","راسب"))))</f>
        <v>راسب</v>
      </c>
      <c r="M212" s="28" t="s">
        <v>315</v>
      </c>
      <c r="N212" s="17">
        <v>0</v>
      </c>
      <c r="O212" s="37">
        <v>0</v>
      </c>
      <c r="P212" s="29" t="str">
        <f>IF(AND(N212&gt;=24),IF(O212&gt;=85,"ممتاز",IF(O212&gt;=75,"جيد جداً",IF(O212&gt;=65,"جيد",IF(O212&gt;=60,"مقبول","راسب")))),"راسب ")</f>
        <v xml:space="preserve">راسب </v>
      </c>
      <c r="Q212" s="28" t="s">
        <v>315</v>
      </c>
      <c r="R212" s="37">
        <v>0</v>
      </c>
      <c r="S212" s="29" t="str">
        <f>IF(R212&gt;=85,"ممتاز",IF(R212&gt;=75,"جيد جدا",IF(R212&gt;=65,"جيد",IF(R212&gt;=60,"مقبول","راسب"))))</f>
        <v>راسب</v>
      </c>
      <c r="T212" s="28" t="s">
        <v>315</v>
      </c>
      <c r="U212" s="29"/>
      <c r="V212" s="32">
        <f>SUM(E212,H212,K212,O212,R212)</f>
        <v>127.75</v>
      </c>
      <c r="W212" s="18" t="str">
        <f>IF(AND(H212&gt;=180,E212&gt;=120,O212&gt;=60,K212&gt;=60,R212&gt;=60,D212&gt;=30,N212&gt;=24),IF(V212&gt;=680,"ممتاز",IF(V212&gt;=600,"جيد جدا",IF(V212&gt;=520,"جيد",IF(V212&gt;=480,"مقبول","راسب")))),"راسب")</f>
        <v>راسب</v>
      </c>
      <c r="X212" s="19">
        <f>IF(AND(O212&gt;=60,R212&gt;=60,K212&gt;=60,H212&gt;=180,E212&gt;=120,D212&gt;=30,N212&gt;=24),(V212/800)*100%,0)</f>
        <v>0</v>
      </c>
    </row>
    <row r="213" spans="1:24" x14ac:dyDescent="0.35">
      <c r="A213" s="15">
        <v>204</v>
      </c>
      <c r="B213" s="23">
        <v>14102</v>
      </c>
      <c r="C213" s="23" t="s">
        <v>215</v>
      </c>
      <c r="D213" s="30">
        <v>0</v>
      </c>
      <c r="E213" s="30">
        <v>0</v>
      </c>
      <c r="F213" s="28" t="str">
        <f>IF(AND(D213&gt;=30),IF(E213&gt;=170,"ممتاز",IF(E213&gt;=150,"جيد جداً",IF(E213&gt;=130,"جيد",IF(E213&gt;=120,"مقبول","راسب")))),"راسب ")</f>
        <v xml:space="preserve">راسب </v>
      </c>
      <c r="G213" s="28" t="s">
        <v>315</v>
      </c>
      <c r="H213" s="36">
        <v>0</v>
      </c>
      <c r="I213" s="18" t="str">
        <f>IF(H213&gt;=255,"ممتاز",IF(H213&gt;=225,"جيد جدا",IF(H213&gt;=195,"جيد",IF(H213&gt;=180,"مقبول","راسب"))))</f>
        <v>راسب</v>
      </c>
      <c r="J213" s="28" t="s">
        <v>315</v>
      </c>
      <c r="K213" s="37">
        <v>0</v>
      </c>
      <c r="L213" s="28" t="str">
        <f>IF(K213&gt;=85,"ممتاز",IF(K213&gt;=75,"جيد جدا",IF(K213&gt;=65,"جيد",IF(K213&gt;=60,"مقبول","راسب"))))</f>
        <v>راسب</v>
      </c>
      <c r="M213" s="28" t="s">
        <v>315</v>
      </c>
      <c r="N213" s="17">
        <v>0</v>
      </c>
      <c r="O213" s="37">
        <v>0</v>
      </c>
      <c r="P213" s="29" t="str">
        <f>IF(AND(N213&gt;=24),IF(O213&gt;=85,"ممتاز",IF(O213&gt;=75,"جيد جداً",IF(O213&gt;=65,"جيد",IF(O213&gt;=60,"مقبول","راسب")))),"راسب ")</f>
        <v xml:space="preserve">راسب </v>
      </c>
      <c r="Q213" s="28" t="s">
        <v>315</v>
      </c>
      <c r="R213" s="37">
        <v>0</v>
      </c>
      <c r="S213" s="29" t="str">
        <f>IF(R213&gt;=85,"ممتاز",IF(R213&gt;=75,"جيد جدا",IF(R213&gt;=65,"جيد",IF(R213&gt;=60,"مقبول","راسب"))))</f>
        <v>راسب</v>
      </c>
      <c r="T213" s="28" t="s">
        <v>315</v>
      </c>
      <c r="U213" s="29" t="s">
        <v>315</v>
      </c>
      <c r="V213" s="32">
        <f>SUM(E213,H213,K213,O213,R213)</f>
        <v>0</v>
      </c>
      <c r="W213" s="18" t="str">
        <f>IF(AND(H213&gt;=180,E213&gt;=120,O213&gt;=60,K213&gt;=60,R213&gt;=60,D213&gt;=30,N213&gt;=24),IF(V213&gt;=680,"ممتاز",IF(V213&gt;=600,"جيد جدا",IF(V213&gt;=520,"جيد",IF(V213&gt;=480,"مقبول","راسب")))),"راسب")</f>
        <v>راسب</v>
      </c>
      <c r="X213" s="19">
        <f>IF(AND(O213&gt;=60,R213&gt;=60,K213&gt;=60,H213&gt;=180,E213&gt;=120,D213&gt;=30,N213&gt;=24),(V213/800)*100%,0)</f>
        <v>0</v>
      </c>
    </row>
    <row r="214" spans="1:24" x14ac:dyDescent="0.35">
      <c r="A214" s="15">
        <v>205</v>
      </c>
      <c r="B214" s="23">
        <v>14126</v>
      </c>
      <c r="C214" s="23" t="s">
        <v>87</v>
      </c>
      <c r="D214" s="30">
        <v>0</v>
      </c>
      <c r="E214" s="30">
        <v>0</v>
      </c>
      <c r="F214" s="28" t="str">
        <f>IF(AND(D214&gt;=30),IF(E214&gt;=170,"ممتاز",IF(E214&gt;=150,"جيد جداً",IF(E214&gt;=130,"جيد",IF(E214&gt;=120,"مقبول","راسب")))),"راسب ")</f>
        <v xml:space="preserve">راسب </v>
      </c>
      <c r="G214" s="28" t="s">
        <v>315</v>
      </c>
      <c r="H214" s="36">
        <v>0</v>
      </c>
      <c r="I214" s="18" t="str">
        <f>IF(H214&gt;=255,"ممتاز",IF(H214&gt;=225,"جيد جدا",IF(H214&gt;=195,"جيد",IF(H214&gt;=180,"مقبول","راسب"))))</f>
        <v>راسب</v>
      </c>
      <c r="J214" s="28" t="s">
        <v>315</v>
      </c>
      <c r="K214" s="37">
        <v>0</v>
      </c>
      <c r="L214" s="28" t="str">
        <f>IF(K214&gt;=85,"ممتاز",IF(K214&gt;=75,"جيد جدا",IF(K214&gt;=65,"جيد",IF(K214&gt;=60,"مقبول","راسب"))))</f>
        <v>راسب</v>
      </c>
      <c r="M214" s="28" t="s">
        <v>315</v>
      </c>
      <c r="N214" s="17">
        <v>0</v>
      </c>
      <c r="O214" s="37">
        <v>0</v>
      </c>
      <c r="P214" s="29" t="str">
        <f>IF(AND(N214&gt;=24),IF(O214&gt;=85,"ممتاز",IF(O214&gt;=75,"جيد جداً",IF(O214&gt;=65,"جيد",IF(O214&gt;=60,"مقبول","راسب")))),"راسب ")</f>
        <v xml:space="preserve">راسب </v>
      </c>
      <c r="Q214" s="28" t="s">
        <v>315</v>
      </c>
      <c r="R214" s="37">
        <v>0</v>
      </c>
      <c r="S214" s="29" t="str">
        <f>IF(R214&gt;=85,"ممتاز",IF(R214&gt;=75,"جيد جدا",IF(R214&gt;=65,"جيد",IF(R214&gt;=60,"مقبول","راسب"))))</f>
        <v>راسب</v>
      </c>
      <c r="T214" s="28" t="s">
        <v>315</v>
      </c>
      <c r="U214" s="29" t="s">
        <v>315</v>
      </c>
      <c r="V214" s="32">
        <f>SUM(E214,H214,K214,O214,R214)</f>
        <v>0</v>
      </c>
      <c r="W214" s="18" t="str">
        <f>IF(AND(H214&gt;=180,E214&gt;=120,O214&gt;=60,K214&gt;=60,R214&gt;=60,D214&gt;=30,N214&gt;=24),IF(V214&gt;=680,"ممتاز",IF(V214&gt;=600,"جيد جدا",IF(V214&gt;=520,"جيد",IF(V214&gt;=480,"مقبول","راسب")))),"راسب")</f>
        <v>راسب</v>
      </c>
      <c r="X214" s="19">
        <f>IF(AND(O214&gt;=60,R214&gt;=60,K214&gt;=60,H214&gt;=180,E214&gt;=120,D214&gt;=30,N214&gt;=24),(V214/800)*100%,0)</f>
        <v>0</v>
      </c>
    </row>
    <row r="215" spans="1:24" x14ac:dyDescent="0.35">
      <c r="A215" s="15">
        <v>206</v>
      </c>
      <c r="B215" s="15">
        <v>14136</v>
      </c>
      <c r="C215" s="15" t="s">
        <v>88</v>
      </c>
      <c r="D215" s="30">
        <v>41</v>
      </c>
      <c r="E215" s="30">
        <v>135</v>
      </c>
      <c r="F215" s="28" t="str">
        <f>IF(AND(D215&gt;=30),IF(E215&gt;=170,"ممتاز",IF(E215&gt;=150,"جيد جداً",IF(E215&gt;=130,"جيد",IF(E215&gt;=120,"مقبول","راسب")))),"راسب ")</f>
        <v>جيد</v>
      </c>
      <c r="G215" s="28" t="s">
        <v>200</v>
      </c>
      <c r="H215" s="32">
        <v>199</v>
      </c>
      <c r="I215" s="18" t="str">
        <f>IF(H215&gt;=255,"ممتاز",IF(H215&gt;=225,"جيد جدا",IF(H215&gt;=195,"جيد",IF(H215&gt;=180,"مقبول","راسب"))))</f>
        <v>جيد</v>
      </c>
      <c r="J215" s="28" t="s">
        <v>200</v>
      </c>
      <c r="K215" s="32">
        <v>63</v>
      </c>
      <c r="L215" s="28" t="str">
        <f>IF(K215&gt;=85,"ممتاز",IF(K215&gt;=75,"جيد جدا",IF(K215&gt;=65,"جيد",IF(K215&gt;=60,"مقبول","راسب"))))</f>
        <v>مقبول</v>
      </c>
      <c r="M215" s="28" t="s">
        <v>200</v>
      </c>
      <c r="N215" s="17">
        <v>27</v>
      </c>
      <c r="O215" s="17">
        <v>65</v>
      </c>
      <c r="P215" s="29" t="str">
        <f>IF(AND(N215&gt;=24),IF(O215&gt;=85,"ممتاز",IF(O215&gt;=75,"جيد جداً",IF(O215&gt;=65,"جيد",IF(O215&gt;=60,"مقبول","راسب")))),"راسب ")</f>
        <v>جيد</v>
      </c>
      <c r="Q215" s="28" t="s">
        <v>200</v>
      </c>
      <c r="R215" s="37">
        <v>0</v>
      </c>
      <c r="S215" s="29" t="str">
        <f>IF(R215&gt;=85,"ممتاز",IF(R215&gt;=75,"جيد جدا",IF(R215&gt;=65,"جيد",IF(R215&gt;=60,"مقبول","راسب"))))</f>
        <v>راسب</v>
      </c>
      <c r="T215" s="28" t="s">
        <v>315</v>
      </c>
      <c r="U215" s="29"/>
      <c r="V215" s="32">
        <f>SUM(E215,H215,K215,O215,R215)</f>
        <v>462</v>
      </c>
      <c r="W215" s="18" t="str">
        <f>IF(AND(H215&gt;=180,E215&gt;=120,O215&gt;=60,K215&gt;=60,R215&gt;=60,D215&gt;=30,N215&gt;=24),IF(V215&gt;=680,"ممتاز",IF(V215&gt;=600,"جيد جدا",IF(V215&gt;=520,"جيد",IF(V215&gt;=480,"مقبول","راسب")))),"راسب")</f>
        <v>راسب</v>
      </c>
      <c r="X215" s="19">
        <f>IF(AND(O215&gt;=60,R215&gt;=60,K215&gt;=60,H215&gt;=180,E215&gt;=120,D215&gt;=30,N215&gt;=24),(V215/800)*100%,0)</f>
        <v>0</v>
      </c>
    </row>
    <row r="216" spans="1:24" x14ac:dyDescent="0.35">
      <c r="A216" s="15">
        <v>207</v>
      </c>
      <c r="B216" s="15">
        <v>14198</v>
      </c>
      <c r="C216" s="15" t="s">
        <v>90</v>
      </c>
      <c r="D216" s="30">
        <v>0</v>
      </c>
      <c r="E216" s="30">
        <v>0</v>
      </c>
      <c r="F216" s="28" t="str">
        <f>IF(AND(D216&gt;=30),IF(E216&gt;=170,"ممتاز",IF(E216&gt;=150,"جيد جداً",IF(E216&gt;=130,"جيد",IF(E216&gt;=120,"مقبول","راسب")))),"راسب ")</f>
        <v xml:space="preserve">راسب </v>
      </c>
      <c r="G216" s="28" t="s">
        <v>315</v>
      </c>
      <c r="H216" s="36">
        <v>0</v>
      </c>
      <c r="I216" s="18" t="str">
        <f>IF(H216&gt;=255,"ممتاز",IF(H216&gt;=225,"جيد جدا",IF(H216&gt;=195,"جيد",IF(H216&gt;=180,"مقبول","راسب"))))</f>
        <v>راسب</v>
      </c>
      <c r="J216" s="28" t="s">
        <v>315</v>
      </c>
      <c r="K216" s="37">
        <v>0</v>
      </c>
      <c r="L216" s="28" t="str">
        <f>IF(K216&gt;=85,"ممتاز",IF(K216&gt;=75,"جيد جدا",IF(K216&gt;=65,"جيد",IF(K216&gt;=60,"مقبول","راسب"))))</f>
        <v>راسب</v>
      </c>
      <c r="M216" s="28" t="s">
        <v>315</v>
      </c>
      <c r="N216" s="17">
        <v>0</v>
      </c>
      <c r="O216" s="37">
        <v>0</v>
      </c>
      <c r="P216" s="29" t="str">
        <f>IF(AND(N216&gt;=24),IF(O216&gt;=85,"ممتاز",IF(O216&gt;=75,"جيد جداً",IF(O216&gt;=65,"جيد",IF(O216&gt;=60,"مقبول","راسب")))),"راسب ")</f>
        <v xml:space="preserve">راسب </v>
      </c>
      <c r="Q216" s="28" t="s">
        <v>315</v>
      </c>
      <c r="R216" s="37">
        <v>0</v>
      </c>
      <c r="S216" s="29" t="str">
        <f>IF(R216&gt;=85,"ممتاز",IF(R216&gt;=75,"جيد جدا",IF(R216&gt;=65,"جيد",IF(R216&gt;=60,"مقبول","راسب"))))</f>
        <v>راسب</v>
      </c>
      <c r="T216" s="28" t="s">
        <v>315</v>
      </c>
      <c r="U216" s="29" t="s">
        <v>315</v>
      </c>
      <c r="V216" s="32">
        <f>SUM(E216,H216,K216,O216,R216)</f>
        <v>0</v>
      </c>
      <c r="W216" s="18" t="str">
        <f>IF(AND(H216&gt;=180,E216&gt;=120,O216&gt;=60,K216&gt;=60,R216&gt;=60,D216&gt;=30,N216&gt;=24),IF(V216&gt;=680,"ممتاز",IF(V216&gt;=600,"جيد جدا",IF(V216&gt;=520,"جيد",IF(V216&gt;=480,"مقبول","راسب")))),"راسب")</f>
        <v>راسب</v>
      </c>
      <c r="X216" s="19">
        <f>IF(AND(O216&gt;=60,R216&gt;=60,K216&gt;=60,H216&gt;=180,E216&gt;=120,D216&gt;=30,N216&gt;=24),(V216/800)*100%,0)</f>
        <v>0</v>
      </c>
    </row>
    <row r="217" spans="1:24" x14ac:dyDescent="0.35">
      <c r="A217" s="15">
        <v>208</v>
      </c>
      <c r="B217" s="23">
        <v>14265</v>
      </c>
      <c r="C217" s="23" t="s">
        <v>92</v>
      </c>
      <c r="D217" s="30">
        <v>0</v>
      </c>
      <c r="E217" s="30">
        <v>0</v>
      </c>
      <c r="F217" s="28" t="str">
        <f>IF(AND(D217&gt;=30),IF(E217&gt;=170,"ممتاز",IF(E217&gt;=150,"جيد جداً",IF(E217&gt;=130,"جيد",IF(E217&gt;=120,"مقبول","راسب")))),"راسب ")</f>
        <v xml:space="preserve">راسب </v>
      </c>
      <c r="G217" s="28" t="s">
        <v>315</v>
      </c>
      <c r="H217" s="36">
        <v>0</v>
      </c>
      <c r="I217" s="18" t="str">
        <f>IF(H217&gt;=255,"ممتاز",IF(H217&gt;=225,"جيد جدا",IF(H217&gt;=195,"جيد",IF(H217&gt;=180,"مقبول","راسب"))))</f>
        <v>راسب</v>
      </c>
      <c r="J217" s="28" t="s">
        <v>315</v>
      </c>
      <c r="K217" s="37">
        <v>0</v>
      </c>
      <c r="L217" s="28" t="str">
        <f>IF(K217&gt;=85,"ممتاز",IF(K217&gt;=75,"جيد جدا",IF(K217&gt;=65,"جيد",IF(K217&gt;=60,"مقبول","راسب"))))</f>
        <v>راسب</v>
      </c>
      <c r="M217" s="28" t="s">
        <v>315</v>
      </c>
      <c r="N217" s="17">
        <v>0</v>
      </c>
      <c r="O217" s="37">
        <v>0</v>
      </c>
      <c r="P217" s="29" t="str">
        <f>IF(AND(N217&gt;=24),IF(O217&gt;=85,"ممتاز",IF(O217&gt;=75,"جيد جداً",IF(O217&gt;=65,"جيد",IF(O217&gt;=60,"مقبول","راسب")))),"راسب ")</f>
        <v xml:space="preserve">راسب </v>
      </c>
      <c r="Q217" s="28" t="s">
        <v>315</v>
      </c>
      <c r="R217" s="37">
        <v>0</v>
      </c>
      <c r="S217" s="29" t="str">
        <f>IF(R217&gt;=85,"ممتاز",IF(R217&gt;=75,"جيد جدا",IF(R217&gt;=65,"جيد",IF(R217&gt;=60,"مقبول","راسب"))))</f>
        <v>راسب</v>
      </c>
      <c r="T217" s="28" t="s">
        <v>315</v>
      </c>
      <c r="U217" s="29" t="s">
        <v>315</v>
      </c>
      <c r="V217" s="32">
        <f>SUM(E217,H217,K217,O217,R217)</f>
        <v>0</v>
      </c>
      <c r="W217" s="18" t="str">
        <f>IF(AND(H217&gt;=180,E217&gt;=120,O217&gt;=60,K217&gt;=60,R217&gt;=60,D217&gt;=30,N217&gt;=24),IF(V217&gt;=680,"ممتاز",IF(V217&gt;=600,"جيد جدا",IF(V217&gt;=520,"جيد",IF(V217&gt;=480,"مقبول","راسب")))),"راسب")</f>
        <v>راسب</v>
      </c>
      <c r="X217" s="19">
        <f>IF(AND(O217&gt;=60,R217&gt;=60,K217&gt;=60,H217&gt;=180,E217&gt;=120,D217&gt;=30,N217&gt;=24),(V217/800)*100%,0)</f>
        <v>0</v>
      </c>
    </row>
    <row r="218" spans="1:24" x14ac:dyDescent="0.35">
      <c r="A218" s="15">
        <v>209</v>
      </c>
      <c r="B218" s="23">
        <v>14403</v>
      </c>
      <c r="C218" s="23" t="s">
        <v>94</v>
      </c>
      <c r="D218" s="30">
        <v>0</v>
      </c>
      <c r="E218" s="30">
        <v>0</v>
      </c>
      <c r="F218" s="28" t="str">
        <f>IF(AND(D218&gt;=30),IF(E218&gt;=170,"ممتاز",IF(E218&gt;=150,"جيد جداً",IF(E218&gt;=130,"جيد",IF(E218&gt;=120,"مقبول","راسب")))),"راسب ")</f>
        <v xml:space="preserve">راسب </v>
      </c>
      <c r="G218" s="28" t="s">
        <v>315</v>
      </c>
      <c r="H218" s="36">
        <v>0</v>
      </c>
      <c r="I218" s="18" t="str">
        <f>IF(H218&gt;=255,"ممتاز",IF(H218&gt;=225,"جيد جدا",IF(H218&gt;=195,"جيد",IF(H218&gt;=180,"مقبول","راسب"))))</f>
        <v>راسب</v>
      </c>
      <c r="J218" s="28" t="s">
        <v>315</v>
      </c>
      <c r="K218" s="37">
        <v>0</v>
      </c>
      <c r="L218" s="28" t="str">
        <f>IF(K218&gt;=85,"ممتاز",IF(K218&gt;=75,"جيد جدا",IF(K218&gt;=65,"جيد",IF(K218&gt;=60,"مقبول","راسب"))))</f>
        <v>راسب</v>
      </c>
      <c r="M218" s="28" t="s">
        <v>315</v>
      </c>
      <c r="N218" s="17">
        <v>0</v>
      </c>
      <c r="O218" s="37">
        <v>0</v>
      </c>
      <c r="P218" s="29" t="str">
        <f>IF(AND(N218&gt;=24),IF(O218&gt;=85,"ممتاز",IF(O218&gt;=75,"جيد جداً",IF(O218&gt;=65,"جيد",IF(O218&gt;=60,"مقبول","راسب")))),"راسب ")</f>
        <v xml:space="preserve">راسب </v>
      </c>
      <c r="Q218" s="28" t="s">
        <v>315</v>
      </c>
      <c r="R218" s="37">
        <v>0</v>
      </c>
      <c r="S218" s="29" t="str">
        <f>IF(R218&gt;=85,"ممتاز",IF(R218&gt;=75,"جيد جدا",IF(R218&gt;=65,"جيد",IF(R218&gt;=60,"مقبول","راسب"))))</f>
        <v>راسب</v>
      </c>
      <c r="T218" s="28" t="s">
        <v>315</v>
      </c>
      <c r="U218" s="29" t="s">
        <v>315</v>
      </c>
      <c r="V218" s="32">
        <f>SUM(E218,H218,K218,O218,R218)</f>
        <v>0</v>
      </c>
      <c r="W218" s="18" t="str">
        <f>IF(AND(H218&gt;=180,E218&gt;=120,O218&gt;=60,K218&gt;=60,R218&gt;=60,D218&gt;=30,N218&gt;=24),IF(V218&gt;=680,"ممتاز",IF(V218&gt;=600,"جيد جدا",IF(V218&gt;=520,"جيد",IF(V218&gt;=480,"مقبول","راسب")))),"راسب")</f>
        <v>راسب</v>
      </c>
      <c r="X218" s="19">
        <f>IF(AND(O218&gt;=60,R218&gt;=60,K218&gt;=60,H218&gt;=180,E218&gt;=120,D218&gt;=30,N218&gt;=24),(V218/800)*100%,0)</f>
        <v>0</v>
      </c>
    </row>
    <row r="219" spans="1:24" x14ac:dyDescent="0.35">
      <c r="A219" s="15">
        <v>210</v>
      </c>
      <c r="B219" s="24">
        <v>14407</v>
      </c>
      <c r="C219" s="24" t="s">
        <v>95</v>
      </c>
      <c r="D219" s="30">
        <v>0</v>
      </c>
      <c r="E219" s="30">
        <v>0</v>
      </c>
      <c r="F219" s="28" t="str">
        <f>IF(AND(D219&gt;=30),IF(E219&gt;=170,"ممتاز",IF(E219&gt;=150,"جيد جداً",IF(E219&gt;=130,"جيد",IF(E219&gt;=120,"مقبول","راسب")))),"راسب ")</f>
        <v xml:space="preserve">راسب </v>
      </c>
      <c r="G219" s="28" t="s">
        <v>315</v>
      </c>
      <c r="H219" s="30">
        <v>181</v>
      </c>
      <c r="I219" s="18" t="str">
        <f>IF(H219&gt;=255,"ممتاز",IF(H219&gt;=225,"جيد جدا",IF(H219&gt;=195,"جيد",IF(H219&gt;=180,"مقبول","راسب"))))</f>
        <v>مقبول</v>
      </c>
      <c r="J219" s="28" t="s">
        <v>200</v>
      </c>
      <c r="K219" s="31">
        <v>72.5</v>
      </c>
      <c r="L219" s="28" t="str">
        <f>IF(K219&gt;=85,"ممتاز",IF(K219&gt;=75,"جيد جدا",IF(K219&gt;=65,"جيد",IF(K219&gt;=60,"مقبول","راسب"))))</f>
        <v>جيد</v>
      </c>
      <c r="M219" s="28" t="s">
        <v>200</v>
      </c>
      <c r="N219" s="17">
        <v>0</v>
      </c>
      <c r="O219" s="37">
        <v>0</v>
      </c>
      <c r="P219" s="29" t="str">
        <f>IF(AND(N219&gt;=24),IF(O219&gt;=85,"ممتاز",IF(O219&gt;=75,"جيد جداً",IF(O219&gt;=65,"جيد",IF(O219&gt;=60,"مقبول","راسب")))),"راسب ")</f>
        <v xml:space="preserve">راسب </v>
      </c>
      <c r="Q219" s="28" t="s">
        <v>315</v>
      </c>
      <c r="R219" s="37">
        <v>0</v>
      </c>
      <c r="S219" s="29" t="str">
        <f>IF(R219&gt;=85,"ممتاز",IF(R219&gt;=75,"جيد جدا",IF(R219&gt;=65,"جيد",IF(R219&gt;=60,"مقبول","راسب"))))</f>
        <v>راسب</v>
      </c>
      <c r="T219" s="28" t="s">
        <v>315</v>
      </c>
      <c r="U219" s="29"/>
      <c r="V219" s="32">
        <f>SUM(E219,H219,K219,O219,R219)</f>
        <v>253.5</v>
      </c>
      <c r="W219" s="18" t="str">
        <f>IF(AND(H219&gt;=180,E219&gt;=120,O219&gt;=60,K219&gt;=60,R219&gt;=60,D219&gt;=30,N219&gt;=24),IF(V219&gt;=680,"ممتاز",IF(V219&gt;=600,"جيد جدا",IF(V219&gt;=520,"جيد",IF(V219&gt;=480,"مقبول","راسب")))),"راسب")</f>
        <v>راسب</v>
      </c>
      <c r="X219" s="19">
        <f>IF(AND(O219&gt;=60,R219&gt;=60,K219&gt;=60,H219&gt;=180,E219&gt;=120,D219&gt;=30,N219&gt;=24),(V219/800)*100%,0)</f>
        <v>0</v>
      </c>
    </row>
    <row r="220" spans="1:24" x14ac:dyDescent="0.35">
      <c r="A220" s="15">
        <v>211</v>
      </c>
      <c r="B220" s="23">
        <v>14519</v>
      </c>
      <c r="C220" s="23" t="s">
        <v>96</v>
      </c>
      <c r="D220" s="30">
        <v>0</v>
      </c>
      <c r="E220" s="30">
        <v>0</v>
      </c>
      <c r="F220" s="28" t="str">
        <f>IF(AND(D220&gt;=30),IF(E220&gt;=170,"ممتاز",IF(E220&gt;=150,"جيد جداً",IF(E220&gt;=130,"جيد",IF(E220&gt;=120,"مقبول","راسب")))),"راسب ")</f>
        <v xml:space="preserve">راسب </v>
      </c>
      <c r="G220" s="28" t="s">
        <v>315</v>
      </c>
      <c r="H220" s="36">
        <v>0</v>
      </c>
      <c r="I220" s="18" t="str">
        <f>IF(H220&gt;=255,"ممتاز",IF(H220&gt;=225,"جيد جدا",IF(H220&gt;=195,"جيد",IF(H220&gt;=180,"مقبول","راسب"))))</f>
        <v>راسب</v>
      </c>
      <c r="J220" s="28" t="s">
        <v>315</v>
      </c>
      <c r="K220" s="37">
        <v>0</v>
      </c>
      <c r="L220" s="28" t="str">
        <f>IF(K220&gt;=85,"ممتاز",IF(K220&gt;=75,"جيد جدا",IF(K220&gt;=65,"جيد",IF(K220&gt;=60,"مقبول","راسب"))))</f>
        <v>راسب</v>
      </c>
      <c r="M220" s="28" t="s">
        <v>315</v>
      </c>
      <c r="N220" s="17">
        <v>0</v>
      </c>
      <c r="O220" s="37">
        <v>0</v>
      </c>
      <c r="P220" s="29" t="str">
        <f>IF(AND(N220&gt;=24),IF(O220&gt;=85,"ممتاز",IF(O220&gt;=75,"جيد جداً",IF(O220&gt;=65,"جيد",IF(O220&gt;=60,"مقبول","راسب")))),"راسب ")</f>
        <v xml:space="preserve">راسب </v>
      </c>
      <c r="Q220" s="28" t="s">
        <v>315</v>
      </c>
      <c r="R220" s="37">
        <v>0</v>
      </c>
      <c r="S220" s="29" t="str">
        <f>IF(R220&gt;=85,"ممتاز",IF(R220&gt;=75,"جيد جدا",IF(R220&gt;=65,"جيد",IF(R220&gt;=60,"مقبول","راسب"))))</f>
        <v>راسب</v>
      </c>
      <c r="T220" s="28" t="s">
        <v>315</v>
      </c>
      <c r="U220" s="29" t="s">
        <v>315</v>
      </c>
      <c r="V220" s="32">
        <f>SUM(E220,H220,K220,O220,R220)</f>
        <v>0</v>
      </c>
      <c r="W220" s="18" t="str">
        <f>IF(AND(H220&gt;=180,E220&gt;=120,O220&gt;=60,K220&gt;=60,R220&gt;=60,D220&gt;=30,N220&gt;=24),IF(V220&gt;=680,"ممتاز",IF(V220&gt;=600,"جيد جدا",IF(V220&gt;=520,"جيد",IF(V220&gt;=480,"مقبول","راسب")))),"راسب")</f>
        <v>راسب</v>
      </c>
      <c r="X220" s="19">
        <f>IF(AND(O220&gt;=60,R220&gt;=60,K220&gt;=60,H220&gt;=180,E220&gt;=120,D220&gt;=30,N220&gt;=24),(V220/800)*100%,0)</f>
        <v>0</v>
      </c>
    </row>
    <row r="221" spans="1:24" x14ac:dyDescent="0.35">
      <c r="A221" s="15">
        <v>212</v>
      </c>
      <c r="B221" s="16">
        <v>14549</v>
      </c>
      <c r="C221" s="16" t="s">
        <v>97</v>
      </c>
      <c r="D221" s="30">
        <v>0</v>
      </c>
      <c r="E221" s="30">
        <v>0</v>
      </c>
      <c r="F221" s="28" t="str">
        <f>IF(AND(D221&gt;=30),IF(E221&gt;=170,"ممتاز",IF(E221&gt;=150,"جيد جداً",IF(E221&gt;=130,"جيد",IF(E221&gt;=120,"مقبول","راسب")))),"راسب ")</f>
        <v xml:space="preserve">راسب </v>
      </c>
      <c r="G221" s="28" t="s">
        <v>315</v>
      </c>
      <c r="H221" s="36">
        <v>0</v>
      </c>
      <c r="I221" s="18" t="str">
        <f>IF(H221&gt;=255,"ممتاز",IF(H221&gt;=225,"جيد جدا",IF(H221&gt;=195,"جيد",IF(H221&gt;=180,"مقبول","راسب"))))</f>
        <v>راسب</v>
      </c>
      <c r="J221" s="28" t="s">
        <v>315</v>
      </c>
      <c r="K221" s="37">
        <v>0</v>
      </c>
      <c r="L221" s="28" t="str">
        <f>IF(K221&gt;=85,"ممتاز",IF(K221&gt;=75,"جيد جدا",IF(K221&gt;=65,"جيد",IF(K221&gt;=60,"مقبول","راسب"))))</f>
        <v>راسب</v>
      </c>
      <c r="M221" s="28" t="s">
        <v>315</v>
      </c>
      <c r="N221" s="17">
        <v>0</v>
      </c>
      <c r="O221" s="37">
        <v>0</v>
      </c>
      <c r="P221" s="29" t="str">
        <f>IF(AND(N221&gt;=24),IF(O221&gt;=85,"ممتاز",IF(O221&gt;=75,"جيد جداً",IF(O221&gt;=65,"جيد",IF(O221&gt;=60,"مقبول","راسب")))),"راسب ")</f>
        <v xml:space="preserve">راسب </v>
      </c>
      <c r="Q221" s="28" t="s">
        <v>315</v>
      </c>
      <c r="R221" s="37">
        <v>0</v>
      </c>
      <c r="S221" s="29" t="str">
        <f>IF(R221&gt;=85,"ممتاز",IF(R221&gt;=75,"جيد جدا",IF(R221&gt;=65,"جيد",IF(R221&gt;=60,"مقبول","راسب"))))</f>
        <v>راسب</v>
      </c>
      <c r="T221" s="28" t="s">
        <v>315</v>
      </c>
      <c r="U221" s="29" t="s">
        <v>315</v>
      </c>
      <c r="V221" s="32">
        <f>SUM(E221,H221,K221,O221,R221)</f>
        <v>0</v>
      </c>
      <c r="W221" s="18" t="str">
        <f>IF(AND(H221&gt;=180,E221&gt;=120,O221&gt;=60,K221&gt;=60,R221&gt;=60,D221&gt;=30,N221&gt;=24),IF(V221&gt;=680,"ممتاز",IF(V221&gt;=600,"جيد جدا",IF(V221&gt;=520,"جيد",IF(V221&gt;=480,"مقبول","راسب")))),"راسب")</f>
        <v>راسب</v>
      </c>
      <c r="X221" s="19">
        <f>IF(AND(O221&gt;=60,R221&gt;=60,K221&gt;=60,H221&gt;=180,E221&gt;=120,D221&gt;=30,N221&gt;=24),(V221/800)*100%,0)</f>
        <v>0</v>
      </c>
    </row>
    <row r="222" spans="1:24" x14ac:dyDescent="0.35">
      <c r="A222" s="15">
        <v>213</v>
      </c>
      <c r="B222" s="15">
        <v>14563</v>
      </c>
      <c r="C222" s="15" t="s">
        <v>98</v>
      </c>
      <c r="D222" s="30">
        <v>0</v>
      </c>
      <c r="E222" s="30">
        <v>0</v>
      </c>
      <c r="F222" s="28" t="str">
        <f>IF(AND(D222&gt;=30),IF(E222&gt;=170,"ممتاز",IF(E222&gt;=150,"جيد جداً",IF(E222&gt;=130,"جيد",IF(E222&gt;=120,"مقبول","راسب")))),"راسب ")</f>
        <v xml:space="preserve">راسب </v>
      </c>
      <c r="G222" s="28" t="s">
        <v>315</v>
      </c>
      <c r="H222" s="36">
        <v>0</v>
      </c>
      <c r="I222" s="18" t="str">
        <f>IF(H222&gt;=255,"ممتاز",IF(H222&gt;=225,"جيد جدا",IF(H222&gt;=195,"جيد",IF(H222&gt;=180,"مقبول","راسب"))))</f>
        <v>راسب</v>
      </c>
      <c r="J222" s="28" t="s">
        <v>315</v>
      </c>
      <c r="K222" s="37">
        <v>0</v>
      </c>
      <c r="L222" s="28" t="str">
        <f>IF(K222&gt;=85,"ممتاز",IF(K222&gt;=75,"جيد جدا",IF(K222&gt;=65,"جيد",IF(K222&gt;=60,"مقبول","راسب"))))</f>
        <v>راسب</v>
      </c>
      <c r="M222" s="28" t="s">
        <v>315</v>
      </c>
      <c r="N222" s="17">
        <v>0</v>
      </c>
      <c r="O222" s="37">
        <v>0</v>
      </c>
      <c r="P222" s="29" t="str">
        <f>IF(AND(N222&gt;=24),IF(O222&gt;=85,"ممتاز",IF(O222&gt;=75,"جيد جداً",IF(O222&gt;=65,"جيد",IF(O222&gt;=60,"مقبول","راسب")))),"راسب ")</f>
        <v xml:space="preserve">راسب </v>
      </c>
      <c r="Q222" s="28" t="s">
        <v>315</v>
      </c>
      <c r="R222" s="37">
        <v>0</v>
      </c>
      <c r="S222" s="29" t="str">
        <f>IF(R222&gt;=85,"ممتاز",IF(R222&gt;=75,"جيد جدا",IF(R222&gt;=65,"جيد",IF(R222&gt;=60,"مقبول","راسب"))))</f>
        <v>راسب</v>
      </c>
      <c r="T222" s="28" t="s">
        <v>315</v>
      </c>
      <c r="U222" s="29" t="s">
        <v>315</v>
      </c>
      <c r="V222" s="32">
        <f>SUM(E222,H222,K222,O222,R222)</f>
        <v>0</v>
      </c>
      <c r="W222" s="18" t="str">
        <f>IF(AND(H222&gt;=180,E222&gt;=120,O222&gt;=60,K222&gt;=60,R222&gt;=60,D222&gt;=30,N222&gt;=24),IF(V222&gt;=680,"ممتاز",IF(V222&gt;=600,"جيد جدا",IF(V222&gt;=520,"جيد",IF(V222&gt;=480,"مقبول","راسب")))),"راسب")</f>
        <v>راسب</v>
      </c>
      <c r="X222" s="19">
        <f>IF(AND(O222&gt;=60,R222&gt;=60,K222&gt;=60,H222&gt;=180,E222&gt;=120,D222&gt;=30,N222&gt;=24),(V222/800)*100%,0)</f>
        <v>0</v>
      </c>
    </row>
    <row r="223" spans="1:24" x14ac:dyDescent="0.35">
      <c r="A223" s="15">
        <v>214</v>
      </c>
      <c r="B223" s="23">
        <v>14687</v>
      </c>
      <c r="C223" s="23" t="s">
        <v>99</v>
      </c>
      <c r="D223" s="30">
        <v>0</v>
      </c>
      <c r="E223" s="30">
        <v>0</v>
      </c>
      <c r="F223" s="28" t="str">
        <f>IF(AND(D223&gt;=30),IF(E223&gt;=170,"ممتاز",IF(E223&gt;=150,"جيد جداً",IF(E223&gt;=130,"جيد",IF(E223&gt;=120,"مقبول","راسب")))),"راسب ")</f>
        <v xml:space="preserve">راسب </v>
      </c>
      <c r="G223" s="28" t="s">
        <v>315</v>
      </c>
      <c r="H223" s="36">
        <v>0</v>
      </c>
      <c r="I223" s="18" t="str">
        <f>IF(H223&gt;=255,"ممتاز",IF(H223&gt;=225,"جيد جدا",IF(H223&gt;=195,"جيد",IF(H223&gt;=180,"مقبول","راسب"))))</f>
        <v>راسب</v>
      </c>
      <c r="J223" s="28" t="s">
        <v>315</v>
      </c>
      <c r="K223" s="37">
        <v>0</v>
      </c>
      <c r="L223" s="28" t="str">
        <f>IF(K223&gt;=85,"ممتاز",IF(K223&gt;=75,"جيد جدا",IF(K223&gt;=65,"جيد",IF(K223&gt;=60,"مقبول","راسب"))))</f>
        <v>راسب</v>
      </c>
      <c r="M223" s="28" t="s">
        <v>315</v>
      </c>
      <c r="N223" s="17">
        <v>0</v>
      </c>
      <c r="O223" s="37">
        <v>0</v>
      </c>
      <c r="P223" s="29" t="str">
        <f>IF(AND(N223&gt;=24),IF(O223&gt;=85,"ممتاز",IF(O223&gt;=75,"جيد جداً",IF(O223&gt;=65,"جيد",IF(O223&gt;=60,"مقبول","راسب")))),"راسب ")</f>
        <v xml:space="preserve">راسب </v>
      </c>
      <c r="Q223" s="28" t="s">
        <v>315</v>
      </c>
      <c r="R223" s="37">
        <v>0</v>
      </c>
      <c r="S223" s="29" t="str">
        <f>IF(R223&gt;=85,"ممتاز",IF(R223&gt;=75,"جيد جدا",IF(R223&gt;=65,"جيد",IF(R223&gt;=60,"مقبول","راسب"))))</f>
        <v>راسب</v>
      </c>
      <c r="T223" s="28" t="s">
        <v>315</v>
      </c>
      <c r="U223" s="29" t="s">
        <v>315</v>
      </c>
      <c r="V223" s="32">
        <f>SUM(E223,H223,K223,O223,R223)</f>
        <v>0</v>
      </c>
      <c r="W223" s="18" t="str">
        <f>IF(AND(H223&gt;=180,E223&gt;=120,O223&gt;=60,K223&gt;=60,R223&gt;=60,D223&gt;=30,N223&gt;=24),IF(V223&gt;=680,"ممتاز",IF(V223&gt;=600,"جيد جدا",IF(V223&gt;=520,"جيد",IF(V223&gt;=480,"مقبول","راسب")))),"راسب")</f>
        <v>راسب</v>
      </c>
      <c r="X223" s="19">
        <f>IF(AND(O223&gt;=60,R223&gt;=60,K223&gt;=60,H223&gt;=180,E223&gt;=120,D223&gt;=30,N223&gt;=24),(V223/800)*100%,0)</f>
        <v>0</v>
      </c>
    </row>
    <row r="224" spans="1:24" x14ac:dyDescent="0.35">
      <c r="A224" s="15">
        <v>215</v>
      </c>
      <c r="B224" s="15">
        <v>14768</v>
      </c>
      <c r="C224" s="15" t="s">
        <v>100</v>
      </c>
      <c r="D224" s="30">
        <v>0</v>
      </c>
      <c r="E224" s="30">
        <v>0</v>
      </c>
      <c r="F224" s="28" t="str">
        <f>IF(AND(D224&gt;=30),IF(E224&gt;=170,"ممتاز",IF(E224&gt;=150,"جيد جداً",IF(E224&gt;=130,"جيد",IF(E224&gt;=120,"مقبول","راسب")))),"راسب ")</f>
        <v xml:space="preserve">راسب </v>
      </c>
      <c r="G224" s="28" t="s">
        <v>315</v>
      </c>
      <c r="H224" s="30">
        <v>204</v>
      </c>
      <c r="I224" s="18" t="str">
        <f>IF(H224&gt;=255,"ممتاز",IF(H224&gt;=225,"جيد جدا",IF(H224&gt;=195,"جيد",IF(H224&gt;=180,"مقبول","راسب"))))</f>
        <v>جيد</v>
      </c>
      <c r="J224" s="28" t="s">
        <v>200</v>
      </c>
      <c r="K224" s="37">
        <v>0</v>
      </c>
      <c r="L224" s="28" t="str">
        <f>IF(K224&gt;=85,"ممتاز",IF(K224&gt;=75,"جيد جدا",IF(K224&gt;=65,"جيد",IF(K224&gt;=60,"مقبول","راسب"))))</f>
        <v>راسب</v>
      </c>
      <c r="M224" s="28" t="s">
        <v>315</v>
      </c>
      <c r="N224" s="17">
        <v>0</v>
      </c>
      <c r="O224" s="37">
        <v>0</v>
      </c>
      <c r="P224" s="29" t="str">
        <f>IF(AND(N224&gt;=24),IF(O224&gt;=85,"ممتاز",IF(O224&gt;=75,"جيد جداً",IF(O224&gt;=65,"جيد",IF(O224&gt;=60,"مقبول","راسب")))),"راسب ")</f>
        <v xml:space="preserve">راسب </v>
      </c>
      <c r="Q224" s="28" t="s">
        <v>315</v>
      </c>
      <c r="R224" s="37">
        <v>0</v>
      </c>
      <c r="S224" s="29" t="str">
        <f>IF(R224&gt;=85,"ممتاز",IF(R224&gt;=75,"جيد جدا",IF(R224&gt;=65,"جيد",IF(R224&gt;=60,"مقبول","راسب"))))</f>
        <v>راسب</v>
      </c>
      <c r="T224" s="28" t="s">
        <v>315</v>
      </c>
      <c r="U224" s="29"/>
      <c r="V224" s="32">
        <f>SUM(E224,H224,K224,O224,R224)</f>
        <v>204</v>
      </c>
      <c r="W224" s="18" t="str">
        <f>IF(AND(H224&gt;=180,E224&gt;=120,O224&gt;=60,K224&gt;=60,R224&gt;=60,D224&gt;=30,N224&gt;=24),IF(V224&gt;=680,"ممتاز",IF(V224&gt;=600,"جيد جدا",IF(V224&gt;=520,"جيد",IF(V224&gt;=480,"مقبول","راسب")))),"راسب")</f>
        <v>راسب</v>
      </c>
      <c r="X224" s="19">
        <f>IF(AND(O224&gt;=60,R224&gt;=60,K224&gt;=60,H224&gt;=180,E224&gt;=120,D224&gt;=30,N224&gt;=24),(V224/800)*100%,0)</f>
        <v>0</v>
      </c>
    </row>
    <row r="225" spans="1:24" x14ac:dyDescent="0.35">
      <c r="A225" s="15">
        <v>216</v>
      </c>
      <c r="B225" s="23">
        <v>14894</v>
      </c>
      <c r="C225" s="23" t="s">
        <v>101</v>
      </c>
      <c r="D225" s="30">
        <v>49.8</v>
      </c>
      <c r="E225" s="30">
        <v>136.24</v>
      </c>
      <c r="F225" s="28" t="str">
        <f>IF(AND(D225&gt;=30),IF(E225&gt;=170,"ممتاز",IF(E225&gt;=150,"جيد جداً",IF(E225&gt;=130,"جيد",IF(E225&gt;=120,"مقبول","راسب")))),"راسب ")</f>
        <v>جيد</v>
      </c>
      <c r="G225" s="28" t="s">
        <v>200</v>
      </c>
      <c r="H225" s="36">
        <v>0</v>
      </c>
      <c r="I225" s="18" t="str">
        <f>IF(H225&gt;=255,"ممتاز",IF(H225&gt;=225,"جيد جدا",IF(H225&gt;=195,"جيد",IF(H225&gt;=180,"مقبول","راسب"))))</f>
        <v>راسب</v>
      </c>
      <c r="J225" s="28" t="s">
        <v>315</v>
      </c>
      <c r="K225" s="31">
        <v>63.29</v>
      </c>
      <c r="L225" s="28" t="str">
        <f>IF(K225&gt;=85,"ممتاز",IF(K225&gt;=75,"جيد جدا",IF(K225&gt;=65,"جيد",IF(K225&gt;=60,"مقبول","راسب"))))</f>
        <v>مقبول</v>
      </c>
      <c r="M225" s="28" t="s">
        <v>200</v>
      </c>
      <c r="N225" s="17">
        <v>24</v>
      </c>
      <c r="O225" s="37">
        <v>71.875</v>
      </c>
      <c r="P225" s="29" t="str">
        <f>IF(AND(N225&gt;=24),IF(O225&gt;=85,"ممتاز",IF(O225&gt;=75,"جيد جداً",IF(O225&gt;=65,"جيد",IF(O225&gt;=60,"مقبول","راسب")))),"راسب ")</f>
        <v>جيد</v>
      </c>
      <c r="Q225" s="28" t="s">
        <v>316</v>
      </c>
      <c r="R225" s="37">
        <v>0</v>
      </c>
      <c r="S225" s="29" t="str">
        <f>IF(R225&gt;=85,"ممتاز",IF(R225&gt;=75,"جيد جدا",IF(R225&gt;=65,"جيد",IF(R225&gt;=60,"مقبول","راسب"))))</f>
        <v>راسب</v>
      </c>
      <c r="T225" s="28" t="s">
        <v>315</v>
      </c>
      <c r="U225" s="29"/>
      <c r="V225" s="32">
        <f>SUM(E225,H225,K225,O225,R225)</f>
        <v>271.40499999999997</v>
      </c>
      <c r="W225" s="18" t="str">
        <f>IF(AND(H225&gt;=180,E225&gt;=120,O225&gt;=60,K225&gt;=60,R225&gt;=60,D225&gt;=30,N225&gt;=24),IF(V225&gt;=680,"ممتاز",IF(V225&gt;=600,"جيد جدا",IF(V225&gt;=520,"جيد",IF(V225&gt;=480,"مقبول","راسب")))),"راسب")</f>
        <v>راسب</v>
      </c>
      <c r="X225" s="19">
        <f>IF(AND(O225&gt;=60,R225&gt;=60,K225&gt;=60,H225&gt;=180,E225&gt;=120,D225&gt;=30,N225&gt;=24),(V225/800)*100%,0)</f>
        <v>0</v>
      </c>
    </row>
    <row r="226" spans="1:24" x14ac:dyDescent="0.35">
      <c r="A226" s="15">
        <v>217</v>
      </c>
      <c r="B226" s="23">
        <v>15087</v>
      </c>
      <c r="C226" s="23" t="s">
        <v>102</v>
      </c>
      <c r="D226" s="30">
        <v>0</v>
      </c>
      <c r="E226" s="30">
        <v>0</v>
      </c>
      <c r="F226" s="28" t="str">
        <f>IF(AND(D226&gt;=30),IF(E226&gt;=170,"ممتاز",IF(E226&gt;=150,"جيد جداً",IF(E226&gt;=130,"جيد",IF(E226&gt;=120,"مقبول","راسب")))),"راسب ")</f>
        <v xml:space="preserve">راسب </v>
      </c>
      <c r="G226" s="28" t="s">
        <v>315</v>
      </c>
      <c r="H226" s="36">
        <v>0</v>
      </c>
      <c r="I226" s="18" t="str">
        <f>IF(H226&gt;=255,"ممتاز",IF(H226&gt;=225,"جيد جدا",IF(H226&gt;=195,"جيد",IF(H226&gt;=180,"مقبول","راسب"))))</f>
        <v>راسب</v>
      </c>
      <c r="J226" s="28" t="s">
        <v>315</v>
      </c>
      <c r="K226" s="37">
        <v>0</v>
      </c>
      <c r="L226" s="28" t="str">
        <f>IF(K226&gt;=85,"ممتاز",IF(K226&gt;=75,"جيد جدا",IF(K226&gt;=65,"جيد",IF(K226&gt;=60,"مقبول","راسب"))))</f>
        <v>راسب</v>
      </c>
      <c r="M226" s="28" t="s">
        <v>315</v>
      </c>
      <c r="N226" s="17">
        <v>0</v>
      </c>
      <c r="O226" s="37">
        <v>0</v>
      </c>
      <c r="P226" s="29" t="str">
        <f>IF(AND(N226&gt;=24),IF(O226&gt;=85,"ممتاز",IF(O226&gt;=75,"جيد جداً",IF(O226&gt;=65,"جيد",IF(O226&gt;=60,"مقبول","راسب")))),"راسب ")</f>
        <v xml:space="preserve">راسب </v>
      </c>
      <c r="Q226" s="28" t="s">
        <v>315</v>
      </c>
      <c r="R226" s="37">
        <v>0</v>
      </c>
      <c r="S226" s="29" t="str">
        <f>IF(R226&gt;=85,"ممتاز",IF(R226&gt;=75,"جيد جدا",IF(R226&gt;=65,"جيد",IF(R226&gt;=60,"مقبول","راسب"))))</f>
        <v>راسب</v>
      </c>
      <c r="T226" s="28" t="s">
        <v>315</v>
      </c>
      <c r="U226" s="29" t="s">
        <v>315</v>
      </c>
      <c r="V226" s="32">
        <f>SUM(E226,H226,K226,O226,R226)</f>
        <v>0</v>
      </c>
      <c r="W226" s="18" t="str">
        <f>IF(AND(H226&gt;=180,E226&gt;=120,O226&gt;=60,K226&gt;=60,R226&gt;=60,D226&gt;=30,N226&gt;=24),IF(V226&gt;=680,"ممتاز",IF(V226&gt;=600,"جيد جدا",IF(V226&gt;=520,"جيد",IF(V226&gt;=480,"مقبول","راسب")))),"راسب")</f>
        <v>راسب</v>
      </c>
      <c r="X226" s="19">
        <f>IF(AND(O226&gt;=60,R226&gt;=60,K226&gt;=60,H226&gt;=180,E226&gt;=120,D226&gt;=30,N226&gt;=24),(V226/800)*100%,0)</f>
        <v>0</v>
      </c>
    </row>
    <row r="227" spans="1:24" x14ac:dyDescent="0.35">
      <c r="A227" s="15">
        <v>218</v>
      </c>
      <c r="B227" s="24">
        <v>15117</v>
      </c>
      <c r="C227" s="20" t="s">
        <v>103</v>
      </c>
      <c r="D227" s="30">
        <v>0</v>
      </c>
      <c r="E227" s="30">
        <v>0</v>
      </c>
      <c r="F227" s="28" t="str">
        <f>IF(AND(D227&gt;=30),IF(E227&gt;=170,"ممتاز",IF(E227&gt;=150,"جيد جداً",IF(E227&gt;=130,"جيد",IF(E227&gt;=120,"مقبول","راسب")))),"راسب ")</f>
        <v xml:space="preserve">راسب </v>
      </c>
      <c r="G227" s="28" t="s">
        <v>315</v>
      </c>
      <c r="H227" s="36">
        <v>0</v>
      </c>
      <c r="I227" s="18" t="str">
        <f>IF(H227&gt;=255,"ممتاز",IF(H227&gt;=225,"جيد جدا",IF(H227&gt;=195,"جيد",IF(H227&gt;=180,"مقبول","راسب"))))</f>
        <v>راسب</v>
      </c>
      <c r="J227" s="28" t="s">
        <v>315</v>
      </c>
      <c r="K227" s="31">
        <v>70</v>
      </c>
      <c r="L227" s="28" t="str">
        <f>IF(K227&gt;=85,"ممتاز",IF(K227&gt;=75,"جيد جدا",IF(K227&gt;=65,"جيد",IF(K227&gt;=60,"مقبول","راسب"))))</f>
        <v>جيد</v>
      </c>
      <c r="M227" s="28" t="s">
        <v>200</v>
      </c>
      <c r="N227" s="17">
        <v>0</v>
      </c>
      <c r="O227" s="37">
        <v>0</v>
      </c>
      <c r="P227" s="29" t="str">
        <f>IF(AND(N227&gt;=24),IF(O227&gt;=85,"ممتاز",IF(O227&gt;=75,"جيد جداً",IF(O227&gt;=65,"جيد",IF(O227&gt;=60,"مقبول","راسب")))),"راسب ")</f>
        <v xml:space="preserve">راسب </v>
      </c>
      <c r="Q227" s="28" t="s">
        <v>315</v>
      </c>
      <c r="R227" s="37">
        <v>0</v>
      </c>
      <c r="S227" s="29" t="str">
        <f>IF(R227&gt;=85,"ممتاز",IF(R227&gt;=75,"جيد جدا",IF(R227&gt;=65,"جيد",IF(R227&gt;=60,"مقبول","راسب"))))</f>
        <v>راسب</v>
      </c>
      <c r="T227" s="28" t="s">
        <v>315</v>
      </c>
      <c r="U227" s="29"/>
      <c r="V227" s="32">
        <f>SUM(E227,H227,K227,O227,R227)</f>
        <v>70</v>
      </c>
      <c r="W227" s="18" t="str">
        <f>IF(AND(H227&gt;=180,E227&gt;=120,O227&gt;=60,K227&gt;=60,R227&gt;=60,D227&gt;=30,N227&gt;=24),IF(V227&gt;=680,"ممتاز",IF(V227&gt;=600,"جيد جدا",IF(V227&gt;=520,"جيد",IF(V227&gt;=480,"مقبول","راسب")))),"راسب")</f>
        <v>راسب</v>
      </c>
      <c r="X227" s="19">
        <f>IF(AND(O227&gt;=60,R227&gt;=60,K227&gt;=60,H227&gt;=180,E227&gt;=120,D227&gt;=30,N227&gt;=24),(V227/800)*100%,0)</f>
        <v>0</v>
      </c>
    </row>
    <row r="228" spans="1:24" x14ac:dyDescent="0.35">
      <c r="A228" s="15">
        <v>219</v>
      </c>
      <c r="B228" s="23">
        <v>15118</v>
      </c>
      <c r="C228" s="23" t="s">
        <v>155</v>
      </c>
      <c r="D228" s="30">
        <v>33</v>
      </c>
      <c r="E228" s="30">
        <v>85.25</v>
      </c>
      <c r="F228" s="28" t="str">
        <f>IF(AND(D228&gt;=30),IF(E228&gt;=170,"ممتاز",IF(E228&gt;=150,"جيد جداً",IF(E228&gt;=130,"جيد",IF(E228&gt;=120,"مقبول","راسب")))),"راسب ")</f>
        <v>راسب</v>
      </c>
      <c r="G228" s="28" t="s">
        <v>316</v>
      </c>
      <c r="H228" s="36">
        <v>110</v>
      </c>
      <c r="I228" s="18" t="str">
        <f>IF(H228&gt;=255,"ممتاز",IF(H228&gt;=225,"جيد جدا",IF(H228&gt;=195,"جيد",IF(H228&gt;=180,"مقبول","راسب"))))</f>
        <v>راسب</v>
      </c>
      <c r="J228" s="28" t="s">
        <v>316</v>
      </c>
      <c r="K228" s="37">
        <v>29</v>
      </c>
      <c r="L228" s="28" t="str">
        <f>IF(K228&gt;=85,"ممتاز",IF(K228&gt;=75,"جيد جدا",IF(K228&gt;=65,"جيد",IF(K228&gt;=60,"مقبول","راسب"))))</f>
        <v>راسب</v>
      </c>
      <c r="M228" s="28" t="s">
        <v>316</v>
      </c>
      <c r="N228" s="17">
        <v>0</v>
      </c>
      <c r="O228" s="37">
        <v>0</v>
      </c>
      <c r="P228" s="29" t="str">
        <f>IF(AND(N228&gt;=24),IF(O228&gt;=85,"ممتاز",IF(O228&gt;=75,"جيد جداً",IF(O228&gt;=65,"جيد",IF(O228&gt;=60,"مقبول","راسب")))),"راسب ")</f>
        <v xml:space="preserve">راسب </v>
      </c>
      <c r="Q228" s="28" t="s">
        <v>315</v>
      </c>
      <c r="R228" s="37">
        <v>0</v>
      </c>
      <c r="S228" s="29" t="str">
        <f>IF(R228&gt;=85,"ممتاز",IF(R228&gt;=75,"جيد جدا",IF(R228&gt;=65,"جيد",IF(R228&gt;=60,"مقبول","راسب"))))</f>
        <v>راسب</v>
      </c>
      <c r="T228" s="28" t="s">
        <v>315</v>
      </c>
      <c r="U228" s="29"/>
      <c r="V228" s="32">
        <f>SUM(E228,H228,K228,O228,R228)</f>
        <v>224.25</v>
      </c>
      <c r="W228" s="18" t="str">
        <f>IF(AND(H228&gt;=180,E228&gt;=120,O228&gt;=60,K228&gt;=60,R228&gt;=60,D228&gt;=30,N228&gt;=24),IF(V228&gt;=680,"ممتاز",IF(V228&gt;=600,"جيد جدا",IF(V228&gt;=520,"جيد",IF(V228&gt;=480,"مقبول","راسب")))),"راسب")</f>
        <v>راسب</v>
      </c>
      <c r="X228" s="19">
        <f>IF(AND(O228&gt;=60,R228&gt;=60,K228&gt;=60,H228&gt;=180,E228&gt;=120,D228&gt;=30,N228&gt;=24),(V228/800)*100%,0)</f>
        <v>0</v>
      </c>
    </row>
    <row r="229" spans="1:24" x14ac:dyDescent="0.35">
      <c r="A229" s="15">
        <v>220</v>
      </c>
      <c r="B229" s="23">
        <v>15137</v>
      </c>
      <c r="C229" s="23" t="s">
        <v>105</v>
      </c>
      <c r="D229" s="30">
        <v>0</v>
      </c>
      <c r="E229" s="30">
        <v>0</v>
      </c>
      <c r="F229" s="28" t="str">
        <f>IF(AND(D229&gt;=30),IF(E229&gt;=170,"ممتاز",IF(E229&gt;=150,"جيد جداً",IF(E229&gt;=130,"جيد",IF(E229&gt;=120,"مقبول","راسب")))),"راسب ")</f>
        <v xml:space="preserve">راسب </v>
      </c>
      <c r="G229" s="28" t="s">
        <v>315</v>
      </c>
      <c r="H229" s="36">
        <v>0</v>
      </c>
      <c r="I229" s="18" t="str">
        <f>IF(H229&gt;=255,"ممتاز",IF(H229&gt;=225,"جيد جدا",IF(H229&gt;=195,"جيد",IF(H229&gt;=180,"مقبول","راسب"))))</f>
        <v>راسب</v>
      </c>
      <c r="J229" s="28" t="s">
        <v>315</v>
      </c>
      <c r="K229" s="32">
        <v>76</v>
      </c>
      <c r="L229" s="28" t="str">
        <f>IF(K229&gt;=85,"ممتاز",IF(K229&gt;=75,"جيد جدا",IF(K229&gt;=65,"جيد",IF(K229&gt;=60,"مقبول","راسب"))))</f>
        <v>جيد جدا</v>
      </c>
      <c r="M229" s="28" t="s">
        <v>200</v>
      </c>
      <c r="N229" s="17">
        <v>0</v>
      </c>
      <c r="O229" s="37">
        <v>0</v>
      </c>
      <c r="P229" s="29" t="str">
        <f>IF(AND(N229&gt;=24),IF(O229&gt;=85,"ممتاز",IF(O229&gt;=75,"جيد جداً",IF(O229&gt;=65,"جيد",IF(O229&gt;=60,"مقبول","راسب")))),"راسب ")</f>
        <v xml:space="preserve">راسب </v>
      </c>
      <c r="Q229" s="28" t="s">
        <v>315</v>
      </c>
      <c r="R229" s="37">
        <v>0</v>
      </c>
      <c r="S229" s="29" t="str">
        <f>IF(R229&gt;=85,"ممتاز",IF(R229&gt;=75,"جيد جدا",IF(R229&gt;=65,"جيد",IF(R229&gt;=60,"مقبول","راسب"))))</f>
        <v>راسب</v>
      </c>
      <c r="T229" s="28" t="s">
        <v>315</v>
      </c>
      <c r="U229" s="29"/>
      <c r="V229" s="32">
        <f>SUM(E229,H229,K229,O229,R229)</f>
        <v>76</v>
      </c>
      <c r="W229" s="18" t="str">
        <f>IF(AND(H229&gt;=180,E229&gt;=120,O229&gt;=60,K229&gt;=60,R229&gt;=60,D229&gt;=30,N229&gt;=24),IF(V229&gt;=680,"ممتاز",IF(V229&gt;=600,"جيد جدا",IF(V229&gt;=520,"جيد",IF(V229&gt;=480,"مقبول","راسب")))),"راسب")</f>
        <v>راسب</v>
      </c>
      <c r="X229" s="19">
        <f>IF(AND(O229&gt;=60,R229&gt;=60,K229&gt;=60,H229&gt;=180,E229&gt;=120,D229&gt;=30,N229&gt;=24),(V229/800)*100%,0)</f>
        <v>0</v>
      </c>
    </row>
    <row r="230" spans="1:24" x14ac:dyDescent="0.35">
      <c r="A230" s="15">
        <v>221</v>
      </c>
      <c r="B230" s="15">
        <v>15236</v>
      </c>
      <c r="C230" s="15" t="s">
        <v>156</v>
      </c>
      <c r="D230" s="30">
        <v>41</v>
      </c>
      <c r="E230" s="30">
        <v>120</v>
      </c>
      <c r="F230" s="28" t="str">
        <f>IF(AND(D230&gt;=30),IF(E230&gt;=170,"ممتاز",IF(E230&gt;=150,"جيد جداً",IF(E230&gt;=130,"جيد",IF(E230&gt;=120,"مقبول","راسب")))),"راسب ")</f>
        <v>مقبول</v>
      </c>
      <c r="G230" s="28" t="s">
        <v>200</v>
      </c>
      <c r="H230" s="30">
        <v>191.3</v>
      </c>
      <c r="I230" s="18" t="str">
        <f>IF(H230&gt;=255,"ممتاز",IF(H230&gt;=225,"جيد جدا",IF(H230&gt;=195,"جيد",IF(H230&gt;=180,"مقبول","راسب"))))</f>
        <v>مقبول</v>
      </c>
      <c r="J230" s="28" t="s">
        <v>200</v>
      </c>
      <c r="K230" s="31">
        <v>68</v>
      </c>
      <c r="L230" s="28" t="str">
        <f>IF(K230&gt;=85,"ممتاز",IF(K230&gt;=75,"جيد جدا",IF(K230&gt;=65,"جيد",IF(K230&gt;=60,"مقبول","راسب"))))</f>
        <v>جيد</v>
      </c>
      <c r="M230" s="28" t="s">
        <v>200</v>
      </c>
      <c r="N230" s="17">
        <v>0</v>
      </c>
      <c r="O230" s="37">
        <v>0</v>
      </c>
      <c r="P230" s="29" t="str">
        <f>IF(AND(N230&gt;=24),IF(O230&gt;=85,"ممتاز",IF(O230&gt;=75,"جيد جداً",IF(O230&gt;=65,"جيد",IF(O230&gt;=60,"مقبول","راسب")))),"راسب ")</f>
        <v xml:space="preserve">راسب </v>
      </c>
      <c r="Q230" s="28" t="s">
        <v>315</v>
      </c>
      <c r="R230" s="37">
        <v>0</v>
      </c>
      <c r="S230" s="29" t="str">
        <f>IF(R230&gt;=85,"ممتاز",IF(R230&gt;=75,"جيد جدا",IF(R230&gt;=65,"جيد",IF(R230&gt;=60,"مقبول","راسب"))))</f>
        <v>راسب</v>
      </c>
      <c r="T230" s="28" t="s">
        <v>315</v>
      </c>
      <c r="U230" s="29"/>
      <c r="V230" s="32">
        <f>SUM(E230,H230,K230,O230,R230)</f>
        <v>379.3</v>
      </c>
      <c r="W230" s="18" t="str">
        <f>IF(AND(H230&gt;=180,E230&gt;=120,O230&gt;=60,K230&gt;=60,R230&gt;=60,D230&gt;=30,N230&gt;=24),IF(V230&gt;=680,"ممتاز",IF(V230&gt;=600,"جيد جدا",IF(V230&gt;=520,"جيد",IF(V230&gt;=480,"مقبول","راسب")))),"راسب")</f>
        <v>راسب</v>
      </c>
      <c r="X230" s="19">
        <f>IF(AND(O230&gt;=60,R230&gt;=60,K230&gt;=60,H230&gt;=180,E230&gt;=120,D230&gt;=30,N230&gt;=24),(V230/800)*100%,0)</f>
        <v>0</v>
      </c>
    </row>
    <row r="231" spans="1:24" x14ac:dyDescent="0.35">
      <c r="A231" s="15">
        <v>222</v>
      </c>
      <c r="B231" s="23">
        <v>15255</v>
      </c>
      <c r="C231" s="23" t="s">
        <v>217</v>
      </c>
      <c r="D231" s="30">
        <v>37.25</v>
      </c>
      <c r="E231" s="32">
        <v>132.4</v>
      </c>
      <c r="F231" s="28" t="str">
        <f>IF(AND(D231&gt;=30),IF(E231&gt;=170,"ممتاز",IF(E231&gt;=150,"جيد جداً",IF(E231&gt;=130,"جيد",IF(E231&gt;=120,"مقبول","راسب")))),"راسب ")</f>
        <v>جيد</v>
      </c>
      <c r="G231" s="28" t="s">
        <v>200</v>
      </c>
      <c r="H231" s="36">
        <v>180</v>
      </c>
      <c r="I231" s="18" t="str">
        <f>IF(H231&gt;=255,"ممتاز",IF(H231&gt;=225,"جيد جدا",IF(H231&gt;=195,"جيد",IF(H231&gt;=180,"مقبول","راسب"))))</f>
        <v>مقبول</v>
      </c>
      <c r="J231" s="28" t="s">
        <v>200</v>
      </c>
      <c r="K231" s="37">
        <v>73.150000000000006</v>
      </c>
      <c r="L231" s="28" t="str">
        <f>IF(K231&gt;=85,"ممتاز",IF(K231&gt;=75,"جيد جدا",IF(K231&gt;=65,"جيد",IF(K231&gt;=60,"مقبول","راسب"))))</f>
        <v>جيد</v>
      </c>
      <c r="M231" s="28" t="s">
        <v>200</v>
      </c>
      <c r="N231" s="17">
        <v>24</v>
      </c>
      <c r="O231" s="37">
        <v>61.5</v>
      </c>
      <c r="P231" s="29" t="str">
        <f>IF(AND(N231&gt;=24),IF(O231&gt;=85,"ممتاز",IF(O231&gt;=75,"جيد جداً",IF(O231&gt;=65,"جيد",IF(O231&gt;=60,"مقبول","راسب")))),"راسب ")</f>
        <v>مقبول</v>
      </c>
      <c r="Q231" s="28" t="s">
        <v>200</v>
      </c>
      <c r="R231" s="37">
        <v>0</v>
      </c>
      <c r="S231" s="29" t="str">
        <f>IF(R231&gt;=85,"ممتاز",IF(R231&gt;=75,"جيد جدا",IF(R231&gt;=65,"جيد",IF(R231&gt;=60,"مقبول","راسب"))))</f>
        <v>راسب</v>
      </c>
      <c r="T231" s="28" t="s">
        <v>315</v>
      </c>
      <c r="U231" s="29"/>
      <c r="V231" s="32">
        <f>SUM(E231,H231,K231,O231,R231)</f>
        <v>447.04999999999995</v>
      </c>
      <c r="W231" s="18" t="str">
        <f>IF(AND(H231&gt;=180,E231&gt;=120,O231&gt;=60,K231&gt;=60,R231&gt;=60,D231&gt;=30,N231&gt;=24),IF(V231&gt;=680,"ممتاز",IF(V231&gt;=600,"جيد جدا",IF(V231&gt;=520,"جيد",IF(V231&gt;=480,"مقبول","راسب")))),"راسب")</f>
        <v>راسب</v>
      </c>
      <c r="X231" s="19">
        <f>IF(AND(O231&gt;=60,R231&gt;=60,K231&gt;=60,H231&gt;=180,E231&gt;=120,D231&gt;=30,N231&gt;=24),(V231/800)*100%,0)</f>
        <v>0</v>
      </c>
    </row>
    <row r="232" spans="1:24" x14ac:dyDescent="0.35">
      <c r="A232" s="15">
        <v>223</v>
      </c>
      <c r="B232" s="23">
        <v>15301</v>
      </c>
      <c r="C232" s="23" t="s">
        <v>157</v>
      </c>
      <c r="D232" s="30">
        <v>42.6</v>
      </c>
      <c r="E232" s="30">
        <v>124.86</v>
      </c>
      <c r="F232" s="28" t="str">
        <f>IF(AND(D232&gt;=30),IF(E232&gt;=170,"ممتاز",IF(E232&gt;=150,"جيد جداً",IF(E232&gt;=130,"جيد",IF(E232&gt;=120,"مقبول","راسب")))),"راسب ")</f>
        <v>مقبول</v>
      </c>
      <c r="G232" s="28" t="s">
        <v>200</v>
      </c>
      <c r="H232" s="30">
        <v>196.67</v>
      </c>
      <c r="I232" s="18" t="str">
        <f>IF(H232&gt;=255,"ممتاز",IF(H232&gt;=225,"جيد جدا",IF(H232&gt;=195,"جيد",IF(H232&gt;=180,"مقبول","راسب"))))</f>
        <v>جيد</v>
      </c>
      <c r="J232" s="28" t="s">
        <v>200</v>
      </c>
      <c r="K232" s="31">
        <v>66</v>
      </c>
      <c r="L232" s="28" t="str">
        <f>IF(K232&gt;=85,"ممتاز",IF(K232&gt;=75,"جيد جدا",IF(K232&gt;=65,"جيد",IF(K232&gt;=60,"مقبول","راسب"))))</f>
        <v>جيد</v>
      </c>
      <c r="M232" s="28" t="s">
        <v>200</v>
      </c>
      <c r="N232" s="17">
        <v>0</v>
      </c>
      <c r="O232" s="37">
        <v>0</v>
      </c>
      <c r="P232" s="29" t="str">
        <f>IF(AND(N232&gt;=24),IF(O232&gt;=85,"ممتاز",IF(O232&gt;=75,"جيد جداً",IF(O232&gt;=65,"جيد",IF(O232&gt;=60,"مقبول","راسب")))),"راسب ")</f>
        <v xml:space="preserve">راسب </v>
      </c>
      <c r="Q232" s="28" t="s">
        <v>315</v>
      </c>
      <c r="R232" s="37">
        <v>0</v>
      </c>
      <c r="S232" s="29" t="str">
        <f>IF(R232&gt;=85,"ممتاز",IF(R232&gt;=75,"جيد جدا",IF(R232&gt;=65,"جيد",IF(R232&gt;=60,"مقبول","راسب"))))</f>
        <v>راسب</v>
      </c>
      <c r="T232" s="28" t="s">
        <v>315</v>
      </c>
      <c r="U232" s="29"/>
      <c r="V232" s="32">
        <f>SUM(E232,H232,K232,O232,R232)</f>
        <v>387.53</v>
      </c>
      <c r="W232" s="18" t="str">
        <f>IF(AND(H232&gt;=180,E232&gt;=120,O232&gt;=60,K232&gt;=60,R232&gt;=60,D232&gt;=30,N232&gt;=24),IF(V232&gt;=680,"ممتاز",IF(V232&gt;=600,"جيد جدا",IF(V232&gt;=520,"جيد",IF(V232&gt;=480,"مقبول","راسب")))),"راسب")</f>
        <v>راسب</v>
      </c>
      <c r="X232" s="19">
        <f>IF(AND(O232&gt;=60,R232&gt;=60,K232&gt;=60,H232&gt;=180,E232&gt;=120,D232&gt;=30,N232&gt;=24),(V232/800)*100%,0)</f>
        <v>0</v>
      </c>
    </row>
    <row r="233" spans="1:24" x14ac:dyDescent="0.35">
      <c r="A233" s="15">
        <v>224</v>
      </c>
      <c r="B233" s="15">
        <v>15384</v>
      </c>
      <c r="C233" s="15" t="s">
        <v>111</v>
      </c>
      <c r="D233" s="30">
        <v>0</v>
      </c>
      <c r="E233" s="30">
        <v>0</v>
      </c>
      <c r="F233" s="28" t="str">
        <f>IF(AND(D233&gt;=30),IF(E233&gt;=170,"ممتاز",IF(E233&gt;=150,"جيد جداً",IF(E233&gt;=130,"جيد",IF(E233&gt;=120,"مقبول","راسب")))),"راسب ")</f>
        <v xml:space="preserve">راسب </v>
      </c>
      <c r="G233" s="28" t="s">
        <v>315</v>
      </c>
      <c r="H233" s="36">
        <v>0</v>
      </c>
      <c r="I233" s="18" t="str">
        <f>IF(H233&gt;=255,"ممتاز",IF(H233&gt;=225,"جيد جدا",IF(H233&gt;=195,"جيد",IF(H233&gt;=180,"مقبول","راسب"))))</f>
        <v>راسب</v>
      </c>
      <c r="J233" s="28" t="s">
        <v>315</v>
      </c>
      <c r="K233" s="37">
        <v>0</v>
      </c>
      <c r="L233" s="28" t="str">
        <f>IF(K233&gt;=85,"ممتاز",IF(K233&gt;=75,"جيد جدا",IF(K233&gt;=65,"جيد",IF(K233&gt;=60,"مقبول","راسب"))))</f>
        <v>راسب</v>
      </c>
      <c r="M233" s="28" t="s">
        <v>315</v>
      </c>
      <c r="N233" s="17">
        <v>0</v>
      </c>
      <c r="O233" s="37">
        <v>0</v>
      </c>
      <c r="P233" s="29" t="str">
        <f>IF(AND(N233&gt;=24),IF(O233&gt;=85,"ممتاز",IF(O233&gt;=75,"جيد جداً",IF(O233&gt;=65,"جيد",IF(O233&gt;=60,"مقبول","راسب")))),"راسب ")</f>
        <v xml:space="preserve">راسب </v>
      </c>
      <c r="Q233" s="28" t="s">
        <v>315</v>
      </c>
      <c r="R233" s="37">
        <v>0</v>
      </c>
      <c r="S233" s="29" t="str">
        <f>IF(R233&gt;=85,"ممتاز",IF(R233&gt;=75,"جيد جدا",IF(R233&gt;=65,"جيد",IF(R233&gt;=60,"مقبول","راسب"))))</f>
        <v>راسب</v>
      </c>
      <c r="T233" s="28" t="s">
        <v>315</v>
      </c>
      <c r="U233" s="29" t="s">
        <v>315</v>
      </c>
      <c r="V233" s="32">
        <f>SUM(E233,H233,K233,O233,R233)</f>
        <v>0</v>
      </c>
      <c r="W233" s="18" t="str">
        <f>IF(AND(H233&gt;=180,E233&gt;=120,O233&gt;=60,K233&gt;=60,R233&gt;=60,D233&gt;=30,N233&gt;=24),IF(V233&gt;=680,"ممتاز",IF(V233&gt;=600,"جيد جدا",IF(V233&gt;=520,"جيد",IF(V233&gt;=480,"مقبول","راسب")))),"راسب")</f>
        <v>راسب</v>
      </c>
      <c r="X233" s="19">
        <f>IF(AND(O233&gt;=60,R233&gt;=60,K233&gt;=60,H233&gt;=180,E233&gt;=120,D233&gt;=30,N233&gt;=24),(V233/800)*100%,0)</f>
        <v>0</v>
      </c>
    </row>
    <row r="234" spans="1:24" x14ac:dyDescent="0.35">
      <c r="A234" s="15">
        <v>225</v>
      </c>
      <c r="B234" s="15">
        <v>15444</v>
      </c>
      <c r="C234" s="15" t="s">
        <v>159</v>
      </c>
      <c r="D234" s="30">
        <v>0</v>
      </c>
      <c r="E234" s="30">
        <v>0</v>
      </c>
      <c r="F234" s="28" t="str">
        <f>IF(AND(D234&gt;=30),IF(E234&gt;=170,"ممتاز",IF(E234&gt;=150,"جيد جداً",IF(E234&gt;=130,"جيد",IF(E234&gt;=120,"مقبول","راسب")))),"راسب ")</f>
        <v xml:space="preserve">راسب </v>
      </c>
      <c r="G234" s="28" t="s">
        <v>315</v>
      </c>
      <c r="H234" s="36">
        <v>0</v>
      </c>
      <c r="I234" s="18" t="str">
        <f>IF(H234&gt;=255,"ممتاز",IF(H234&gt;=225,"جيد جدا",IF(H234&gt;=195,"جيد",IF(H234&gt;=180,"مقبول","راسب"))))</f>
        <v>راسب</v>
      </c>
      <c r="J234" s="28" t="s">
        <v>315</v>
      </c>
      <c r="K234" s="37">
        <v>0</v>
      </c>
      <c r="L234" s="28" t="str">
        <f>IF(K234&gt;=85,"ممتاز",IF(K234&gt;=75,"جيد جدا",IF(K234&gt;=65,"جيد",IF(K234&gt;=60,"مقبول","راسب"))))</f>
        <v>راسب</v>
      </c>
      <c r="M234" s="28" t="s">
        <v>315</v>
      </c>
      <c r="N234" s="17">
        <v>0</v>
      </c>
      <c r="O234" s="37">
        <v>0</v>
      </c>
      <c r="P234" s="29" t="str">
        <f>IF(AND(N234&gt;=24),IF(O234&gt;=85,"ممتاز",IF(O234&gt;=75,"جيد جداً",IF(O234&gt;=65,"جيد",IF(O234&gt;=60,"مقبول","راسب")))),"راسب ")</f>
        <v xml:space="preserve">راسب </v>
      </c>
      <c r="Q234" s="28" t="s">
        <v>315</v>
      </c>
      <c r="R234" s="37">
        <v>0</v>
      </c>
      <c r="S234" s="29" t="str">
        <f>IF(R234&gt;=85,"ممتاز",IF(R234&gt;=75,"جيد جدا",IF(R234&gt;=65,"جيد",IF(R234&gt;=60,"مقبول","راسب"))))</f>
        <v>راسب</v>
      </c>
      <c r="T234" s="28" t="s">
        <v>315</v>
      </c>
      <c r="U234" s="29" t="s">
        <v>315</v>
      </c>
      <c r="V234" s="32">
        <f>SUM(E234,H234,K234,O234,R234)</f>
        <v>0</v>
      </c>
      <c r="W234" s="18" t="str">
        <f>IF(AND(H234&gt;=180,E234&gt;=120,O234&gt;=60,K234&gt;=60,R234&gt;=60,D234&gt;=30,N234&gt;=24),IF(V234&gt;=680,"ممتاز",IF(V234&gt;=600,"جيد جدا",IF(V234&gt;=520,"جيد",IF(V234&gt;=480,"مقبول","راسب")))),"راسب")</f>
        <v>راسب</v>
      </c>
      <c r="X234" s="19">
        <f>IF(AND(O234&gt;=60,R234&gt;=60,K234&gt;=60,H234&gt;=180,E234&gt;=120,D234&gt;=30,N234&gt;=24),(V234/800)*100%,0)</f>
        <v>0</v>
      </c>
    </row>
    <row r="235" spans="1:24" x14ac:dyDescent="0.35">
      <c r="A235" s="15">
        <v>226</v>
      </c>
      <c r="B235" s="23">
        <v>15474</v>
      </c>
      <c r="C235" s="23" t="s">
        <v>160</v>
      </c>
      <c r="D235" s="30">
        <v>38.25</v>
      </c>
      <c r="E235" s="30">
        <v>137.88</v>
      </c>
      <c r="F235" s="28" t="str">
        <f>IF(AND(D235&gt;=30),IF(E235&gt;=170,"ممتاز",IF(E235&gt;=150,"جيد جداً",IF(E235&gt;=130,"جيد",IF(E235&gt;=120,"مقبول","راسب")))),"راسب ")</f>
        <v>جيد</v>
      </c>
      <c r="G235" s="28" t="s">
        <v>200</v>
      </c>
      <c r="H235" s="36">
        <v>0</v>
      </c>
      <c r="I235" s="18" t="str">
        <f>IF(H235&gt;=255,"ممتاز",IF(H235&gt;=225,"جيد جدا",IF(H235&gt;=195,"جيد",IF(H235&gt;=180,"مقبول","راسب"))))</f>
        <v>راسب</v>
      </c>
      <c r="J235" s="28" t="s">
        <v>315</v>
      </c>
      <c r="K235" s="32">
        <v>72.86</v>
      </c>
      <c r="L235" s="28" t="str">
        <f>IF(K235&gt;=85,"ممتاز",IF(K235&gt;=75,"جيد جدا",IF(K235&gt;=65,"جيد",IF(K235&gt;=60,"مقبول","راسب"))))</f>
        <v>جيد</v>
      </c>
      <c r="M235" s="28" t="s">
        <v>200</v>
      </c>
      <c r="N235" s="17">
        <v>24</v>
      </c>
      <c r="O235" s="17">
        <v>64</v>
      </c>
      <c r="P235" s="29" t="str">
        <f>IF(AND(N235&gt;=24),IF(O235&gt;=85,"ممتاز",IF(O235&gt;=75,"جيد جداً",IF(O235&gt;=65,"جيد",IF(O235&gt;=60,"مقبول","راسب")))),"راسب ")</f>
        <v>مقبول</v>
      </c>
      <c r="Q235" s="28" t="s">
        <v>200</v>
      </c>
      <c r="R235" s="37">
        <v>0</v>
      </c>
      <c r="S235" s="29" t="str">
        <f>IF(R235&gt;=85,"ممتاز",IF(R235&gt;=75,"جيد جدا",IF(R235&gt;=65,"جيد",IF(R235&gt;=60,"مقبول","راسب"))))</f>
        <v>راسب</v>
      </c>
      <c r="T235" s="28" t="s">
        <v>315</v>
      </c>
      <c r="U235" s="29"/>
      <c r="V235" s="32">
        <f>SUM(E235,H235,K235,O235,R235)</f>
        <v>274.74</v>
      </c>
      <c r="W235" s="18" t="str">
        <f>IF(AND(H235&gt;=180,E235&gt;=120,O235&gt;=60,K235&gt;=60,R235&gt;=60,D235&gt;=30,N235&gt;=24),IF(V235&gt;=680,"ممتاز",IF(V235&gt;=600,"جيد جدا",IF(V235&gt;=520,"جيد",IF(V235&gt;=480,"مقبول","راسب")))),"راسب")</f>
        <v>راسب</v>
      </c>
      <c r="X235" s="19">
        <f>IF(AND(O235&gt;=60,R235&gt;=60,K235&gt;=60,H235&gt;=180,E235&gt;=120,D235&gt;=30,N235&gt;=24),(V235/800)*100%,0)</f>
        <v>0</v>
      </c>
    </row>
    <row r="236" spans="1:24" x14ac:dyDescent="0.35">
      <c r="A236" s="15">
        <v>227</v>
      </c>
      <c r="B236" s="15">
        <v>15521</v>
      </c>
      <c r="C236" s="15" t="s">
        <v>162</v>
      </c>
      <c r="D236" s="30">
        <v>0</v>
      </c>
      <c r="E236" s="30">
        <v>0</v>
      </c>
      <c r="F236" s="28" t="str">
        <f>IF(AND(D236&gt;=30),IF(E236&gt;=170,"ممتاز",IF(E236&gt;=150,"جيد جداً",IF(E236&gt;=130,"جيد",IF(E236&gt;=120,"مقبول","راسب")))),"راسب ")</f>
        <v xml:space="preserve">راسب </v>
      </c>
      <c r="G236" s="28" t="s">
        <v>315</v>
      </c>
      <c r="H236" s="36">
        <v>0</v>
      </c>
      <c r="I236" s="18" t="str">
        <f>IF(H236&gt;=255,"ممتاز",IF(H236&gt;=225,"جيد جدا",IF(H236&gt;=195,"جيد",IF(H236&gt;=180,"مقبول","راسب"))))</f>
        <v>راسب</v>
      </c>
      <c r="J236" s="28" t="s">
        <v>315</v>
      </c>
      <c r="K236" s="37">
        <v>0</v>
      </c>
      <c r="L236" s="28" t="str">
        <f>IF(K236&gt;=85,"ممتاز",IF(K236&gt;=75,"جيد جدا",IF(K236&gt;=65,"جيد",IF(K236&gt;=60,"مقبول","راسب"))))</f>
        <v>راسب</v>
      </c>
      <c r="M236" s="28" t="s">
        <v>315</v>
      </c>
      <c r="N236" s="17">
        <v>0</v>
      </c>
      <c r="O236" s="37">
        <v>0</v>
      </c>
      <c r="P236" s="29" t="str">
        <f>IF(AND(N236&gt;=24),IF(O236&gt;=85,"ممتاز",IF(O236&gt;=75,"جيد جداً",IF(O236&gt;=65,"جيد",IF(O236&gt;=60,"مقبول","راسب")))),"راسب ")</f>
        <v xml:space="preserve">راسب </v>
      </c>
      <c r="Q236" s="28" t="s">
        <v>315</v>
      </c>
      <c r="R236" s="37">
        <v>0</v>
      </c>
      <c r="S236" s="29" t="str">
        <f>IF(R236&gt;=85,"ممتاز",IF(R236&gt;=75,"جيد جدا",IF(R236&gt;=65,"جيد",IF(R236&gt;=60,"مقبول","راسب"))))</f>
        <v>راسب</v>
      </c>
      <c r="T236" s="28" t="s">
        <v>315</v>
      </c>
      <c r="U236" s="29" t="s">
        <v>315</v>
      </c>
      <c r="V236" s="32">
        <f>SUM(E236,H236,K236,O236,R236)</f>
        <v>0</v>
      </c>
      <c r="W236" s="18" t="str">
        <f>IF(AND(H236&gt;=180,E236&gt;=120,O236&gt;=60,K236&gt;=60,R236&gt;=60,D236&gt;=30,N236&gt;=24),IF(V236&gt;=680,"ممتاز",IF(V236&gt;=600,"جيد جدا",IF(V236&gt;=520,"جيد",IF(V236&gt;=480,"مقبول","راسب")))),"راسب")</f>
        <v>راسب</v>
      </c>
      <c r="X236" s="19">
        <f>IF(AND(O236&gt;=60,R236&gt;=60,K236&gt;=60,H236&gt;=180,E236&gt;=120,D236&gt;=30,N236&gt;=24),(V236/800)*100%,0)</f>
        <v>0</v>
      </c>
    </row>
    <row r="237" spans="1:24" x14ac:dyDescent="0.35">
      <c r="A237" s="15">
        <v>228</v>
      </c>
      <c r="B237" s="15">
        <v>15565</v>
      </c>
      <c r="C237" s="15" t="s">
        <v>112</v>
      </c>
      <c r="D237" s="30">
        <v>0</v>
      </c>
      <c r="E237" s="30">
        <v>0</v>
      </c>
      <c r="F237" s="28" t="str">
        <f>IF(AND(D237&gt;=30),IF(E237&gt;=170,"ممتاز",IF(E237&gt;=150,"جيد جداً",IF(E237&gt;=130,"جيد",IF(E237&gt;=120,"مقبول","راسب")))),"راسب ")</f>
        <v xml:space="preserve">راسب </v>
      </c>
      <c r="G237" s="28" t="s">
        <v>315</v>
      </c>
      <c r="H237" s="36">
        <v>0</v>
      </c>
      <c r="I237" s="18" t="str">
        <f>IF(H237&gt;=255,"ممتاز",IF(H237&gt;=225,"جيد جدا",IF(H237&gt;=195,"جيد",IF(H237&gt;=180,"مقبول","راسب"))))</f>
        <v>راسب</v>
      </c>
      <c r="J237" s="28" t="s">
        <v>315</v>
      </c>
      <c r="K237" s="37">
        <v>0</v>
      </c>
      <c r="L237" s="28" t="str">
        <f>IF(K237&gt;=85,"ممتاز",IF(K237&gt;=75,"جيد جدا",IF(K237&gt;=65,"جيد",IF(K237&gt;=60,"مقبول","راسب"))))</f>
        <v>راسب</v>
      </c>
      <c r="M237" s="28" t="s">
        <v>315</v>
      </c>
      <c r="N237" s="17">
        <v>0</v>
      </c>
      <c r="O237" s="37">
        <v>0</v>
      </c>
      <c r="P237" s="29" t="str">
        <f>IF(AND(N237&gt;=24),IF(O237&gt;=85,"ممتاز",IF(O237&gt;=75,"جيد جداً",IF(O237&gt;=65,"جيد",IF(O237&gt;=60,"مقبول","راسب")))),"راسب ")</f>
        <v xml:space="preserve">راسب </v>
      </c>
      <c r="Q237" s="28" t="s">
        <v>315</v>
      </c>
      <c r="R237" s="37">
        <v>0</v>
      </c>
      <c r="S237" s="29" t="str">
        <f>IF(R237&gt;=85,"ممتاز",IF(R237&gt;=75,"جيد جدا",IF(R237&gt;=65,"جيد",IF(R237&gt;=60,"مقبول","راسب"))))</f>
        <v>راسب</v>
      </c>
      <c r="T237" s="28" t="s">
        <v>315</v>
      </c>
      <c r="U237" s="29" t="s">
        <v>315</v>
      </c>
      <c r="V237" s="32">
        <f>SUM(E237,H237,K237,O237,R237)</f>
        <v>0</v>
      </c>
      <c r="W237" s="18" t="str">
        <f>IF(AND(H237&gt;=180,E237&gt;=120,O237&gt;=60,K237&gt;=60,R237&gt;=60,D237&gt;=30,N237&gt;=24),IF(V237&gt;=680,"ممتاز",IF(V237&gt;=600,"جيد جدا",IF(V237&gt;=520,"جيد",IF(V237&gt;=480,"مقبول","راسب")))),"راسب")</f>
        <v>راسب</v>
      </c>
      <c r="X237" s="19">
        <f>IF(AND(O237&gt;=60,R237&gt;=60,K237&gt;=60,H237&gt;=180,E237&gt;=120,D237&gt;=30,N237&gt;=24),(V237/800)*100%,0)</f>
        <v>0</v>
      </c>
    </row>
    <row r="238" spans="1:24" x14ac:dyDescent="0.35">
      <c r="A238" s="15">
        <v>229</v>
      </c>
      <c r="B238" s="23">
        <v>15669</v>
      </c>
      <c r="C238" s="23" t="s">
        <v>224</v>
      </c>
      <c r="D238" s="30">
        <v>36</v>
      </c>
      <c r="E238" s="32">
        <v>136.15</v>
      </c>
      <c r="F238" s="28" t="str">
        <f>IF(AND(D238&gt;=30),IF(E238&gt;=170,"ممتاز",IF(E238&gt;=150,"جيد جداً",IF(E238&gt;=130,"جيد",IF(E238&gt;=120,"مقبول","راسب")))),"راسب ")</f>
        <v>جيد</v>
      </c>
      <c r="G238" s="28" t="s">
        <v>200</v>
      </c>
      <c r="H238" s="36">
        <v>218</v>
      </c>
      <c r="I238" s="18" t="str">
        <f>IF(H238&gt;=255,"ممتاز",IF(H238&gt;=225,"جيد جدا",IF(H238&gt;=195,"جيد",IF(H238&gt;=180,"مقبول","راسب"))))</f>
        <v>جيد</v>
      </c>
      <c r="J238" s="28" t="s">
        <v>200</v>
      </c>
      <c r="K238" s="37">
        <v>79.430000000000007</v>
      </c>
      <c r="L238" s="28" t="str">
        <f>IF(K238&gt;=85,"ممتاز",IF(K238&gt;=75,"جيد جدا",IF(K238&gt;=65,"جيد",IF(K238&gt;=60,"مقبول","راسب"))))</f>
        <v>جيد جدا</v>
      </c>
      <c r="M238" s="28" t="s">
        <v>200</v>
      </c>
      <c r="N238" s="17">
        <v>28</v>
      </c>
      <c r="O238" s="37">
        <v>69.5</v>
      </c>
      <c r="P238" s="29" t="str">
        <f>IF(AND(N238&gt;=24),IF(O238&gt;=85,"ممتاز",IF(O238&gt;=75,"جيد جداً",IF(O238&gt;=65,"جيد",IF(O238&gt;=60,"مقبول","راسب")))),"راسب ")</f>
        <v>جيد</v>
      </c>
      <c r="Q238" s="28" t="s">
        <v>200</v>
      </c>
      <c r="R238" s="37">
        <v>0</v>
      </c>
      <c r="S238" s="29" t="str">
        <f>IF(R238&gt;=85,"ممتاز",IF(R238&gt;=75,"جيد جدا",IF(R238&gt;=65,"جيد",IF(R238&gt;=60,"مقبول","راسب"))))</f>
        <v>راسب</v>
      </c>
      <c r="T238" s="28" t="s">
        <v>315</v>
      </c>
      <c r="U238" s="29"/>
      <c r="V238" s="32">
        <f>SUM(E238,H238,K238,O238,R238)</f>
        <v>503.08</v>
      </c>
      <c r="W238" s="18" t="str">
        <f>IF(AND(H238&gt;=180,E238&gt;=120,O238&gt;=60,K238&gt;=60,R238&gt;=60,D238&gt;=30,N238&gt;=24),IF(V238&gt;=680,"ممتاز",IF(V238&gt;=600,"جيد جدا",IF(V238&gt;=520,"جيد",IF(V238&gt;=480,"مقبول","راسب")))),"راسب")</f>
        <v>راسب</v>
      </c>
      <c r="X238" s="19">
        <f>IF(AND(O238&gt;=60,R238&gt;=60,K238&gt;=60,H238&gt;=180,E238&gt;=120,D238&gt;=30,N238&gt;=24),(V238/800)*100%,0)</f>
        <v>0</v>
      </c>
    </row>
    <row r="239" spans="1:24" x14ac:dyDescent="0.35">
      <c r="A239" s="15">
        <v>230</v>
      </c>
      <c r="B239" s="15">
        <v>15737</v>
      </c>
      <c r="C239" s="15" t="s">
        <v>226</v>
      </c>
      <c r="D239" s="30">
        <v>0</v>
      </c>
      <c r="E239" s="30">
        <v>0</v>
      </c>
      <c r="F239" s="28" t="str">
        <f>IF(AND(D239&gt;=30),IF(E239&gt;=170,"ممتاز",IF(E239&gt;=150,"جيد جداً",IF(E239&gt;=130,"جيد",IF(E239&gt;=120,"مقبول","راسب")))),"راسب ")</f>
        <v xml:space="preserve">راسب </v>
      </c>
      <c r="G239" s="28" t="s">
        <v>315</v>
      </c>
      <c r="H239" s="36">
        <v>0</v>
      </c>
      <c r="I239" s="18" t="str">
        <f>IF(H239&gt;=255,"ممتاز",IF(H239&gt;=225,"جيد جدا",IF(H239&gt;=195,"جيد",IF(H239&gt;=180,"مقبول","راسب"))))</f>
        <v>راسب</v>
      </c>
      <c r="J239" s="28" t="s">
        <v>315</v>
      </c>
      <c r="K239" s="37">
        <v>0</v>
      </c>
      <c r="L239" s="28" t="str">
        <f>IF(K239&gt;=85,"ممتاز",IF(K239&gt;=75,"جيد جدا",IF(K239&gt;=65,"جيد",IF(K239&gt;=60,"مقبول","راسب"))))</f>
        <v>راسب</v>
      </c>
      <c r="M239" s="28" t="s">
        <v>315</v>
      </c>
      <c r="N239" s="17">
        <v>0</v>
      </c>
      <c r="O239" s="37">
        <v>0</v>
      </c>
      <c r="P239" s="29" t="str">
        <f>IF(AND(N239&gt;=24),IF(O239&gt;=85,"ممتاز",IF(O239&gt;=75,"جيد جداً",IF(O239&gt;=65,"جيد",IF(O239&gt;=60,"مقبول","راسب")))),"راسب ")</f>
        <v xml:space="preserve">راسب </v>
      </c>
      <c r="Q239" s="28" t="s">
        <v>315</v>
      </c>
      <c r="R239" s="37">
        <v>0</v>
      </c>
      <c r="S239" s="29" t="str">
        <f>IF(R239&gt;=85,"ممتاز",IF(R239&gt;=75,"جيد جدا",IF(R239&gt;=65,"جيد",IF(R239&gt;=60,"مقبول","راسب"))))</f>
        <v>راسب</v>
      </c>
      <c r="T239" s="28" t="s">
        <v>315</v>
      </c>
      <c r="U239" s="29" t="s">
        <v>315</v>
      </c>
      <c r="V239" s="32">
        <f>SUM(E239,H239,K239,O239,R239)</f>
        <v>0</v>
      </c>
      <c r="W239" s="18" t="str">
        <f>IF(AND(H239&gt;=180,E239&gt;=120,O239&gt;=60,K239&gt;=60,R239&gt;=60,D239&gt;=30,N239&gt;=24),IF(V239&gt;=680,"ممتاز",IF(V239&gt;=600,"جيد جدا",IF(V239&gt;=520,"جيد",IF(V239&gt;=480,"مقبول","راسب")))),"راسب")</f>
        <v>راسب</v>
      </c>
      <c r="X239" s="19">
        <f>IF(AND(O239&gt;=60,R239&gt;=60,K239&gt;=60,H239&gt;=180,E239&gt;=120,D239&gt;=30,N239&gt;=24),(V239/800)*100%,0)</f>
        <v>0</v>
      </c>
    </row>
    <row r="240" spans="1:24" x14ac:dyDescent="0.35">
      <c r="A240" s="15">
        <v>231</v>
      </c>
      <c r="B240" s="24">
        <v>15741</v>
      </c>
      <c r="C240" s="20" t="s">
        <v>164</v>
      </c>
      <c r="D240" s="30">
        <v>0</v>
      </c>
      <c r="E240" s="30">
        <v>0</v>
      </c>
      <c r="F240" s="28" t="str">
        <f>IF(AND(D240&gt;=30),IF(E240&gt;=170,"ممتاز",IF(E240&gt;=150,"جيد جداً",IF(E240&gt;=130,"جيد",IF(E240&gt;=120,"مقبول","راسب")))),"راسب ")</f>
        <v xml:space="preserve">راسب </v>
      </c>
      <c r="G240" s="28" t="s">
        <v>315</v>
      </c>
      <c r="H240" s="36">
        <v>0</v>
      </c>
      <c r="I240" s="18" t="str">
        <f>IF(H240&gt;=255,"ممتاز",IF(H240&gt;=225,"جيد جدا",IF(H240&gt;=195,"جيد",IF(H240&gt;=180,"مقبول","راسب"))))</f>
        <v>راسب</v>
      </c>
      <c r="J240" s="28" t="s">
        <v>315</v>
      </c>
      <c r="K240" s="37">
        <v>0</v>
      </c>
      <c r="L240" s="28" t="str">
        <f>IF(K240&gt;=85,"ممتاز",IF(K240&gt;=75,"جيد جدا",IF(K240&gt;=65,"جيد",IF(K240&gt;=60,"مقبول","راسب"))))</f>
        <v>راسب</v>
      </c>
      <c r="M240" s="28" t="s">
        <v>315</v>
      </c>
      <c r="N240" s="17">
        <v>0</v>
      </c>
      <c r="O240" s="37">
        <v>29.375</v>
      </c>
      <c r="P240" s="29" t="str">
        <f>IF(AND(N240&gt;=24),IF(O240&gt;=85,"ممتاز",IF(O240&gt;=75,"جيد جداً",IF(O240&gt;=65,"جيد",IF(O240&gt;=60,"مقبول","راسب")))),"راسب ")</f>
        <v xml:space="preserve">راسب </v>
      </c>
      <c r="Q240" s="28" t="s">
        <v>316</v>
      </c>
      <c r="R240" s="37">
        <v>0</v>
      </c>
      <c r="S240" s="29" t="str">
        <f>IF(R240&gt;=85,"ممتاز",IF(R240&gt;=75,"جيد جدا",IF(R240&gt;=65,"جيد",IF(R240&gt;=60,"مقبول","راسب"))))</f>
        <v>راسب</v>
      </c>
      <c r="T240" s="28" t="s">
        <v>315</v>
      </c>
      <c r="U240" s="29"/>
      <c r="V240" s="32">
        <f>SUM(E240,H240,K240,O240,R240)</f>
        <v>29.375</v>
      </c>
      <c r="W240" s="18" t="str">
        <f>IF(AND(H240&gt;=180,E240&gt;=120,O240&gt;=60,K240&gt;=60,R240&gt;=60,D240&gt;=30,N240&gt;=24),IF(V240&gt;=680,"ممتاز",IF(V240&gt;=600,"جيد جدا",IF(V240&gt;=520,"جيد",IF(V240&gt;=480,"مقبول","راسب")))),"راسب")</f>
        <v>راسب</v>
      </c>
      <c r="X240" s="19">
        <f>IF(AND(O240&gt;=60,R240&gt;=60,K240&gt;=60,H240&gt;=180,E240&gt;=120,D240&gt;=30,N240&gt;=24),(V240/800)*100%,0)</f>
        <v>0</v>
      </c>
    </row>
    <row r="241" spans="1:24" x14ac:dyDescent="0.35">
      <c r="A241" s="15">
        <v>232</v>
      </c>
      <c r="B241" s="15">
        <v>15832</v>
      </c>
      <c r="C241" s="15" t="s">
        <v>228</v>
      </c>
      <c r="D241" s="30">
        <v>0</v>
      </c>
      <c r="E241" s="30">
        <v>0</v>
      </c>
      <c r="F241" s="28" t="str">
        <f>IF(AND(D241&gt;=30),IF(E241&gt;=170,"ممتاز",IF(E241&gt;=150,"جيد جداً",IF(E241&gt;=130,"جيد",IF(E241&gt;=120,"مقبول","راسب")))),"راسب ")</f>
        <v xml:space="preserve">راسب </v>
      </c>
      <c r="G241" s="28" t="s">
        <v>315</v>
      </c>
      <c r="H241" s="36">
        <v>0</v>
      </c>
      <c r="I241" s="18" t="str">
        <f>IF(H241&gt;=255,"ممتاز",IF(H241&gt;=225,"جيد جدا",IF(H241&gt;=195,"جيد",IF(H241&gt;=180,"مقبول","راسب"))))</f>
        <v>راسب</v>
      </c>
      <c r="J241" s="28" t="s">
        <v>315</v>
      </c>
      <c r="K241" s="37">
        <v>0</v>
      </c>
      <c r="L241" s="28" t="str">
        <f>IF(K241&gt;=85,"ممتاز",IF(K241&gt;=75,"جيد جدا",IF(K241&gt;=65,"جيد",IF(K241&gt;=60,"مقبول","راسب"))))</f>
        <v>راسب</v>
      </c>
      <c r="M241" s="28" t="s">
        <v>315</v>
      </c>
      <c r="N241" s="17">
        <v>0</v>
      </c>
      <c r="O241" s="37">
        <v>0</v>
      </c>
      <c r="P241" s="29" t="str">
        <f>IF(AND(N241&gt;=24),IF(O241&gt;=85,"ممتاز",IF(O241&gt;=75,"جيد جداً",IF(O241&gt;=65,"جيد",IF(O241&gt;=60,"مقبول","راسب")))),"راسب ")</f>
        <v xml:space="preserve">راسب </v>
      </c>
      <c r="Q241" s="28" t="s">
        <v>315</v>
      </c>
      <c r="R241" s="37">
        <v>0</v>
      </c>
      <c r="S241" s="29" t="str">
        <f>IF(R241&gt;=85,"ممتاز",IF(R241&gt;=75,"جيد جدا",IF(R241&gt;=65,"جيد",IF(R241&gt;=60,"مقبول","راسب"))))</f>
        <v>راسب</v>
      </c>
      <c r="T241" s="28" t="s">
        <v>315</v>
      </c>
      <c r="U241" s="29" t="s">
        <v>315</v>
      </c>
      <c r="V241" s="32">
        <f>SUM(E241,H241,K241,O241,R241)</f>
        <v>0</v>
      </c>
      <c r="W241" s="18" t="str">
        <f>IF(AND(H241&gt;=180,E241&gt;=120,O241&gt;=60,K241&gt;=60,R241&gt;=60,D241&gt;=30,N241&gt;=24),IF(V241&gt;=680,"ممتاز",IF(V241&gt;=600,"جيد جدا",IF(V241&gt;=520,"جيد",IF(V241&gt;=480,"مقبول","راسب")))),"راسب")</f>
        <v>راسب</v>
      </c>
      <c r="X241" s="19">
        <f>IF(AND(O241&gt;=60,R241&gt;=60,K241&gt;=60,H241&gt;=180,E241&gt;=120,D241&gt;=30,N241&gt;=24),(V241/800)*100%,0)</f>
        <v>0</v>
      </c>
    </row>
    <row r="242" spans="1:24" x14ac:dyDescent="0.35">
      <c r="A242" s="15">
        <v>233</v>
      </c>
      <c r="B242" s="15">
        <v>15862</v>
      </c>
      <c r="C242" s="15" t="s">
        <v>167</v>
      </c>
      <c r="D242" s="30">
        <v>0</v>
      </c>
      <c r="E242" s="30">
        <v>0</v>
      </c>
      <c r="F242" s="28" t="str">
        <f>IF(AND(D242&gt;=30),IF(E242&gt;=170,"ممتاز",IF(E242&gt;=150,"جيد جداً",IF(E242&gt;=130,"جيد",IF(E242&gt;=120,"مقبول","راسب")))),"راسب ")</f>
        <v xml:space="preserve">راسب </v>
      </c>
      <c r="G242" s="28" t="s">
        <v>315</v>
      </c>
      <c r="H242" s="30">
        <v>180</v>
      </c>
      <c r="I242" s="18" t="str">
        <f>IF(H242&gt;=255,"ممتاز",IF(H242&gt;=225,"جيد جدا",IF(H242&gt;=195,"جيد",IF(H242&gt;=180,"مقبول","راسب"))))</f>
        <v>مقبول</v>
      </c>
      <c r="J242" s="28" t="s">
        <v>200</v>
      </c>
      <c r="K242" s="31">
        <v>60</v>
      </c>
      <c r="L242" s="28" t="str">
        <f>IF(K242&gt;=85,"ممتاز",IF(K242&gt;=75,"جيد جدا",IF(K242&gt;=65,"جيد",IF(K242&gt;=60,"مقبول","راسب"))))</f>
        <v>مقبول</v>
      </c>
      <c r="M242" s="28" t="s">
        <v>200</v>
      </c>
      <c r="N242" s="17">
        <v>33.5</v>
      </c>
      <c r="O242" s="37">
        <v>81.875</v>
      </c>
      <c r="P242" s="29" t="str">
        <f>IF(AND(N242&gt;=24),IF(O242&gt;=85,"ممتاز",IF(O242&gt;=75,"جيد جداً",IF(O242&gt;=65,"جيد",IF(O242&gt;=60,"مقبول","راسب")))),"راسب ")</f>
        <v>جيد جداً</v>
      </c>
      <c r="Q242" s="28" t="s">
        <v>316</v>
      </c>
      <c r="R242" s="37">
        <v>0</v>
      </c>
      <c r="S242" s="29" t="str">
        <f>IF(R242&gt;=85,"ممتاز",IF(R242&gt;=75,"جيد جدا",IF(R242&gt;=65,"جيد",IF(R242&gt;=60,"مقبول","راسب"))))</f>
        <v>راسب</v>
      </c>
      <c r="T242" s="28" t="s">
        <v>315</v>
      </c>
      <c r="U242" s="29"/>
      <c r="V242" s="32">
        <f>SUM(E242,H242,K242,O242,R242)</f>
        <v>321.875</v>
      </c>
      <c r="W242" s="18" t="str">
        <f>IF(AND(H242&gt;=180,E242&gt;=120,O242&gt;=60,K242&gt;=60,R242&gt;=60,D242&gt;=30,N242&gt;=24),IF(V242&gt;=680,"ممتاز",IF(V242&gt;=600,"جيد جدا",IF(V242&gt;=520,"جيد",IF(V242&gt;=480,"مقبول","راسب")))),"راسب")</f>
        <v>راسب</v>
      </c>
      <c r="X242" s="19">
        <f>IF(AND(O242&gt;=60,R242&gt;=60,K242&gt;=60,H242&gt;=180,E242&gt;=120,D242&gt;=30,N242&gt;=24),(V242/800)*100%,0)</f>
        <v>0</v>
      </c>
    </row>
    <row r="243" spans="1:24" x14ac:dyDescent="0.35">
      <c r="A243" s="15">
        <v>234</v>
      </c>
      <c r="B243" s="23">
        <v>15868</v>
      </c>
      <c r="C243" s="23" t="s">
        <v>117</v>
      </c>
      <c r="D243" s="30">
        <v>0</v>
      </c>
      <c r="E243" s="30">
        <v>0</v>
      </c>
      <c r="F243" s="28" t="str">
        <f>IF(AND(D243&gt;=30),IF(E243&gt;=170,"ممتاز",IF(E243&gt;=150,"جيد جداً",IF(E243&gt;=130,"جيد",IF(E243&gt;=120,"مقبول","راسب")))),"راسب ")</f>
        <v xml:space="preserve">راسب </v>
      </c>
      <c r="G243" s="28" t="s">
        <v>315</v>
      </c>
      <c r="H243" s="36">
        <v>0</v>
      </c>
      <c r="I243" s="18" t="str">
        <f>IF(H243&gt;=255,"ممتاز",IF(H243&gt;=225,"جيد جدا",IF(H243&gt;=195,"جيد",IF(H243&gt;=180,"مقبول","راسب"))))</f>
        <v>راسب</v>
      </c>
      <c r="J243" s="28" t="s">
        <v>315</v>
      </c>
      <c r="K243" s="37">
        <v>0</v>
      </c>
      <c r="L243" s="28" t="str">
        <f>IF(K243&gt;=85,"ممتاز",IF(K243&gt;=75,"جيد جدا",IF(K243&gt;=65,"جيد",IF(K243&gt;=60,"مقبول","راسب"))))</f>
        <v>راسب</v>
      </c>
      <c r="M243" s="28" t="s">
        <v>315</v>
      </c>
      <c r="N243" s="17">
        <v>0</v>
      </c>
      <c r="O243" s="37">
        <v>0</v>
      </c>
      <c r="P243" s="29" t="str">
        <f>IF(AND(N243&gt;=24),IF(O243&gt;=85,"ممتاز",IF(O243&gt;=75,"جيد جداً",IF(O243&gt;=65,"جيد",IF(O243&gt;=60,"مقبول","راسب")))),"راسب ")</f>
        <v xml:space="preserve">راسب </v>
      </c>
      <c r="Q243" s="28" t="s">
        <v>315</v>
      </c>
      <c r="R243" s="37">
        <v>0</v>
      </c>
      <c r="S243" s="29" t="str">
        <f>IF(R243&gt;=85,"ممتاز",IF(R243&gt;=75,"جيد جدا",IF(R243&gt;=65,"جيد",IF(R243&gt;=60,"مقبول","راسب"))))</f>
        <v>راسب</v>
      </c>
      <c r="T243" s="28" t="s">
        <v>315</v>
      </c>
      <c r="U243" s="29" t="s">
        <v>315</v>
      </c>
      <c r="V243" s="32">
        <f>SUM(E243,H243,K243,O243,R243)</f>
        <v>0</v>
      </c>
      <c r="W243" s="18" t="str">
        <f>IF(AND(H243&gt;=180,E243&gt;=120,O243&gt;=60,K243&gt;=60,R243&gt;=60,D243&gt;=30,N243&gt;=24),IF(V243&gt;=680,"ممتاز",IF(V243&gt;=600,"جيد جدا",IF(V243&gt;=520,"جيد",IF(V243&gt;=480,"مقبول","راسب")))),"راسب")</f>
        <v>راسب</v>
      </c>
      <c r="X243" s="19">
        <f>IF(AND(O243&gt;=60,R243&gt;=60,K243&gt;=60,H243&gt;=180,E243&gt;=120,D243&gt;=30,N243&gt;=24),(V243/800)*100%,0)</f>
        <v>0</v>
      </c>
    </row>
    <row r="244" spans="1:24" x14ac:dyDescent="0.35">
      <c r="A244" s="15">
        <v>235</v>
      </c>
      <c r="B244" s="15">
        <v>15960</v>
      </c>
      <c r="C244" s="15" t="s">
        <v>118</v>
      </c>
      <c r="D244" s="30">
        <v>0</v>
      </c>
      <c r="E244" s="30">
        <v>0</v>
      </c>
      <c r="F244" s="28" t="str">
        <f>IF(AND(D244&gt;=30),IF(E244&gt;=170,"ممتاز",IF(E244&gt;=150,"جيد جداً",IF(E244&gt;=130,"جيد",IF(E244&gt;=120,"مقبول","راسب")))),"راسب ")</f>
        <v xml:space="preserve">راسب </v>
      </c>
      <c r="G244" s="28" t="s">
        <v>315</v>
      </c>
      <c r="H244" s="36">
        <v>0</v>
      </c>
      <c r="I244" s="18" t="str">
        <f>IF(H244&gt;=255,"ممتاز",IF(H244&gt;=225,"جيد جدا",IF(H244&gt;=195,"جيد",IF(H244&gt;=180,"مقبول","راسب"))))</f>
        <v>راسب</v>
      </c>
      <c r="J244" s="28" t="s">
        <v>315</v>
      </c>
      <c r="K244" s="37">
        <v>0</v>
      </c>
      <c r="L244" s="28" t="str">
        <f>IF(K244&gt;=85,"ممتاز",IF(K244&gt;=75,"جيد جدا",IF(K244&gt;=65,"جيد",IF(K244&gt;=60,"مقبول","راسب"))))</f>
        <v>راسب</v>
      </c>
      <c r="M244" s="28" t="s">
        <v>315</v>
      </c>
      <c r="N244" s="17">
        <v>0</v>
      </c>
      <c r="O244" s="37">
        <v>0</v>
      </c>
      <c r="P244" s="29" t="str">
        <f>IF(AND(N244&gt;=24),IF(O244&gt;=85,"ممتاز",IF(O244&gt;=75,"جيد جداً",IF(O244&gt;=65,"جيد",IF(O244&gt;=60,"مقبول","راسب")))),"راسب ")</f>
        <v xml:space="preserve">راسب </v>
      </c>
      <c r="Q244" s="28" t="s">
        <v>315</v>
      </c>
      <c r="R244" s="37">
        <v>0</v>
      </c>
      <c r="S244" s="29" t="str">
        <f>IF(R244&gt;=85,"ممتاز",IF(R244&gt;=75,"جيد جدا",IF(R244&gt;=65,"جيد",IF(R244&gt;=60,"مقبول","راسب"))))</f>
        <v>راسب</v>
      </c>
      <c r="T244" s="28" t="s">
        <v>315</v>
      </c>
      <c r="U244" s="29" t="s">
        <v>315</v>
      </c>
      <c r="V244" s="32">
        <f>SUM(E244,H244,K244,O244,R244)</f>
        <v>0</v>
      </c>
      <c r="W244" s="18" t="str">
        <f>IF(AND(H244&gt;=180,E244&gt;=120,O244&gt;=60,K244&gt;=60,R244&gt;=60,D244&gt;=30,N244&gt;=24),IF(V244&gt;=680,"ممتاز",IF(V244&gt;=600,"جيد جدا",IF(V244&gt;=520,"جيد",IF(V244&gt;=480,"مقبول","راسب")))),"راسب")</f>
        <v>راسب</v>
      </c>
      <c r="X244" s="19">
        <f>IF(AND(O244&gt;=60,R244&gt;=60,K244&gt;=60,H244&gt;=180,E244&gt;=120,D244&gt;=30,N244&gt;=24),(V244/800)*100%,0)</f>
        <v>0</v>
      </c>
    </row>
    <row r="245" spans="1:24" x14ac:dyDescent="0.35">
      <c r="A245" s="15">
        <v>236</v>
      </c>
      <c r="B245" s="23">
        <v>16038</v>
      </c>
      <c r="C245" s="23" t="s">
        <v>119</v>
      </c>
      <c r="D245" s="30">
        <v>39.75</v>
      </c>
      <c r="E245" s="30">
        <v>122.75</v>
      </c>
      <c r="F245" s="28" t="str">
        <f>IF(AND(D245&gt;=30),IF(E245&gt;=170,"ممتاز",IF(E245&gt;=150,"جيد جداً",IF(E245&gt;=130,"جيد",IF(E245&gt;=120,"مقبول","راسب")))),"راسب ")</f>
        <v>مقبول</v>
      </c>
      <c r="G245" s="28" t="s">
        <v>200</v>
      </c>
      <c r="H245" s="36">
        <v>0</v>
      </c>
      <c r="I245" s="18" t="str">
        <f>IF(H245&gt;=255,"ممتاز",IF(H245&gt;=225,"جيد جدا",IF(H245&gt;=195,"جيد",IF(H245&gt;=180,"مقبول","راسب"))))</f>
        <v>راسب</v>
      </c>
      <c r="J245" s="28" t="s">
        <v>315</v>
      </c>
      <c r="K245" s="31">
        <v>65.55</v>
      </c>
      <c r="L245" s="28" t="str">
        <f>IF(K245&gt;=85,"ممتاز",IF(K245&gt;=75,"جيد جدا",IF(K245&gt;=65,"جيد",IF(K245&gt;=60,"مقبول","راسب"))))</f>
        <v>جيد</v>
      </c>
      <c r="M245" s="28" t="s">
        <v>200</v>
      </c>
      <c r="N245" s="17">
        <v>26</v>
      </c>
      <c r="O245" s="17">
        <v>60</v>
      </c>
      <c r="P245" s="29" t="str">
        <f>IF(AND(N245&gt;=24),IF(O245&gt;=85,"ممتاز",IF(O245&gt;=75,"جيد جداً",IF(O245&gt;=65,"جيد",IF(O245&gt;=60,"مقبول","راسب")))),"راسب ")</f>
        <v>مقبول</v>
      </c>
      <c r="Q245" s="28" t="s">
        <v>200</v>
      </c>
      <c r="R245" s="37">
        <v>0</v>
      </c>
      <c r="S245" s="29" t="str">
        <f>IF(R245&gt;=85,"ممتاز",IF(R245&gt;=75,"جيد جدا",IF(R245&gt;=65,"جيد",IF(R245&gt;=60,"مقبول","راسب"))))</f>
        <v>راسب</v>
      </c>
      <c r="T245" s="28" t="s">
        <v>315</v>
      </c>
      <c r="U245" s="29"/>
      <c r="V245" s="32">
        <f>SUM(E245,H245,K245,O245,R245)</f>
        <v>248.3</v>
      </c>
      <c r="W245" s="18" t="str">
        <f>IF(AND(H245&gt;=180,E245&gt;=120,O245&gt;=60,K245&gt;=60,R245&gt;=60,D245&gt;=30,N245&gt;=24),IF(V245&gt;=680,"ممتاز",IF(V245&gt;=600,"جيد جدا",IF(V245&gt;=520,"جيد",IF(V245&gt;=480,"مقبول","راسب")))),"راسب")</f>
        <v>راسب</v>
      </c>
      <c r="X245" s="19">
        <f>IF(AND(O245&gt;=60,R245&gt;=60,K245&gt;=60,H245&gt;=180,E245&gt;=120,D245&gt;=30,N245&gt;=24),(V245/800)*100%,0)</f>
        <v>0</v>
      </c>
    </row>
    <row r="246" spans="1:24" x14ac:dyDescent="0.35">
      <c r="A246" s="15">
        <v>237</v>
      </c>
      <c r="B246" s="16">
        <v>16054</v>
      </c>
      <c r="C246" s="16" t="s">
        <v>120</v>
      </c>
      <c r="D246" s="30">
        <v>0</v>
      </c>
      <c r="E246" s="30">
        <v>0</v>
      </c>
      <c r="F246" s="28" t="str">
        <f>IF(AND(D246&gt;=30),IF(E246&gt;=170,"ممتاز",IF(E246&gt;=150,"جيد جداً",IF(E246&gt;=130,"جيد",IF(E246&gt;=120,"مقبول","راسب")))),"راسب ")</f>
        <v xml:space="preserve">راسب </v>
      </c>
      <c r="G246" s="28" t="s">
        <v>315</v>
      </c>
      <c r="H246" s="36">
        <v>0</v>
      </c>
      <c r="I246" s="18" t="str">
        <f>IF(H246&gt;=255,"ممتاز",IF(H246&gt;=225,"جيد جدا",IF(H246&gt;=195,"جيد",IF(H246&gt;=180,"مقبول","راسب"))))</f>
        <v>راسب</v>
      </c>
      <c r="J246" s="28" t="s">
        <v>315</v>
      </c>
      <c r="K246" s="37">
        <v>0</v>
      </c>
      <c r="L246" s="28" t="str">
        <f>IF(K246&gt;=85,"ممتاز",IF(K246&gt;=75,"جيد جدا",IF(K246&gt;=65,"جيد",IF(K246&gt;=60,"مقبول","راسب"))))</f>
        <v>راسب</v>
      </c>
      <c r="M246" s="28" t="s">
        <v>315</v>
      </c>
      <c r="N246" s="17">
        <v>0</v>
      </c>
      <c r="O246" s="37">
        <v>0</v>
      </c>
      <c r="P246" s="29" t="str">
        <f>IF(AND(N246&gt;=24),IF(O246&gt;=85,"ممتاز",IF(O246&gt;=75,"جيد جداً",IF(O246&gt;=65,"جيد",IF(O246&gt;=60,"مقبول","راسب")))),"راسب ")</f>
        <v xml:space="preserve">راسب </v>
      </c>
      <c r="Q246" s="28" t="s">
        <v>315</v>
      </c>
      <c r="R246" s="37">
        <v>0</v>
      </c>
      <c r="S246" s="29" t="str">
        <f>IF(R246&gt;=85,"ممتاز",IF(R246&gt;=75,"جيد جدا",IF(R246&gt;=65,"جيد",IF(R246&gt;=60,"مقبول","راسب"))))</f>
        <v>راسب</v>
      </c>
      <c r="T246" s="28" t="s">
        <v>315</v>
      </c>
      <c r="U246" s="29" t="s">
        <v>315</v>
      </c>
      <c r="V246" s="32">
        <f>SUM(E246,H246,K246,O246,R246)</f>
        <v>0</v>
      </c>
      <c r="W246" s="18" t="str">
        <f>IF(AND(H246&gt;=180,E246&gt;=120,O246&gt;=60,K246&gt;=60,R246&gt;=60,D246&gt;=30,N246&gt;=24),IF(V246&gt;=680,"ممتاز",IF(V246&gt;=600,"جيد جدا",IF(V246&gt;=520,"جيد",IF(V246&gt;=480,"مقبول","راسب")))),"راسب")</f>
        <v>راسب</v>
      </c>
      <c r="X246" s="19">
        <f>IF(AND(O246&gt;=60,R246&gt;=60,K246&gt;=60,H246&gt;=180,E246&gt;=120,D246&gt;=30,N246&gt;=24),(V246/800)*100%,0)</f>
        <v>0</v>
      </c>
    </row>
    <row r="247" spans="1:24" x14ac:dyDescent="0.35">
      <c r="A247" s="15">
        <v>238</v>
      </c>
      <c r="B247" s="23">
        <v>16063</v>
      </c>
      <c r="C247" s="23" t="s">
        <v>121</v>
      </c>
      <c r="D247" s="30">
        <v>36</v>
      </c>
      <c r="E247" s="30">
        <v>120</v>
      </c>
      <c r="F247" s="28" t="str">
        <f>IF(AND(D247&gt;=30),IF(E247&gt;=170,"ممتاز",IF(E247&gt;=150,"جيد جداً",IF(E247&gt;=130,"جيد",IF(E247&gt;=120,"مقبول","راسب")))),"راسب ")</f>
        <v>مقبول</v>
      </c>
      <c r="G247" s="28" t="s">
        <v>200</v>
      </c>
      <c r="H247" s="36">
        <v>0</v>
      </c>
      <c r="I247" s="18" t="str">
        <f>IF(H247&gt;=255,"ممتاز",IF(H247&gt;=225,"جيد جدا",IF(H247&gt;=195,"جيد",IF(H247&gt;=180,"مقبول","راسب"))))</f>
        <v>راسب</v>
      </c>
      <c r="J247" s="28" t="s">
        <v>315</v>
      </c>
      <c r="K247" s="37">
        <v>0</v>
      </c>
      <c r="L247" s="28" t="str">
        <f>IF(K247&gt;=85,"ممتاز",IF(K247&gt;=75,"جيد جدا",IF(K247&gt;=65,"جيد",IF(K247&gt;=60,"مقبول","راسب"))))</f>
        <v>راسب</v>
      </c>
      <c r="M247" s="28" t="s">
        <v>315</v>
      </c>
      <c r="N247" s="17">
        <v>0</v>
      </c>
      <c r="O247" s="37">
        <v>0</v>
      </c>
      <c r="P247" s="29" t="str">
        <f>IF(AND(N247&gt;=24),IF(O247&gt;=85,"ممتاز",IF(O247&gt;=75,"جيد جداً",IF(O247&gt;=65,"جيد",IF(O247&gt;=60,"مقبول","راسب")))),"راسب ")</f>
        <v xml:space="preserve">راسب </v>
      </c>
      <c r="Q247" s="28" t="s">
        <v>315</v>
      </c>
      <c r="R247" s="37">
        <v>0</v>
      </c>
      <c r="S247" s="29" t="str">
        <f>IF(R247&gt;=85,"ممتاز",IF(R247&gt;=75,"جيد جدا",IF(R247&gt;=65,"جيد",IF(R247&gt;=60,"مقبول","راسب"))))</f>
        <v>راسب</v>
      </c>
      <c r="T247" s="28" t="s">
        <v>315</v>
      </c>
      <c r="U247" s="29"/>
      <c r="V247" s="32">
        <f>SUM(E247,H247,K247,O247,R247)</f>
        <v>120</v>
      </c>
      <c r="W247" s="18" t="str">
        <f>IF(AND(H247&gt;=180,E247&gt;=120,O247&gt;=60,K247&gt;=60,R247&gt;=60,D247&gt;=30,N247&gt;=24),IF(V247&gt;=680,"ممتاز",IF(V247&gt;=600,"جيد جدا",IF(V247&gt;=520,"جيد",IF(V247&gt;=480,"مقبول","راسب")))),"راسب")</f>
        <v>راسب</v>
      </c>
      <c r="X247" s="19">
        <f>IF(AND(O247&gt;=60,R247&gt;=60,K247&gt;=60,H247&gt;=180,E247&gt;=120,D247&gt;=30,N247&gt;=24),(V247/800)*100%,0)</f>
        <v>0</v>
      </c>
    </row>
    <row r="248" spans="1:24" x14ac:dyDescent="0.35">
      <c r="A248" s="15">
        <v>239</v>
      </c>
      <c r="B248" s="23">
        <v>16100</v>
      </c>
      <c r="C248" s="23" t="s">
        <v>122</v>
      </c>
      <c r="D248" s="30">
        <v>51</v>
      </c>
      <c r="E248" s="30">
        <v>145.5</v>
      </c>
      <c r="F248" s="28" t="str">
        <f>IF(AND(D248&gt;=30),IF(E248&gt;=170,"ممتاز",IF(E248&gt;=150,"جيد جداً",IF(E248&gt;=130,"جيد",IF(E248&gt;=120,"مقبول","راسب")))),"راسب ")</f>
        <v>جيد</v>
      </c>
      <c r="G248" s="28" t="s">
        <v>200</v>
      </c>
      <c r="H248" s="36">
        <v>121.66666666666667</v>
      </c>
      <c r="I248" s="18" t="str">
        <f>IF(H248&gt;=255,"ممتاز",IF(H248&gt;=225,"جيد جدا",IF(H248&gt;=195,"جيد",IF(H248&gt;=180,"مقبول","راسب"))))</f>
        <v>راسب</v>
      </c>
      <c r="J248" s="28" t="s">
        <v>316</v>
      </c>
      <c r="K248" s="32">
        <v>61</v>
      </c>
      <c r="L248" s="28" t="str">
        <f>IF(K248&gt;=85,"ممتاز",IF(K248&gt;=75,"جيد جدا",IF(K248&gt;=65,"جيد",IF(K248&gt;=60,"مقبول","راسب"))))</f>
        <v>مقبول</v>
      </c>
      <c r="M248" s="28" t="s">
        <v>200</v>
      </c>
      <c r="N248" s="17">
        <v>0</v>
      </c>
      <c r="O248" s="37">
        <v>0</v>
      </c>
      <c r="P248" s="29" t="str">
        <f>IF(AND(N248&gt;=24),IF(O248&gt;=85,"ممتاز",IF(O248&gt;=75,"جيد جداً",IF(O248&gt;=65,"جيد",IF(O248&gt;=60,"مقبول","راسب")))),"راسب ")</f>
        <v xml:space="preserve">راسب </v>
      </c>
      <c r="Q248" s="28" t="s">
        <v>315</v>
      </c>
      <c r="R248" s="37">
        <v>0</v>
      </c>
      <c r="S248" s="29" t="str">
        <f>IF(R248&gt;=85,"ممتاز",IF(R248&gt;=75,"جيد جدا",IF(R248&gt;=65,"جيد",IF(R248&gt;=60,"مقبول","راسب"))))</f>
        <v>راسب</v>
      </c>
      <c r="T248" s="28" t="s">
        <v>315</v>
      </c>
      <c r="U248" s="29"/>
      <c r="V248" s="32">
        <f>SUM(E248,H248,K248,O248,R248)</f>
        <v>328.16666666666669</v>
      </c>
      <c r="W248" s="18" t="str">
        <f>IF(AND(H248&gt;=180,E248&gt;=120,O248&gt;=60,K248&gt;=60,R248&gt;=60,D248&gt;=30,N248&gt;=24),IF(V248&gt;=680,"ممتاز",IF(V248&gt;=600,"جيد جدا",IF(V248&gt;=520,"جيد",IF(V248&gt;=480,"مقبول","راسب")))),"راسب")</f>
        <v>راسب</v>
      </c>
      <c r="X248" s="19">
        <f>IF(AND(O248&gt;=60,R248&gt;=60,K248&gt;=60,H248&gt;=180,E248&gt;=120,D248&gt;=30,N248&gt;=24),(V248/800)*100%,0)</f>
        <v>0</v>
      </c>
    </row>
    <row r="249" spans="1:24" x14ac:dyDescent="0.35">
      <c r="A249" s="15">
        <v>240</v>
      </c>
      <c r="B249" s="27">
        <v>16154</v>
      </c>
      <c r="C249" s="26" t="s">
        <v>123</v>
      </c>
      <c r="D249" s="30">
        <v>36</v>
      </c>
      <c r="E249" s="30">
        <v>125</v>
      </c>
      <c r="F249" s="28" t="str">
        <f>IF(AND(D249&gt;=30),IF(E249&gt;=170,"ممتاز",IF(E249&gt;=150,"جيد جداً",IF(E249&gt;=130,"جيد",IF(E249&gt;=120,"مقبول","راسب")))),"راسب ")</f>
        <v>مقبول</v>
      </c>
      <c r="G249" s="28" t="s">
        <v>200</v>
      </c>
      <c r="H249" s="30">
        <v>181.67</v>
      </c>
      <c r="I249" s="18" t="str">
        <f>IF(H249&gt;=255,"ممتاز",IF(H249&gt;=225,"جيد جدا",IF(H249&gt;=195,"جيد",IF(H249&gt;=180,"مقبول","راسب"))))</f>
        <v>مقبول</v>
      </c>
      <c r="J249" s="28" t="s">
        <v>200</v>
      </c>
      <c r="K249" s="31">
        <v>78.91</v>
      </c>
      <c r="L249" s="28" t="str">
        <f>IF(K249&gt;=85,"ممتاز",IF(K249&gt;=75,"جيد جدا",IF(K249&gt;=65,"جيد",IF(K249&gt;=60,"مقبول","راسب"))))</f>
        <v>جيد جدا</v>
      </c>
      <c r="M249" s="28" t="s">
        <v>200</v>
      </c>
      <c r="N249" s="17">
        <v>26</v>
      </c>
      <c r="O249" s="17">
        <v>68.13</v>
      </c>
      <c r="P249" s="29" t="str">
        <f>IF(AND(N249&gt;=24),IF(O249&gt;=85,"ممتاز",IF(O249&gt;=75,"جيد جداً",IF(O249&gt;=65,"جيد",IF(O249&gt;=60,"مقبول","راسب")))),"راسب ")</f>
        <v>جيد</v>
      </c>
      <c r="Q249" s="28" t="s">
        <v>200</v>
      </c>
      <c r="R249" s="37">
        <v>0</v>
      </c>
      <c r="S249" s="29" t="str">
        <f>IF(R249&gt;=85,"ممتاز",IF(R249&gt;=75,"جيد جدا",IF(R249&gt;=65,"جيد",IF(R249&gt;=60,"مقبول","راسب"))))</f>
        <v>راسب</v>
      </c>
      <c r="T249" s="28" t="s">
        <v>315</v>
      </c>
      <c r="U249" s="29"/>
      <c r="V249" s="32">
        <f>SUM(E249,H249,K249,O249,R249)</f>
        <v>453.70999999999992</v>
      </c>
      <c r="W249" s="18" t="str">
        <f>IF(AND(H249&gt;=180,E249&gt;=120,O249&gt;=60,K249&gt;=60,R249&gt;=60,D249&gt;=30,N249&gt;=24),IF(V249&gt;=680,"ممتاز",IF(V249&gt;=600,"جيد جدا",IF(V249&gt;=520,"جيد",IF(V249&gt;=480,"مقبول","راسب")))),"راسب")</f>
        <v>راسب</v>
      </c>
      <c r="X249" s="19">
        <f>IF(AND(O249&gt;=60,R249&gt;=60,K249&gt;=60,H249&gt;=180,E249&gt;=120,D249&gt;=30,N249&gt;=24),(V249/800)*100%,0)</f>
        <v>0</v>
      </c>
    </row>
    <row r="250" spans="1:24" x14ac:dyDescent="0.35">
      <c r="A250" s="15">
        <v>241</v>
      </c>
      <c r="B250" s="16">
        <v>16168</v>
      </c>
      <c r="C250" s="16" t="s">
        <v>125</v>
      </c>
      <c r="D250" s="30">
        <v>0</v>
      </c>
      <c r="E250" s="30">
        <v>0</v>
      </c>
      <c r="F250" s="28" t="str">
        <f>IF(AND(D250&gt;=30),IF(E250&gt;=170,"ممتاز",IF(E250&gt;=150,"جيد جداً",IF(E250&gt;=130,"جيد",IF(E250&gt;=120,"مقبول","راسب")))),"راسب ")</f>
        <v xml:space="preserve">راسب </v>
      </c>
      <c r="G250" s="28" t="s">
        <v>315</v>
      </c>
      <c r="H250" s="36">
        <v>0</v>
      </c>
      <c r="I250" s="18" t="str">
        <f>IF(H250&gt;=255,"ممتاز",IF(H250&gt;=225,"جيد جدا",IF(H250&gt;=195,"جيد",IF(H250&gt;=180,"مقبول","راسب"))))</f>
        <v>راسب</v>
      </c>
      <c r="J250" s="28" t="s">
        <v>315</v>
      </c>
      <c r="K250" s="37">
        <v>0</v>
      </c>
      <c r="L250" s="28" t="str">
        <f>IF(K250&gt;=85,"ممتاز",IF(K250&gt;=75,"جيد جدا",IF(K250&gt;=65,"جيد",IF(K250&gt;=60,"مقبول","راسب"))))</f>
        <v>راسب</v>
      </c>
      <c r="M250" s="28" t="s">
        <v>315</v>
      </c>
      <c r="N250" s="17">
        <v>0</v>
      </c>
      <c r="O250" s="37">
        <v>0</v>
      </c>
      <c r="P250" s="29" t="str">
        <f>IF(AND(N250&gt;=24),IF(O250&gt;=85,"ممتاز",IF(O250&gt;=75,"جيد جداً",IF(O250&gt;=65,"جيد",IF(O250&gt;=60,"مقبول","راسب")))),"راسب ")</f>
        <v xml:space="preserve">راسب </v>
      </c>
      <c r="Q250" s="28" t="s">
        <v>315</v>
      </c>
      <c r="R250" s="37">
        <v>0</v>
      </c>
      <c r="S250" s="29" t="str">
        <f>IF(R250&gt;=85,"ممتاز",IF(R250&gt;=75,"جيد جدا",IF(R250&gt;=65,"جيد",IF(R250&gt;=60,"مقبول","راسب"))))</f>
        <v>راسب</v>
      </c>
      <c r="T250" s="28" t="s">
        <v>315</v>
      </c>
      <c r="U250" s="29" t="s">
        <v>315</v>
      </c>
      <c r="V250" s="32">
        <f>SUM(E250,H250,K250,O250,R250)</f>
        <v>0</v>
      </c>
      <c r="W250" s="18" t="str">
        <f>IF(AND(H250&gt;=180,E250&gt;=120,O250&gt;=60,K250&gt;=60,R250&gt;=60,D250&gt;=30,N250&gt;=24),IF(V250&gt;=680,"ممتاز",IF(V250&gt;=600,"جيد جدا",IF(V250&gt;=520,"جيد",IF(V250&gt;=480,"مقبول","راسب")))),"راسب")</f>
        <v>راسب</v>
      </c>
      <c r="X250" s="19">
        <f>IF(AND(O250&gt;=60,R250&gt;=60,K250&gt;=60,H250&gt;=180,E250&gt;=120,D250&gt;=30,N250&gt;=24),(V250/800)*100%,0)</f>
        <v>0</v>
      </c>
    </row>
    <row r="251" spans="1:24" x14ac:dyDescent="0.35">
      <c r="A251" s="15">
        <v>242</v>
      </c>
      <c r="B251" s="15">
        <v>16209</v>
      </c>
      <c r="C251" s="15" t="s">
        <v>232</v>
      </c>
      <c r="D251" s="30">
        <v>46.5</v>
      </c>
      <c r="E251" s="30">
        <v>122.5</v>
      </c>
      <c r="F251" s="28" t="str">
        <f>IF(AND(D251&gt;=30),IF(E251&gt;=170,"ممتاز",IF(E251&gt;=150,"جيد جداً",IF(E251&gt;=130,"جيد",IF(E251&gt;=120,"مقبول","راسب")))),"راسب ")</f>
        <v>مقبول</v>
      </c>
      <c r="G251" s="28" t="s">
        <v>316</v>
      </c>
      <c r="H251" s="36">
        <v>183.33333333333334</v>
      </c>
      <c r="I251" s="18" t="str">
        <f>IF(H251&gt;=255,"ممتاز",IF(H251&gt;=225,"جيد جدا",IF(H251&gt;=195,"جيد",IF(H251&gt;=180,"مقبول","راسب"))))</f>
        <v>مقبول</v>
      </c>
      <c r="J251" s="28" t="s">
        <v>316</v>
      </c>
      <c r="K251" s="37">
        <v>67.010000000000005</v>
      </c>
      <c r="L251" s="28" t="str">
        <f>IF(K251&gt;=85,"ممتاز",IF(K251&gt;=75,"جيد جدا",IF(K251&gt;=65,"جيد",IF(K251&gt;=60,"مقبول","راسب"))))</f>
        <v>جيد</v>
      </c>
      <c r="M251" s="28" t="s">
        <v>200</v>
      </c>
      <c r="N251" s="17">
        <v>29</v>
      </c>
      <c r="O251" s="37">
        <v>73.75</v>
      </c>
      <c r="P251" s="29" t="str">
        <f>IF(AND(N251&gt;=24),IF(O251&gt;=85,"ممتاز",IF(O251&gt;=75,"جيد جداً",IF(O251&gt;=65,"جيد",IF(O251&gt;=60,"مقبول","راسب")))),"راسب ")</f>
        <v>جيد</v>
      </c>
      <c r="Q251" s="28" t="s">
        <v>316</v>
      </c>
      <c r="R251" s="37">
        <v>0</v>
      </c>
      <c r="S251" s="29" t="str">
        <f>IF(R251&gt;=85,"ممتاز",IF(R251&gt;=75,"جيد جدا",IF(R251&gt;=65,"جيد",IF(R251&gt;=60,"مقبول","راسب"))))</f>
        <v>راسب</v>
      </c>
      <c r="T251" s="28" t="s">
        <v>315</v>
      </c>
      <c r="U251" s="29"/>
      <c r="V251" s="32">
        <f>SUM(E251,H251,K251,O251,R251)</f>
        <v>446.59333333333336</v>
      </c>
      <c r="W251" s="18" t="str">
        <f>IF(AND(H251&gt;=180,E251&gt;=120,O251&gt;=60,K251&gt;=60,R251&gt;=60,D251&gt;=30,N251&gt;=24),IF(V251&gt;=680,"ممتاز",IF(V251&gt;=600,"جيد جدا",IF(V251&gt;=520,"جيد",IF(V251&gt;=480,"مقبول","راسب")))),"راسب")</f>
        <v>راسب</v>
      </c>
      <c r="X251" s="19">
        <f>IF(AND(O251&gt;=60,R251&gt;=60,K251&gt;=60,H251&gt;=180,E251&gt;=120,D251&gt;=30,N251&gt;=24),(V251/800)*100%,0)</f>
        <v>0</v>
      </c>
    </row>
    <row r="252" spans="1:24" x14ac:dyDescent="0.35">
      <c r="A252" s="15">
        <v>243</v>
      </c>
      <c r="B252" s="15">
        <v>16240</v>
      </c>
      <c r="C252" s="15" t="s">
        <v>126</v>
      </c>
      <c r="D252" s="30">
        <v>0</v>
      </c>
      <c r="E252" s="30">
        <v>0</v>
      </c>
      <c r="F252" s="28" t="str">
        <f>IF(AND(D252&gt;=30),IF(E252&gt;=170,"ممتاز",IF(E252&gt;=150,"جيد جداً",IF(E252&gt;=130,"جيد",IF(E252&gt;=120,"مقبول","راسب")))),"راسب ")</f>
        <v xml:space="preserve">راسب </v>
      </c>
      <c r="G252" s="28" t="s">
        <v>315</v>
      </c>
      <c r="H252" s="30">
        <v>211</v>
      </c>
      <c r="I252" s="18" t="str">
        <f>IF(H252&gt;=255,"ممتاز",IF(H252&gt;=225,"جيد جدا",IF(H252&gt;=195,"جيد",IF(H252&gt;=180,"مقبول","راسب"))))</f>
        <v>جيد</v>
      </c>
      <c r="J252" s="28" t="s">
        <v>200</v>
      </c>
      <c r="K252" s="31">
        <v>60.42</v>
      </c>
      <c r="L252" s="28" t="str">
        <f>IF(K252&gt;=85,"ممتاز",IF(K252&gt;=75,"جيد جدا",IF(K252&gt;=65,"جيد",IF(K252&gt;=60,"مقبول","راسب"))))</f>
        <v>مقبول</v>
      </c>
      <c r="M252" s="28" t="s">
        <v>200</v>
      </c>
      <c r="N252" s="17">
        <v>0</v>
      </c>
      <c r="O252" s="37">
        <v>0</v>
      </c>
      <c r="P252" s="29" t="str">
        <f>IF(AND(N252&gt;=24),IF(O252&gt;=85,"ممتاز",IF(O252&gt;=75,"جيد جداً",IF(O252&gt;=65,"جيد",IF(O252&gt;=60,"مقبول","راسب")))),"راسب ")</f>
        <v xml:space="preserve">راسب </v>
      </c>
      <c r="Q252" s="28" t="s">
        <v>315</v>
      </c>
      <c r="R252" s="37">
        <v>0</v>
      </c>
      <c r="S252" s="29" t="str">
        <f>IF(R252&gt;=85,"ممتاز",IF(R252&gt;=75,"جيد جدا",IF(R252&gt;=65,"جيد",IF(R252&gt;=60,"مقبول","راسب"))))</f>
        <v>راسب</v>
      </c>
      <c r="T252" s="28" t="s">
        <v>315</v>
      </c>
      <c r="U252" s="29"/>
      <c r="V252" s="32">
        <f>SUM(E252,H252,K252,O252,R252)</f>
        <v>271.42</v>
      </c>
      <c r="W252" s="18" t="str">
        <f>IF(AND(H252&gt;=180,E252&gt;=120,O252&gt;=60,K252&gt;=60,R252&gt;=60,D252&gt;=30,N252&gt;=24),IF(V252&gt;=680,"ممتاز",IF(V252&gt;=600,"جيد جدا",IF(V252&gt;=520,"جيد",IF(V252&gt;=480,"مقبول","راسب")))),"راسب")</f>
        <v>راسب</v>
      </c>
      <c r="X252" s="19">
        <f>IF(AND(O252&gt;=60,R252&gt;=60,K252&gt;=60,H252&gt;=180,E252&gt;=120,D252&gt;=30,N252&gt;=24),(V252/800)*100%,0)</f>
        <v>0</v>
      </c>
    </row>
    <row r="253" spans="1:24" x14ac:dyDescent="0.35">
      <c r="A253" s="15">
        <v>244</v>
      </c>
      <c r="B253" s="15">
        <v>16371</v>
      </c>
      <c r="C253" s="15" t="s">
        <v>235</v>
      </c>
      <c r="D253" s="30">
        <v>0</v>
      </c>
      <c r="E253" s="30">
        <v>0</v>
      </c>
      <c r="F253" s="28" t="str">
        <f>IF(AND(D253&gt;=30),IF(E253&gt;=170,"ممتاز",IF(E253&gt;=150,"جيد جداً",IF(E253&gt;=130,"جيد",IF(E253&gt;=120,"مقبول","راسب")))),"راسب ")</f>
        <v xml:space="preserve">راسب </v>
      </c>
      <c r="G253" s="28" t="s">
        <v>315</v>
      </c>
      <c r="H253" s="36">
        <v>213</v>
      </c>
      <c r="I253" s="18" t="str">
        <f>IF(H253&gt;=255,"ممتاز",IF(H253&gt;=225,"جيد جدا",IF(H253&gt;=195,"جيد",IF(H253&gt;=180,"مقبول","راسب"))))</f>
        <v>جيد</v>
      </c>
      <c r="J253" s="28" t="s">
        <v>200</v>
      </c>
      <c r="K253" s="37">
        <v>35</v>
      </c>
      <c r="L253" s="28" t="str">
        <f>IF(K253&gt;=85,"ممتاز",IF(K253&gt;=75,"جيد جدا",IF(K253&gt;=65,"جيد",IF(K253&gt;=60,"مقبول","راسب"))))</f>
        <v>راسب</v>
      </c>
      <c r="M253" s="28" t="s">
        <v>316</v>
      </c>
      <c r="N253" s="17">
        <v>20</v>
      </c>
      <c r="O253" s="37">
        <v>57.5</v>
      </c>
      <c r="P253" s="29" t="str">
        <f>IF(AND(N253&gt;=24),IF(O253&gt;=85,"ممتاز",IF(O253&gt;=75,"جيد جداً",IF(O253&gt;=65,"جيد",IF(O253&gt;=60,"مقبول","راسب")))),"راسب ")</f>
        <v xml:space="preserve">راسب </v>
      </c>
      <c r="Q253" s="28" t="s">
        <v>316</v>
      </c>
      <c r="R253" s="37">
        <v>0</v>
      </c>
      <c r="S253" s="29" t="str">
        <f>IF(R253&gt;=85,"ممتاز",IF(R253&gt;=75,"جيد جدا",IF(R253&gt;=65,"جيد",IF(R253&gt;=60,"مقبول","راسب"))))</f>
        <v>راسب</v>
      </c>
      <c r="T253" s="28" t="s">
        <v>315</v>
      </c>
      <c r="U253" s="29"/>
      <c r="V253" s="32">
        <f>SUM(E253,H253,K253,O253,R253)</f>
        <v>305.5</v>
      </c>
      <c r="W253" s="18" t="str">
        <f>IF(AND(H253&gt;=180,E253&gt;=120,O253&gt;=60,K253&gt;=60,R253&gt;=60,D253&gt;=30,N253&gt;=24),IF(V253&gt;=680,"ممتاز",IF(V253&gt;=600,"جيد جدا",IF(V253&gt;=520,"جيد",IF(V253&gt;=480,"مقبول","راسب")))),"راسب")</f>
        <v>راسب</v>
      </c>
      <c r="X253" s="19">
        <f>IF(AND(O253&gt;=60,R253&gt;=60,K253&gt;=60,H253&gt;=180,E253&gt;=120,D253&gt;=30,N253&gt;=24),(V253/800)*100%,0)</f>
        <v>0</v>
      </c>
    </row>
    <row r="254" spans="1:24" x14ac:dyDescent="0.35">
      <c r="A254" s="15">
        <v>245</v>
      </c>
      <c r="B254" s="25">
        <v>16375</v>
      </c>
      <c r="C254" s="26" t="s">
        <v>127</v>
      </c>
      <c r="D254" s="30">
        <v>0</v>
      </c>
      <c r="E254" s="30">
        <v>0</v>
      </c>
      <c r="F254" s="28" t="str">
        <f>IF(AND(D254&gt;=30),IF(E254&gt;=170,"ممتاز",IF(E254&gt;=150,"جيد جداً",IF(E254&gt;=130,"جيد",IF(E254&gt;=120,"مقبول","راسب")))),"راسب ")</f>
        <v xml:space="preserve">راسب </v>
      </c>
      <c r="G254" s="28" t="s">
        <v>315</v>
      </c>
      <c r="H254" s="36">
        <v>0</v>
      </c>
      <c r="I254" s="18" t="str">
        <f>IF(H254&gt;=255,"ممتاز",IF(H254&gt;=225,"جيد جدا",IF(H254&gt;=195,"جيد",IF(H254&gt;=180,"مقبول","راسب"))))</f>
        <v>راسب</v>
      </c>
      <c r="J254" s="28" t="s">
        <v>315</v>
      </c>
      <c r="K254" s="37">
        <v>0</v>
      </c>
      <c r="L254" s="28" t="str">
        <f>IF(K254&gt;=85,"ممتاز",IF(K254&gt;=75,"جيد جدا",IF(K254&gt;=65,"جيد",IF(K254&gt;=60,"مقبول","راسب"))))</f>
        <v>راسب</v>
      </c>
      <c r="M254" s="28" t="s">
        <v>315</v>
      </c>
      <c r="N254" s="17">
        <v>0</v>
      </c>
      <c r="O254" s="37">
        <v>0</v>
      </c>
      <c r="P254" s="29" t="str">
        <f>IF(AND(N254&gt;=24),IF(O254&gt;=85,"ممتاز",IF(O254&gt;=75,"جيد جداً",IF(O254&gt;=65,"جيد",IF(O254&gt;=60,"مقبول","راسب")))),"راسب ")</f>
        <v xml:space="preserve">راسب </v>
      </c>
      <c r="Q254" s="28" t="s">
        <v>315</v>
      </c>
      <c r="R254" s="37">
        <v>0</v>
      </c>
      <c r="S254" s="29" t="str">
        <f>IF(R254&gt;=85,"ممتاز",IF(R254&gt;=75,"جيد جدا",IF(R254&gt;=65,"جيد",IF(R254&gt;=60,"مقبول","راسب"))))</f>
        <v>راسب</v>
      </c>
      <c r="T254" s="28" t="s">
        <v>315</v>
      </c>
      <c r="U254" s="29" t="s">
        <v>315</v>
      </c>
      <c r="V254" s="32">
        <f>SUM(E254,H254,K254,O254,R254)</f>
        <v>0</v>
      </c>
      <c r="W254" s="18" t="str">
        <f>IF(AND(H254&gt;=180,E254&gt;=120,O254&gt;=60,K254&gt;=60,R254&gt;=60,D254&gt;=30,N254&gt;=24),IF(V254&gt;=680,"ممتاز",IF(V254&gt;=600,"جيد جدا",IF(V254&gt;=520,"جيد",IF(V254&gt;=480,"مقبول","راسب")))),"راسب")</f>
        <v>راسب</v>
      </c>
      <c r="X254" s="19">
        <f>IF(AND(O254&gt;=60,R254&gt;=60,K254&gt;=60,H254&gt;=180,E254&gt;=120,D254&gt;=30,N254&gt;=24),(V254/800)*100%,0)</f>
        <v>0</v>
      </c>
    </row>
    <row r="255" spans="1:24" x14ac:dyDescent="0.35">
      <c r="A255" s="15">
        <v>246</v>
      </c>
      <c r="B255" s="23">
        <v>16413</v>
      </c>
      <c r="C255" s="23" t="s">
        <v>236</v>
      </c>
      <c r="D255" s="30">
        <v>0</v>
      </c>
      <c r="E255" s="30">
        <v>0</v>
      </c>
      <c r="F255" s="28" t="str">
        <f>IF(AND(D255&gt;=30),IF(E255&gt;=170,"ممتاز",IF(E255&gt;=150,"جيد جداً",IF(E255&gt;=130,"جيد",IF(E255&gt;=120,"مقبول","راسب")))),"راسب ")</f>
        <v xml:space="preserve">راسب </v>
      </c>
      <c r="G255" s="28" t="s">
        <v>315</v>
      </c>
      <c r="H255" s="36">
        <v>0</v>
      </c>
      <c r="I255" s="18" t="str">
        <f>IF(H255&gt;=255,"ممتاز",IF(H255&gt;=225,"جيد جدا",IF(H255&gt;=195,"جيد",IF(H255&gt;=180,"مقبول","راسب"))))</f>
        <v>راسب</v>
      </c>
      <c r="J255" s="28" t="s">
        <v>315</v>
      </c>
      <c r="K255" s="37">
        <v>0</v>
      </c>
      <c r="L255" s="28" t="str">
        <f>IF(K255&gt;=85,"ممتاز",IF(K255&gt;=75,"جيد جدا",IF(K255&gt;=65,"جيد",IF(K255&gt;=60,"مقبول","راسب"))))</f>
        <v>راسب</v>
      </c>
      <c r="M255" s="28" t="s">
        <v>315</v>
      </c>
      <c r="N255" s="17">
        <v>0</v>
      </c>
      <c r="O255" s="37">
        <v>0</v>
      </c>
      <c r="P255" s="29" t="str">
        <f>IF(AND(N255&gt;=24),IF(O255&gt;=85,"ممتاز",IF(O255&gt;=75,"جيد جداً",IF(O255&gt;=65,"جيد",IF(O255&gt;=60,"مقبول","راسب")))),"راسب ")</f>
        <v xml:space="preserve">راسب </v>
      </c>
      <c r="Q255" s="28" t="s">
        <v>315</v>
      </c>
      <c r="R255" s="37">
        <v>0</v>
      </c>
      <c r="S255" s="29" t="str">
        <f>IF(R255&gt;=85,"ممتاز",IF(R255&gt;=75,"جيد جدا",IF(R255&gt;=65,"جيد",IF(R255&gt;=60,"مقبول","راسب"))))</f>
        <v>راسب</v>
      </c>
      <c r="T255" s="28" t="s">
        <v>315</v>
      </c>
      <c r="U255" s="29" t="s">
        <v>315</v>
      </c>
      <c r="V255" s="32">
        <f>SUM(E255,H255,K255,O255,R255)</f>
        <v>0</v>
      </c>
      <c r="W255" s="18" t="str">
        <f>IF(AND(H255&gt;=180,E255&gt;=120,O255&gt;=60,K255&gt;=60,R255&gt;=60,D255&gt;=30,N255&gt;=24),IF(V255&gt;=680,"ممتاز",IF(V255&gt;=600,"جيد جدا",IF(V255&gt;=520,"جيد",IF(V255&gt;=480,"مقبول","راسب")))),"راسب")</f>
        <v>راسب</v>
      </c>
      <c r="X255" s="19">
        <f>IF(AND(O255&gt;=60,R255&gt;=60,K255&gt;=60,H255&gt;=180,E255&gt;=120,D255&gt;=30,N255&gt;=24),(V255/800)*100%,0)</f>
        <v>0</v>
      </c>
    </row>
    <row r="256" spans="1:24" x14ac:dyDescent="0.35">
      <c r="A256" s="15">
        <v>247</v>
      </c>
      <c r="B256" s="23">
        <v>16451</v>
      </c>
      <c r="C256" s="23" t="s">
        <v>128</v>
      </c>
      <c r="D256" s="30">
        <v>0</v>
      </c>
      <c r="E256" s="30">
        <v>0</v>
      </c>
      <c r="F256" s="28" t="str">
        <f>IF(AND(D256&gt;=30),IF(E256&gt;=170,"ممتاز",IF(E256&gt;=150,"جيد جداً",IF(E256&gt;=130,"جيد",IF(E256&gt;=120,"مقبول","راسب")))),"راسب ")</f>
        <v xml:space="preserve">راسب </v>
      </c>
      <c r="G256" s="28" t="s">
        <v>315</v>
      </c>
      <c r="H256" s="36">
        <v>0</v>
      </c>
      <c r="I256" s="18" t="str">
        <f>IF(H256&gt;=255,"ممتاز",IF(H256&gt;=225,"جيد جدا",IF(H256&gt;=195,"جيد",IF(H256&gt;=180,"مقبول","راسب"))))</f>
        <v>راسب</v>
      </c>
      <c r="J256" s="28" t="s">
        <v>315</v>
      </c>
      <c r="K256" s="37">
        <v>0</v>
      </c>
      <c r="L256" s="28" t="str">
        <f>IF(K256&gt;=85,"ممتاز",IF(K256&gt;=75,"جيد جدا",IF(K256&gt;=65,"جيد",IF(K256&gt;=60,"مقبول","راسب"))))</f>
        <v>راسب</v>
      </c>
      <c r="M256" s="28" t="s">
        <v>315</v>
      </c>
      <c r="N256" s="17">
        <v>0</v>
      </c>
      <c r="O256" s="37">
        <v>0</v>
      </c>
      <c r="P256" s="29" t="str">
        <f>IF(AND(N256&gt;=24),IF(O256&gt;=85,"ممتاز",IF(O256&gt;=75,"جيد جداً",IF(O256&gt;=65,"جيد",IF(O256&gt;=60,"مقبول","راسب")))),"راسب ")</f>
        <v xml:space="preserve">راسب </v>
      </c>
      <c r="Q256" s="28" t="s">
        <v>315</v>
      </c>
      <c r="R256" s="37">
        <v>0</v>
      </c>
      <c r="S256" s="29" t="str">
        <f>IF(R256&gt;=85,"ممتاز",IF(R256&gt;=75,"جيد جدا",IF(R256&gt;=65,"جيد",IF(R256&gt;=60,"مقبول","راسب"))))</f>
        <v>راسب</v>
      </c>
      <c r="T256" s="28" t="s">
        <v>315</v>
      </c>
      <c r="U256" s="29" t="s">
        <v>315</v>
      </c>
      <c r="V256" s="32">
        <f>SUM(E256,H256,K256,O256,R256)</f>
        <v>0</v>
      </c>
      <c r="W256" s="18" t="str">
        <f>IF(AND(H256&gt;=180,E256&gt;=120,O256&gt;=60,K256&gt;=60,R256&gt;=60,D256&gt;=30,N256&gt;=24),IF(V256&gt;=680,"ممتاز",IF(V256&gt;=600,"جيد جدا",IF(V256&gt;=520,"جيد",IF(V256&gt;=480,"مقبول","راسب")))),"راسب")</f>
        <v>راسب</v>
      </c>
      <c r="X256" s="19">
        <f>IF(AND(O256&gt;=60,R256&gt;=60,K256&gt;=60,H256&gt;=180,E256&gt;=120,D256&gt;=30,N256&gt;=24),(V256/800)*100%,0)</f>
        <v>0</v>
      </c>
    </row>
    <row r="257" spans="1:24" x14ac:dyDescent="0.35">
      <c r="A257" s="15">
        <v>248</v>
      </c>
      <c r="B257" s="23">
        <v>16554</v>
      </c>
      <c r="C257" s="23" t="s">
        <v>174</v>
      </c>
      <c r="D257" s="30">
        <v>40.799999999999997</v>
      </c>
      <c r="E257" s="30">
        <v>122.41</v>
      </c>
      <c r="F257" s="28" t="str">
        <f>IF(AND(D257&gt;=30),IF(E257&gt;=170,"ممتاز",IF(E257&gt;=150,"جيد جداً",IF(E257&gt;=130,"جيد",IF(E257&gt;=120,"مقبول","راسب")))),"راسب ")</f>
        <v>مقبول</v>
      </c>
      <c r="G257" s="28" t="s">
        <v>200</v>
      </c>
      <c r="H257" s="30">
        <v>194.5</v>
      </c>
      <c r="I257" s="18" t="str">
        <f>IF(H257&gt;=255,"ممتاز",IF(H257&gt;=225,"جيد جدا",IF(H257&gt;=195,"جيد",IF(H257&gt;=180,"مقبول","راسب"))))</f>
        <v>مقبول</v>
      </c>
      <c r="J257" s="28" t="s">
        <v>200</v>
      </c>
      <c r="K257" s="37">
        <v>60</v>
      </c>
      <c r="L257" s="28" t="str">
        <f>IF(K257&gt;=85,"ممتاز",IF(K257&gt;=75,"جيد جدا",IF(K257&gt;=65,"جيد",IF(K257&gt;=60,"مقبول","راسب"))))</f>
        <v>مقبول</v>
      </c>
      <c r="M257" s="28" t="s">
        <v>316</v>
      </c>
      <c r="N257" s="17">
        <v>0</v>
      </c>
      <c r="O257" s="37">
        <v>0</v>
      </c>
      <c r="P257" s="29" t="str">
        <f>IF(AND(N257&gt;=24),IF(O257&gt;=85,"ممتاز",IF(O257&gt;=75,"جيد جداً",IF(O257&gt;=65,"جيد",IF(O257&gt;=60,"مقبول","راسب")))),"راسب ")</f>
        <v xml:space="preserve">راسب </v>
      </c>
      <c r="Q257" s="28" t="s">
        <v>315</v>
      </c>
      <c r="R257" s="37">
        <v>0</v>
      </c>
      <c r="S257" s="29" t="str">
        <f>IF(R257&gt;=85,"ممتاز",IF(R257&gt;=75,"جيد جدا",IF(R257&gt;=65,"جيد",IF(R257&gt;=60,"مقبول","راسب"))))</f>
        <v>راسب</v>
      </c>
      <c r="T257" s="28" t="s">
        <v>315</v>
      </c>
      <c r="U257" s="29"/>
      <c r="V257" s="32">
        <f>SUM(E257,H257,K257,O257,R257)</f>
        <v>376.90999999999997</v>
      </c>
      <c r="W257" s="18" t="str">
        <f>IF(AND(H257&gt;=180,E257&gt;=120,O257&gt;=60,K257&gt;=60,R257&gt;=60,D257&gt;=30,N257&gt;=24),IF(V257&gt;=680,"ممتاز",IF(V257&gt;=600,"جيد جدا",IF(V257&gt;=520,"جيد",IF(V257&gt;=480,"مقبول","راسب")))),"راسب")</f>
        <v>راسب</v>
      </c>
      <c r="X257" s="19">
        <f>IF(AND(O257&gt;=60,R257&gt;=60,K257&gt;=60,H257&gt;=180,E257&gt;=120,D257&gt;=30,N257&gt;=24),(V257/800)*100%,0)</f>
        <v>0</v>
      </c>
    </row>
    <row r="258" spans="1:24" x14ac:dyDescent="0.35">
      <c r="A258" s="15">
        <v>249</v>
      </c>
      <c r="B258" s="16">
        <v>16774</v>
      </c>
      <c r="C258" s="16" t="s">
        <v>242</v>
      </c>
      <c r="D258" s="30">
        <v>36</v>
      </c>
      <c r="E258" s="32">
        <v>120.4</v>
      </c>
      <c r="F258" s="28" t="str">
        <f>IF(AND(D258&gt;=30),IF(E258&gt;=170,"ممتاز",IF(E258&gt;=150,"جيد جداً",IF(E258&gt;=130,"جيد",IF(E258&gt;=120,"مقبول","راسب")))),"راسب ")</f>
        <v>مقبول</v>
      </c>
      <c r="G258" s="28" t="s">
        <v>200</v>
      </c>
      <c r="H258" s="36">
        <v>148.33333333333334</v>
      </c>
      <c r="I258" s="18" t="str">
        <f>IF(H258&gt;=255,"ممتاز",IF(H258&gt;=225,"جيد جدا",IF(H258&gt;=195,"جيد",IF(H258&gt;=180,"مقبول","راسب"))))</f>
        <v>راسب</v>
      </c>
      <c r="J258" s="28" t="s">
        <v>316</v>
      </c>
      <c r="K258" s="37">
        <v>68.56</v>
      </c>
      <c r="L258" s="28" t="str">
        <f>IF(K258&gt;=85,"ممتاز",IF(K258&gt;=75,"جيد جدا",IF(K258&gt;=65,"جيد",IF(K258&gt;=60,"مقبول","راسب"))))</f>
        <v>جيد</v>
      </c>
      <c r="M258" s="28" t="s">
        <v>200</v>
      </c>
      <c r="N258" s="17">
        <v>24</v>
      </c>
      <c r="O258" s="37">
        <v>60.625</v>
      </c>
      <c r="P258" s="29" t="str">
        <f>IF(AND(N258&gt;=24),IF(O258&gt;=85,"ممتاز",IF(O258&gt;=75,"جيد جداً",IF(O258&gt;=65,"جيد",IF(O258&gt;=60,"مقبول","راسب")))),"راسب ")</f>
        <v>مقبول</v>
      </c>
      <c r="Q258" s="28" t="s">
        <v>316</v>
      </c>
      <c r="R258" s="37">
        <v>0</v>
      </c>
      <c r="S258" s="29" t="str">
        <f>IF(R258&gt;=85,"ممتاز",IF(R258&gt;=75,"جيد جدا",IF(R258&gt;=65,"جيد",IF(R258&gt;=60,"مقبول","راسب"))))</f>
        <v>راسب</v>
      </c>
      <c r="T258" s="28" t="s">
        <v>315</v>
      </c>
      <c r="U258" s="29"/>
      <c r="V258" s="32">
        <f>SUM(E258,H258,K258,O258,R258)</f>
        <v>397.91833333333335</v>
      </c>
      <c r="W258" s="18" t="str">
        <f>IF(AND(H258&gt;=180,E258&gt;=120,O258&gt;=60,K258&gt;=60,R258&gt;=60,D258&gt;=30,N258&gt;=24),IF(V258&gt;=680,"ممتاز",IF(V258&gt;=600,"جيد جدا",IF(V258&gt;=520,"جيد",IF(V258&gt;=480,"مقبول","راسب")))),"راسب")</f>
        <v>راسب</v>
      </c>
      <c r="X258" s="19">
        <f>IF(AND(O258&gt;=60,R258&gt;=60,K258&gt;=60,H258&gt;=180,E258&gt;=120,D258&gt;=30,N258&gt;=24),(V258/800)*100%,0)</f>
        <v>0</v>
      </c>
    </row>
    <row r="259" spans="1:24" x14ac:dyDescent="0.35">
      <c r="A259" s="15">
        <v>250</v>
      </c>
      <c r="B259" s="15">
        <v>16835</v>
      </c>
      <c r="C259" s="15" t="s">
        <v>130</v>
      </c>
      <c r="D259" s="30">
        <v>36</v>
      </c>
      <c r="E259" s="30">
        <v>120</v>
      </c>
      <c r="F259" s="28" t="str">
        <f>IF(AND(D259&gt;=30),IF(E259&gt;=170,"ممتاز",IF(E259&gt;=150,"جيد جداً",IF(E259&gt;=130,"جيد",IF(E259&gt;=120,"مقبول","راسب")))),"راسب ")</f>
        <v>مقبول</v>
      </c>
      <c r="G259" s="28" t="s">
        <v>200</v>
      </c>
      <c r="H259" s="30">
        <v>201</v>
      </c>
      <c r="I259" s="18" t="str">
        <f>IF(H259&gt;=255,"ممتاز",IF(H259&gt;=225,"جيد جدا",IF(H259&gt;=195,"جيد",IF(H259&gt;=180,"مقبول","راسب"))))</f>
        <v>جيد</v>
      </c>
      <c r="J259" s="28" t="s">
        <v>200</v>
      </c>
      <c r="K259" s="31">
        <v>68</v>
      </c>
      <c r="L259" s="28" t="str">
        <f>IF(K259&gt;=85,"ممتاز",IF(K259&gt;=75,"جيد جدا",IF(K259&gt;=65,"جيد",IF(K259&gt;=60,"مقبول","راسب"))))</f>
        <v>جيد</v>
      </c>
      <c r="M259" s="28" t="s">
        <v>200</v>
      </c>
      <c r="N259" s="17">
        <v>24</v>
      </c>
      <c r="O259" s="17">
        <v>63</v>
      </c>
      <c r="P259" s="29" t="str">
        <f>IF(AND(N259&gt;=24),IF(O259&gt;=85,"ممتاز",IF(O259&gt;=75,"جيد جداً",IF(O259&gt;=65,"جيد",IF(O259&gt;=60,"مقبول","راسب")))),"راسب ")</f>
        <v>مقبول</v>
      </c>
      <c r="Q259" s="28" t="s">
        <v>200</v>
      </c>
      <c r="R259" s="37">
        <v>0</v>
      </c>
      <c r="S259" s="29" t="str">
        <f>IF(R259&gt;=85,"ممتاز",IF(R259&gt;=75,"جيد جدا",IF(R259&gt;=65,"جيد",IF(R259&gt;=60,"مقبول","راسب"))))</f>
        <v>راسب</v>
      </c>
      <c r="T259" s="28" t="s">
        <v>315</v>
      </c>
      <c r="U259" s="29"/>
      <c r="V259" s="32">
        <f>SUM(E259,H259,K259,O259,R259)</f>
        <v>452</v>
      </c>
      <c r="W259" s="18" t="str">
        <f>IF(AND(H259&gt;=180,E259&gt;=120,O259&gt;=60,K259&gt;=60,R259&gt;=60,D259&gt;=30,N259&gt;=24),IF(V259&gt;=680,"ممتاز",IF(V259&gt;=600,"جيد جدا",IF(V259&gt;=520,"جيد",IF(V259&gt;=480,"مقبول","راسب")))),"راسب")</f>
        <v>راسب</v>
      </c>
      <c r="X259" s="19">
        <f>IF(AND(O259&gt;=60,R259&gt;=60,K259&gt;=60,H259&gt;=180,E259&gt;=120,D259&gt;=30,N259&gt;=24),(V259/800)*100%,0)</f>
        <v>0</v>
      </c>
    </row>
    <row r="260" spans="1:24" x14ac:dyDescent="0.35">
      <c r="A260" s="15">
        <v>251</v>
      </c>
      <c r="B260" s="16">
        <v>16926</v>
      </c>
      <c r="C260" s="16" t="s">
        <v>131</v>
      </c>
      <c r="D260" s="30">
        <v>0</v>
      </c>
      <c r="E260" s="30">
        <v>0</v>
      </c>
      <c r="F260" s="28" t="str">
        <f>IF(AND(D260&gt;=30),IF(E260&gt;=170,"ممتاز",IF(E260&gt;=150,"جيد جداً",IF(E260&gt;=130,"جيد",IF(E260&gt;=120,"مقبول","راسب")))),"راسب ")</f>
        <v xml:space="preserve">راسب </v>
      </c>
      <c r="G260" s="28" t="s">
        <v>315</v>
      </c>
      <c r="H260" s="36">
        <v>0</v>
      </c>
      <c r="I260" s="18" t="str">
        <f>IF(H260&gt;=255,"ممتاز",IF(H260&gt;=225,"جيد جدا",IF(H260&gt;=195,"جيد",IF(H260&gt;=180,"مقبول","راسب"))))</f>
        <v>راسب</v>
      </c>
      <c r="J260" s="28" t="s">
        <v>315</v>
      </c>
      <c r="K260" s="37">
        <v>0</v>
      </c>
      <c r="L260" s="28" t="str">
        <f>IF(K260&gt;=85,"ممتاز",IF(K260&gt;=75,"جيد جدا",IF(K260&gt;=65,"جيد",IF(K260&gt;=60,"مقبول","راسب"))))</f>
        <v>راسب</v>
      </c>
      <c r="M260" s="28" t="s">
        <v>315</v>
      </c>
      <c r="N260" s="17">
        <v>0</v>
      </c>
      <c r="O260" s="37">
        <v>0</v>
      </c>
      <c r="P260" s="29" t="str">
        <f>IF(AND(N260&gt;=24),IF(O260&gt;=85,"ممتاز",IF(O260&gt;=75,"جيد جداً",IF(O260&gt;=65,"جيد",IF(O260&gt;=60,"مقبول","راسب")))),"راسب ")</f>
        <v xml:space="preserve">راسب </v>
      </c>
      <c r="Q260" s="28" t="s">
        <v>315</v>
      </c>
      <c r="R260" s="37">
        <v>0</v>
      </c>
      <c r="S260" s="29" t="str">
        <f>IF(R260&gt;=85,"ممتاز",IF(R260&gt;=75,"جيد جدا",IF(R260&gt;=65,"جيد",IF(R260&gt;=60,"مقبول","راسب"))))</f>
        <v>راسب</v>
      </c>
      <c r="T260" s="28" t="s">
        <v>315</v>
      </c>
      <c r="U260" s="29" t="s">
        <v>315</v>
      </c>
      <c r="V260" s="32">
        <f>SUM(E260,H260,K260,O260,R260)</f>
        <v>0</v>
      </c>
      <c r="W260" s="18" t="str">
        <f>IF(AND(H260&gt;=180,E260&gt;=120,O260&gt;=60,K260&gt;=60,R260&gt;=60,D260&gt;=30,N260&gt;=24),IF(V260&gt;=680,"ممتاز",IF(V260&gt;=600,"جيد جدا",IF(V260&gt;=520,"جيد",IF(V260&gt;=480,"مقبول","راسب")))),"راسب")</f>
        <v>راسب</v>
      </c>
      <c r="X260" s="19">
        <f>IF(AND(O260&gt;=60,R260&gt;=60,K260&gt;=60,H260&gt;=180,E260&gt;=120,D260&gt;=30,N260&gt;=24),(V260/800)*100%,0)</f>
        <v>0</v>
      </c>
    </row>
    <row r="261" spans="1:24" x14ac:dyDescent="0.35">
      <c r="A261" s="15">
        <v>252</v>
      </c>
      <c r="B261" s="23">
        <v>17087</v>
      </c>
      <c r="C261" s="23" t="s">
        <v>133</v>
      </c>
      <c r="D261" s="30">
        <v>0</v>
      </c>
      <c r="E261" s="30">
        <v>0</v>
      </c>
      <c r="F261" s="28" t="str">
        <f>IF(AND(D261&gt;=30),IF(E261&gt;=170,"ممتاز",IF(E261&gt;=150,"جيد جداً",IF(E261&gt;=130,"جيد",IF(E261&gt;=120,"مقبول","راسب")))),"راسب ")</f>
        <v xml:space="preserve">راسب </v>
      </c>
      <c r="G261" s="28" t="s">
        <v>315</v>
      </c>
      <c r="H261" s="36">
        <v>0</v>
      </c>
      <c r="I261" s="18" t="str">
        <f>IF(H261&gt;=255,"ممتاز",IF(H261&gt;=225,"جيد جدا",IF(H261&gt;=195,"جيد",IF(H261&gt;=180,"مقبول","راسب"))))</f>
        <v>راسب</v>
      </c>
      <c r="J261" s="28" t="s">
        <v>315</v>
      </c>
      <c r="K261" s="37">
        <v>0</v>
      </c>
      <c r="L261" s="28" t="str">
        <f>IF(K261&gt;=85,"ممتاز",IF(K261&gt;=75,"جيد جدا",IF(K261&gt;=65,"جيد",IF(K261&gt;=60,"مقبول","راسب"))))</f>
        <v>راسب</v>
      </c>
      <c r="M261" s="28" t="s">
        <v>315</v>
      </c>
      <c r="N261" s="17">
        <v>0</v>
      </c>
      <c r="O261" s="37">
        <v>0</v>
      </c>
      <c r="P261" s="29" t="str">
        <f>IF(AND(N261&gt;=24),IF(O261&gt;=85,"ممتاز",IF(O261&gt;=75,"جيد جداً",IF(O261&gt;=65,"جيد",IF(O261&gt;=60,"مقبول","راسب")))),"راسب ")</f>
        <v xml:space="preserve">راسب </v>
      </c>
      <c r="Q261" s="28" t="s">
        <v>315</v>
      </c>
      <c r="R261" s="37">
        <v>0</v>
      </c>
      <c r="S261" s="29" t="str">
        <f>IF(R261&gt;=85,"ممتاز",IF(R261&gt;=75,"جيد جدا",IF(R261&gt;=65,"جيد",IF(R261&gt;=60,"مقبول","راسب"))))</f>
        <v>راسب</v>
      </c>
      <c r="T261" s="28" t="s">
        <v>315</v>
      </c>
      <c r="U261" s="29" t="s">
        <v>315</v>
      </c>
      <c r="V261" s="32">
        <f>SUM(E261,H261,K261,O261,R261)</f>
        <v>0</v>
      </c>
      <c r="W261" s="18" t="str">
        <f>IF(AND(H261&gt;=180,E261&gt;=120,O261&gt;=60,K261&gt;=60,R261&gt;=60,D261&gt;=30,N261&gt;=24),IF(V261&gt;=680,"ممتاز",IF(V261&gt;=600,"جيد جدا",IF(V261&gt;=520,"جيد",IF(V261&gt;=480,"مقبول","راسب")))),"راسب")</f>
        <v>راسب</v>
      </c>
      <c r="X261" s="19">
        <f>IF(AND(O261&gt;=60,R261&gt;=60,K261&gt;=60,H261&gt;=180,E261&gt;=120,D261&gt;=30,N261&gt;=24),(V261/800)*100%,0)</f>
        <v>0</v>
      </c>
    </row>
    <row r="262" spans="1:24" x14ac:dyDescent="0.35">
      <c r="A262" s="15">
        <v>253</v>
      </c>
      <c r="B262" s="15">
        <v>17165</v>
      </c>
      <c r="C262" s="15" t="s">
        <v>134</v>
      </c>
      <c r="D262" s="30">
        <v>41</v>
      </c>
      <c r="E262" s="30">
        <v>135</v>
      </c>
      <c r="F262" s="28" t="str">
        <f>IF(AND(D262&gt;=30),IF(E262&gt;=170,"ممتاز",IF(E262&gt;=150,"جيد جداً",IF(E262&gt;=130,"جيد",IF(E262&gt;=120,"مقبول","راسب")))),"راسب ")</f>
        <v>جيد</v>
      </c>
      <c r="G262" s="28" t="s">
        <v>200</v>
      </c>
      <c r="H262" s="32">
        <v>219</v>
      </c>
      <c r="I262" s="18" t="str">
        <f>IF(H262&gt;=255,"ممتاز",IF(H262&gt;=225,"جيد جدا",IF(H262&gt;=195,"جيد",IF(H262&gt;=180,"مقبول","راسب"))))</f>
        <v>جيد</v>
      </c>
      <c r="J262" s="28" t="s">
        <v>200</v>
      </c>
      <c r="K262" s="32">
        <v>60.44</v>
      </c>
      <c r="L262" s="28" t="str">
        <f>IF(K262&gt;=85,"ممتاز",IF(K262&gt;=75,"جيد جدا",IF(K262&gt;=65,"جيد",IF(K262&gt;=60,"مقبول","راسب"))))</f>
        <v>مقبول</v>
      </c>
      <c r="M262" s="28" t="s">
        <v>200</v>
      </c>
      <c r="N262" s="22">
        <v>24</v>
      </c>
      <c r="O262" s="22">
        <v>63.75</v>
      </c>
      <c r="P262" s="29" t="str">
        <f>IF(AND(N262&gt;=24),IF(O262&gt;=85,"ممتاز",IF(O262&gt;=75,"جيد جداً",IF(O262&gt;=65,"جيد",IF(O262&gt;=60,"مقبول","راسب")))),"راسب ")</f>
        <v>مقبول</v>
      </c>
      <c r="Q262" s="28" t="s">
        <v>200</v>
      </c>
      <c r="R262" s="37">
        <v>0</v>
      </c>
      <c r="S262" s="29" t="str">
        <f>IF(R262&gt;=85,"ممتاز",IF(R262&gt;=75,"جيد جدا",IF(R262&gt;=65,"جيد",IF(R262&gt;=60,"مقبول","راسب"))))</f>
        <v>راسب</v>
      </c>
      <c r="T262" s="28" t="s">
        <v>315</v>
      </c>
      <c r="U262" s="29"/>
      <c r="V262" s="32">
        <f>SUM(E262,H262,K262,O262,R262)</f>
        <v>478.19</v>
      </c>
      <c r="W262" s="18" t="str">
        <f>IF(AND(H262&gt;=180,E262&gt;=120,O262&gt;=60,K262&gt;=60,R262&gt;=60,D262&gt;=30,N262&gt;=24),IF(V262&gt;=680,"ممتاز",IF(V262&gt;=600,"جيد جدا",IF(V262&gt;=520,"جيد",IF(V262&gt;=480,"مقبول","راسب")))),"راسب")</f>
        <v>راسب</v>
      </c>
      <c r="X262" s="19">
        <f>IF(AND(O262&gt;=60,R262&gt;=60,K262&gt;=60,H262&gt;=180,E262&gt;=120,D262&gt;=30,N262&gt;=24),(V262/800)*100%,0)</f>
        <v>0</v>
      </c>
    </row>
    <row r="263" spans="1:24" x14ac:dyDescent="0.35">
      <c r="A263" s="15">
        <v>254</v>
      </c>
      <c r="B263" s="23">
        <v>17207</v>
      </c>
      <c r="C263" s="23" t="s">
        <v>176</v>
      </c>
      <c r="D263" s="30">
        <v>45</v>
      </c>
      <c r="E263" s="30">
        <v>120</v>
      </c>
      <c r="F263" s="28" t="str">
        <f>IF(AND(D263&gt;=30),IF(E263&gt;=170,"ممتاز",IF(E263&gt;=150,"جيد جداً",IF(E263&gt;=130,"جيد",IF(E263&gt;=120,"مقبول","راسب")))),"راسب ")</f>
        <v>مقبول</v>
      </c>
      <c r="G263" s="28" t="s">
        <v>200</v>
      </c>
      <c r="H263" s="32">
        <v>182</v>
      </c>
      <c r="I263" s="18" t="str">
        <f>IF(H263&gt;=255,"ممتاز",IF(H263&gt;=225,"جيد جدا",IF(H263&gt;=195,"جيد",IF(H263&gt;=180,"مقبول","راسب"))))</f>
        <v>مقبول</v>
      </c>
      <c r="J263" s="28" t="s">
        <v>200</v>
      </c>
      <c r="K263" s="32">
        <v>60</v>
      </c>
      <c r="L263" s="28" t="str">
        <f>IF(K263&gt;=85,"ممتاز",IF(K263&gt;=75,"جيد جدا",IF(K263&gt;=65,"جيد",IF(K263&gt;=60,"مقبول","راسب"))))</f>
        <v>مقبول</v>
      </c>
      <c r="M263" s="28" t="s">
        <v>200</v>
      </c>
      <c r="N263" s="17">
        <v>0</v>
      </c>
      <c r="O263" s="37">
        <v>0</v>
      </c>
      <c r="P263" s="29" t="str">
        <f>IF(AND(N263&gt;=24),IF(O263&gt;=85,"ممتاز",IF(O263&gt;=75,"جيد جداً",IF(O263&gt;=65,"جيد",IF(O263&gt;=60,"مقبول","راسب")))),"راسب ")</f>
        <v xml:space="preserve">راسب </v>
      </c>
      <c r="Q263" s="28" t="s">
        <v>315</v>
      </c>
      <c r="R263" s="37">
        <v>0</v>
      </c>
      <c r="S263" s="29" t="str">
        <f>IF(R263&gt;=85,"ممتاز",IF(R263&gt;=75,"جيد جدا",IF(R263&gt;=65,"جيد",IF(R263&gt;=60,"مقبول","راسب"))))</f>
        <v>راسب</v>
      </c>
      <c r="T263" s="28" t="s">
        <v>315</v>
      </c>
      <c r="U263" s="29"/>
      <c r="V263" s="32">
        <f>SUM(E263,H263,K263,O263,R263)</f>
        <v>362</v>
      </c>
      <c r="W263" s="18" t="str">
        <f>IF(AND(H263&gt;=180,E263&gt;=120,O263&gt;=60,K263&gt;=60,R263&gt;=60,D263&gt;=30,N263&gt;=24),IF(V263&gt;=680,"ممتاز",IF(V263&gt;=600,"جيد جدا",IF(V263&gt;=520,"جيد",IF(V263&gt;=480,"مقبول","راسب")))),"راسب")</f>
        <v>راسب</v>
      </c>
      <c r="X263" s="19">
        <f>IF(AND(O263&gt;=60,R263&gt;=60,K263&gt;=60,H263&gt;=180,E263&gt;=120,D263&gt;=30,N263&gt;=24),(V263/800)*100%,0)</f>
        <v>0</v>
      </c>
    </row>
    <row r="264" spans="1:24" x14ac:dyDescent="0.35">
      <c r="A264" s="15">
        <v>255</v>
      </c>
      <c r="B264" s="23">
        <v>17354</v>
      </c>
      <c r="C264" s="23" t="s">
        <v>135</v>
      </c>
      <c r="D264" s="30">
        <v>0</v>
      </c>
      <c r="E264" s="30">
        <v>0</v>
      </c>
      <c r="F264" s="28" t="str">
        <f>IF(AND(D264&gt;=30),IF(E264&gt;=170,"ممتاز",IF(E264&gt;=150,"جيد جداً",IF(E264&gt;=130,"جيد",IF(E264&gt;=120,"مقبول","راسب")))),"راسب ")</f>
        <v xml:space="preserve">راسب </v>
      </c>
      <c r="G264" s="28" t="s">
        <v>315</v>
      </c>
      <c r="H264" s="36">
        <v>0</v>
      </c>
      <c r="I264" s="18" t="str">
        <f>IF(H264&gt;=255,"ممتاز",IF(H264&gt;=225,"جيد جدا",IF(H264&gt;=195,"جيد",IF(H264&gt;=180,"مقبول","راسب"))))</f>
        <v>راسب</v>
      </c>
      <c r="J264" s="28" t="s">
        <v>315</v>
      </c>
      <c r="K264" s="37">
        <v>0</v>
      </c>
      <c r="L264" s="28" t="str">
        <f>IF(K264&gt;=85,"ممتاز",IF(K264&gt;=75,"جيد جدا",IF(K264&gt;=65,"جيد",IF(K264&gt;=60,"مقبول","راسب"))))</f>
        <v>راسب</v>
      </c>
      <c r="M264" s="28" t="s">
        <v>315</v>
      </c>
      <c r="N264" s="17">
        <v>0</v>
      </c>
      <c r="O264" s="37">
        <v>0</v>
      </c>
      <c r="P264" s="29" t="str">
        <f>IF(AND(N264&gt;=24),IF(O264&gt;=85,"ممتاز",IF(O264&gt;=75,"جيد جداً",IF(O264&gt;=65,"جيد",IF(O264&gt;=60,"مقبول","راسب")))),"راسب ")</f>
        <v xml:space="preserve">راسب </v>
      </c>
      <c r="Q264" s="28" t="s">
        <v>315</v>
      </c>
      <c r="R264" s="37">
        <v>0</v>
      </c>
      <c r="S264" s="29" t="str">
        <f>IF(R264&gt;=85,"ممتاز",IF(R264&gt;=75,"جيد جدا",IF(R264&gt;=65,"جيد",IF(R264&gt;=60,"مقبول","راسب"))))</f>
        <v>راسب</v>
      </c>
      <c r="T264" s="28" t="s">
        <v>315</v>
      </c>
      <c r="U264" s="29" t="s">
        <v>315</v>
      </c>
      <c r="V264" s="32">
        <f>SUM(E264,H264,K264,O264,R264)</f>
        <v>0</v>
      </c>
      <c r="W264" s="18" t="str">
        <f>IF(AND(H264&gt;=180,E264&gt;=120,O264&gt;=60,K264&gt;=60,R264&gt;=60,D264&gt;=30,N264&gt;=24),IF(V264&gt;=680,"ممتاز",IF(V264&gt;=600,"جيد جدا",IF(V264&gt;=520,"جيد",IF(V264&gt;=480,"مقبول","راسب")))),"راسب")</f>
        <v>راسب</v>
      </c>
      <c r="X264" s="19">
        <f>IF(AND(O264&gt;=60,R264&gt;=60,K264&gt;=60,H264&gt;=180,E264&gt;=120,D264&gt;=30,N264&gt;=24),(V264/800)*100%,0)</f>
        <v>0</v>
      </c>
    </row>
    <row r="265" spans="1:24" x14ac:dyDescent="0.35">
      <c r="A265" s="15">
        <v>256</v>
      </c>
      <c r="B265" s="23">
        <v>17358</v>
      </c>
      <c r="C265" s="23" t="s">
        <v>178</v>
      </c>
      <c r="D265" s="30">
        <v>42.8</v>
      </c>
      <c r="E265" s="30">
        <v>131.05000000000001</v>
      </c>
      <c r="F265" s="28" t="str">
        <f>IF(AND(D265&gt;=30),IF(E265&gt;=170,"ممتاز",IF(E265&gt;=150,"جيد جداً",IF(E265&gt;=130,"جيد",IF(E265&gt;=120,"مقبول","راسب")))),"راسب ")</f>
        <v>جيد</v>
      </c>
      <c r="G265" s="28" t="s">
        <v>200</v>
      </c>
      <c r="H265" s="30">
        <v>182.5</v>
      </c>
      <c r="I265" s="18" t="str">
        <f>IF(H265&gt;=255,"ممتاز",IF(H265&gt;=225,"جيد جدا",IF(H265&gt;=195,"جيد",IF(H265&gt;=180,"مقبول","راسب"))))</f>
        <v>مقبول</v>
      </c>
      <c r="J265" s="28" t="s">
        <v>200</v>
      </c>
      <c r="K265" s="31">
        <v>66</v>
      </c>
      <c r="L265" s="28" t="str">
        <f>IF(K265&gt;=85,"ممتاز",IF(K265&gt;=75,"جيد جدا",IF(K265&gt;=65,"جيد",IF(K265&gt;=60,"مقبول","راسب"))))</f>
        <v>جيد</v>
      </c>
      <c r="M265" s="28" t="s">
        <v>200</v>
      </c>
      <c r="N265" s="17">
        <v>0</v>
      </c>
      <c r="O265" s="37">
        <v>0</v>
      </c>
      <c r="P265" s="29" t="str">
        <f>IF(AND(N265&gt;=24),IF(O265&gt;=85,"ممتاز",IF(O265&gt;=75,"جيد جداً",IF(O265&gt;=65,"جيد",IF(O265&gt;=60,"مقبول","راسب")))),"راسب ")</f>
        <v xml:space="preserve">راسب </v>
      </c>
      <c r="Q265" s="28" t="s">
        <v>315</v>
      </c>
      <c r="R265" s="37">
        <v>0</v>
      </c>
      <c r="S265" s="29" t="str">
        <f>IF(R265&gt;=85,"ممتاز",IF(R265&gt;=75,"جيد جدا",IF(R265&gt;=65,"جيد",IF(R265&gt;=60,"مقبول","راسب"))))</f>
        <v>راسب</v>
      </c>
      <c r="T265" s="28" t="s">
        <v>315</v>
      </c>
      <c r="U265" s="29"/>
      <c r="V265" s="32">
        <f>SUM(E265,H265,K265,O265,R265)</f>
        <v>379.55</v>
      </c>
      <c r="W265" s="18" t="str">
        <f>IF(AND(H265&gt;=180,E265&gt;=120,O265&gt;=60,K265&gt;=60,R265&gt;=60,D265&gt;=30,N265&gt;=24),IF(V265&gt;=680,"ممتاز",IF(V265&gt;=600,"جيد جدا",IF(V265&gt;=520,"جيد",IF(V265&gt;=480,"مقبول","راسب")))),"راسب")</f>
        <v>راسب</v>
      </c>
      <c r="X265" s="19">
        <f>IF(AND(O265&gt;=60,R265&gt;=60,K265&gt;=60,H265&gt;=180,E265&gt;=120,D265&gt;=30,N265&gt;=24),(V265/800)*100%,0)</f>
        <v>0</v>
      </c>
    </row>
    <row r="266" spans="1:24" x14ac:dyDescent="0.35">
      <c r="A266" s="15">
        <v>257</v>
      </c>
      <c r="B266" s="23">
        <v>17515</v>
      </c>
      <c r="C266" s="23" t="s">
        <v>253</v>
      </c>
      <c r="D266" s="30">
        <v>42</v>
      </c>
      <c r="E266" s="32">
        <v>129.9</v>
      </c>
      <c r="F266" s="28" t="str">
        <f>IF(AND(D266&gt;=30),IF(E266&gt;=170,"ممتاز",IF(E266&gt;=150,"جيد جداً",IF(E266&gt;=130,"جيد",IF(E266&gt;=120,"مقبول","راسب")))),"راسب ")</f>
        <v>مقبول</v>
      </c>
      <c r="G266" s="28" t="s">
        <v>200</v>
      </c>
      <c r="H266" s="36">
        <v>123.33333333333334</v>
      </c>
      <c r="I266" s="18" t="str">
        <f>IF(H266&gt;=255,"ممتاز",IF(H266&gt;=225,"جيد جدا",IF(H266&gt;=195,"جيد",IF(H266&gt;=180,"مقبول","راسب"))))</f>
        <v>راسب</v>
      </c>
      <c r="J266" s="28" t="s">
        <v>316</v>
      </c>
      <c r="K266" s="37">
        <v>45</v>
      </c>
      <c r="L266" s="28" t="str">
        <f>IF(K266&gt;=85,"ممتاز",IF(K266&gt;=75,"جيد جدا",IF(K266&gt;=65,"جيد",IF(K266&gt;=60,"مقبول","راسب"))))</f>
        <v>راسب</v>
      </c>
      <c r="M266" s="28" t="s">
        <v>316</v>
      </c>
      <c r="N266" s="17">
        <v>0</v>
      </c>
      <c r="O266" s="37">
        <v>0</v>
      </c>
      <c r="P266" s="29" t="str">
        <f>IF(AND(N266&gt;=24),IF(O266&gt;=85,"ممتاز",IF(O266&gt;=75,"جيد جداً",IF(O266&gt;=65,"جيد",IF(O266&gt;=60,"مقبول","راسب")))),"راسب ")</f>
        <v xml:space="preserve">راسب </v>
      </c>
      <c r="Q266" s="28" t="s">
        <v>315</v>
      </c>
      <c r="R266" s="37">
        <v>0</v>
      </c>
      <c r="S266" s="29" t="str">
        <f>IF(R266&gt;=85,"ممتاز",IF(R266&gt;=75,"جيد جدا",IF(R266&gt;=65,"جيد",IF(R266&gt;=60,"مقبول","راسب"))))</f>
        <v>راسب</v>
      </c>
      <c r="T266" s="28" t="s">
        <v>315</v>
      </c>
      <c r="U266" s="29"/>
      <c r="V266" s="32">
        <f>SUM(E266,H266,K266,O266,R266)</f>
        <v>298.23333333333335</v>
      </c>
      <c r="W266" s="18" t="str">
        <f>IF(AND(H266&gt;=180,E266&gt;=120,O266&gt;=60,K266&gt;=60,R266&gt;=60,D266&gt;=30,N266&gt;=24),IF(V266&gt;=680,"ممتاز",IF(V266&gt;=600,"جيد جدا",IF(V266&gt;=520,"جيد",IF(V266&gt;=480,"مقبول","راسب")))),"راسب")</f>
        <v>راسب</v>
      </c>
      <c r="X266" s="19">
        <f>IF(AND(O266&gt;=60,R266&gt;=60,K266&gt;=60,H266&gt;=180,E266&gt;=120,D266&gt;=30,N266&gt;=24),(V266/800)*100%,0)</f>
        <v>0</v>
      </c>
    </row>
    <row r="267" spans="1:24" x14ac:dyDescent="0.35">
      <c r="A267" s="15">
        <v>258</v>
      </c>
      <c r="B267" s="23">
        <v>18038</v>
      </c>
      <c r="C267" s="23" t="s">
        <v>255</v>
      </c>
      <c r="D267" s="30">
        <v>20.3</v>
      </c>
      <c r="E267" s="30">
        <v>63.55</v>
      </c>
      <c r="F267" s="28" t="str">
        <f>IF(AND(D267&gt;=30),IF(E267&gt;=170,"ممتاز",IF(E267&gt;=150,"جيد جداً",IF(E267&gt;=130,"جيد",IF(E267&gt;=120,"مقبول","راسب")))),"راسب ")</f>
        <v xml:space="preserve">راسب </v>
      </c>
      <c r="G267" s="28" t="s">
        <v>316</v>
      </c>
      <c r="H267" s="36">
        <v>0</v>
      </c>
      <c r="I267" s="18" t="str">
        <f>IF(H267&gt;=255,"ممتاز",IF(H267&gt;=225,"جيد جدا",IF(H267&gt;=195,"جيد",IF(H267&gt;=180,"مقبول","راسب"))))</f>
        <v>راسب</v>
      </c>
      <c r="J267" s="28" t="s">
        <v>315</v>
      </c>
      <c r="K267" s="37">
        <v>0</v>
      </c>
      <c r="L267" s="28" t="str">
        <f>IF(K267&gt;=85,"ممتاز",IF(K267&gt;=75,"جيد جدا",IF(K267&gt;=65,"جيد",IF(K267&gt;=60,"مقبول","راسب"))))</f>
        <v>راسب</v>
      </c>
      <c r="M267" s="28" t="s">
        <v>315</v>
      </c>
      <c r="N267" s="17">
        <v>0</v>
      </c>
      <c r="O267" s="37">
        <v>11.875</v>
      </c>
      <c r="P267" s="29" t="str">
        <f>IF(AND(N267&gt;=24),IF(O267&gt;=85,"ممتاز",IF(O267&gt;=75,"جيد جداً",IF(O267&gt;=65,"جيد",IF(O267&gt;=60,"مقبول","راسب")))),"راسب ")</f>
        <v xml:space="preserve">راسب </v>
      </c>
      <c r="Q267" s="28" t="s">
        <v>316</v>
      </c>
      <c r="R267" s="37">
        <v>0</v>
      </c>
      <c r="S267" s="29" t="str">
        <f>IF(R267&gt;=85,"ممتاز",IF(R267&gt;=75,"جيد جدا",IF(R267&gt;=65,"جيد",IF(R267&gt;=60,"مقبول","راسب"))))</f>
        <v>راسب</v>
      </c>
      <c r="T267" s="28" t="s">
        <v>315</v>
      </c>
      <c r="U267" s="29"/>
      <c r="V267" s="32">
        <f>SUM(E267,H267,K267,O267,R267)</f>
        <v>75.424999999999997</v>
      </c>
      <c r="W267" s="18" t="str">
        <f>IF(AND(H267&gt;=180,E267&gt;=120,O267&gt;=60,K267&gt;=60,R267&gt;=60,D267&gt;=30,N267&gt;=24),IF(V267&gt;=680,"ممتاز",IF(V267&gt;=600,"جيد جدا",IF(V267&gt;=520,"جيد",IF(V267&gt;=480,"مقبول","راسب")))),"راسب")</f>
        <v>راسب</v>
      </c>
      <c r="X267" s="19">
        <f>IF(AND(O267&gt;=60,R267&gt;=60,K267&gt;=60,H267&gt;=180,E267&gt;=120,D267&gt;=30,N267&gt;=24),(V267/800)*100%,0)</f>
        <v>0</v>
      </c>
    </row>
    <row r="268" spans="1:24" x14ac:dyDescent="0.35">
      <c r="A268" s="15">
        <v>259</v>
      </c>
      <c r="B268" s="23">
        <v>18054</v>
      </c>
      <c r="C268" s="23" t="s">
        <v>183</v>
      </c>
      <c r="D268" s="30">
        <v>0</v>
      </c>
      <c r="E268" s="30">
        <v>0</v>
      </c>
      <c r="F268" s="28" t="str">
        <f>IF(AND(D268&gt;=30),IF(E268&gt;=170,"ممتاز",IF(E268&gt;=150,"جيد جداً",IF(E268&gt;=130,"جيد",IF(E268&gt;=120,"مقبول","راسب")))),"راسب ")</f>
        <v xml:space="preserve">راسب </v>
      </c>
      <c r="G268" s="28" t="s">
        <v>315</v>
      </c>
      <c r="H268" s="36">
        <v>0</v>
      </c>
      <c r="I268" s="18" t="str">
        <f>IF(H268&gt;=255,"ممتاز",IF(H268&gt;=225,"جيد جدا",IF(H268&gt;=195,"جيد",IF(H268&gt;=180,"مقبول","راسب"))))</f>
        <v>راسب</v>
      </c>
      <c r="J268" s="28" t="s">
        <v>315</v>
      </c>
      <c r="K268" s="37">
        <v>0</v>
      </c>
      <c r="L268" s="28" t="str">
        <f>IF(K268&gt;=85,"ممتاز",IF(K268&gt;=75,"جيد جدا",IF(K268&gt;=65,"جيد",IF(K268&gt;=60,"مقبول","راسب"))))</f>
        <v>راسب</v>
      </c>
      <c r="M268" s="28" t="s">
        <v>315</v>
      </c>
      <c r="N268" s="17">
        <v>0</v>
      </c>
      <c r="O268" s="37">
        <v>0</v>
      </c>
      <c r="P268" s="29" t="str">
        <f>IF(AND(N268&gt;=24),IF(O268&gt;=85,"ممتاز",IF(O268&gt;=75,"جيد جداً",IF(O268&gt;=65,"جيد",IF(O268&gt;=60,"مقبول","راسب")))),"راسب ")</f>
        <v xml:space="preserve">راسب </v>
      </c>
      <c r="Q268" s="28" t="s">
        <v>315</v>
      </c>
      <c r="R268" s="37">
        <v>0</v>
      </c>
      <c r="S268" s="29" t="str">
        <f>IF(R268&gt;=85,"ممتاز",IF(R268&gt;=75,"جيد جدا",IF(R268&gt;=65,"جيد",IF(R268&gt;=60,"مقبول","راسب"))))</f>
        <v>راسب</v>
      </c>
      <c r="T268" s="28" t="s">
        <v>315</v>
      </c>
      <c r="U268" s="29" t="s">
        <v>315</v>
      </c>
      <c r="V268" s="32">
        <f>SUM(E268,H268,K268,O268,R268)</f>
        <v>0</v>
      </c>
      <c r="W268" s="18" t="str">
        <f>IF(AND(H268&gt;=180,E268&gt;=120,O268&gt;=60,K268&gt;=60,R268&gt;=60,D268&gt;=30,N268&gt;=24),IF(V268&gt;=680,"ممتاز",IF(V268&gt;=600,"جيد جدا",IF(V268&gt;=520,"جيد",IF(V268&gt;=480,"مقبول","راسب")))),"راسب")</f>
        <v>راسب</v>
      </c>
      <c r="X268" s="19">
        <f>IF(AND(O268&gt;=60,R268&gt;=60,K268&gt;=60,H268&gt;=180,E268&gt;=120,D268&gt;=30,N268&gt;=24),(V268/800)*100%,0)</f>
        <v>0</v>
      </c>
    </row>
    <row r="269" spans="1:24" x14ac:dyDescent="0.35">
      <c r="A269" s="15">
        <v>260</v>
      </c>
      <c r="B269" s="23">
        <v>18078</v>
      </c>
      <c r="C269" s="23" t="s">
        <v>258</v>
      </c>
      <c r="D269" s="30">
        <v>44.5</v>
      </c>
      <c r="E269" s="32">
        <v>141.9</v>
      </c>
      <c r="F269" s="28" t="str">
        <f>IF(AND(D269&gt;=30),IF(E269&gt;=170,"ممتاز",IF(E269&gt;=150,"جيد جداً",IF(E269&gt;=130,"جيد",IF(E269&gt;=120,"مقبول","راسب")))),"راسب ")</f>
        <v>جيد</v>
      </c>
      <c r="G269" s="28" t="s">
        <v>200</v>
      </c>
      <c r="H269" s="36">
        <v>181</v>
      </c>
      <c r="I269" s="18" t="str">
        <f>IF(H269&gt;=255,"ممتاز",IF(H269&gt;=225,"جيد جدا",IF(H269&gt;=195,"جيد",IF(H269&gt;=180,"مقبول","راسب"))))</f>
        <v>مقبول</v>
      </c>
      <c r="J269" s="28" t="s">
        <v>200</v>
      </c>
      <c r="K269" s="37">
        <v>73.010000000000005</v>
      </c>
      <c r="L269" s="28" t="str">
        <f>IF(K269&gt;=85,"ممتاز",IF(K269&gt;=75,"جيد جدا",IF(K269&gt;=65,"جيد",IF(K269&gt;=60,"مقبول","راسب"))))</f>
        <v>جيد</v>
      </c>
      <c r="M269" s="28" t="s">
        <v>200</v>
      </c>
      <c r="N269" s="17">
        <v>25</v>
      </c>
      <c r="O269" s="37">
        <v>60</v>
      </c>
      <c r="P269" s="29" t="str">
        <f>IF(AND(N269&gt;=24),IF(O269&gt;=85,"ممتاز",IF(O269&gt;=75,"جيد جداً",IF(O269&gt;=65,"جيد",IF(O269&gt;=60,"مقبول","راسب")))),"راسب ")</f>
        <v>مقبول</v>
      </c>
      <c r="Q269" s="28" t="s">
        <v>200</v>
      </c>
      <c r="R269" s="37">
        <v>0</v>
      </c>
      <c r="S269" s="29" t="str">
        <f>IF(R269&gt;=85,"ممتاز",IF(R269&gt;=75,"جيد جدا",IF(R269&gt;=65,"جيد",IF(R269&gt;=60,"مقبول","راسب"))))</f>
        <v>راسب</v>
      </c>
      <c r="T269" s="28" t="s">
        <v>315</v>
      </c>
      <c r="U269" s="29"/>
      <c r="V269" s="32">
        <f>SUM(E269,H269,K269,O269,R269)</f>
        <v>455.90999999999997</v>
      </c>
      <c r="W269" s="18" t="str">
        <f>IF(AND(H269&gt;=180,E269&gt;=120,O269&gt;=60,K269&gt;=60,R269&gt;=60,D269&gt;=30,N269&gt;=24),IF(V269&gt;=680,"ممتاز",IF(V269&gt;=600,"جيد جدا",IF(V269&gt;=520,"جيد",IF(V269&gt;=480,"مقبول","راسب")))),"راسب")</f>
        <v>راسب</v>
      </c>
      <c r="X269" s="19">
        <f>IF(AND(O269&gt;=60,R269&gt;=60,K269&gt;=60,H269&gt;=180,E269&gt;=120,D269&gt;=30,N269&gt;=24),(V269/800)*100%,0)</f>
        <v>0</v>
      </c>
    </row>
    <row r="270" spans="1:24" x14ac:dyDescent="0.35">
      <c r="A270" s="15">
        <v>261</v>
      </c>
      <c r="B270" s="23">
        <v>18174</v>
      </c>
      <c r="C270" s="23" t="s">
        <v>186</v>
      </c>
      <c r="D270" s="30">
        <v>0</v>
      </c>
      <c r="E270" s="30">
        <v>0</v>
      </c>
      <c r="F270" s="28" t="str">
        <f>IF(AND(D270&gt;=30),IF(E270&gt;=170,"ممتاز",IF(E270&gt;=150,"جيد جداً",IF(E270&gt;=130,"جيد",IF(E270&gt;=120,"مقبول","راسب")))),"راسب ")</f>
        <v xml:space="preserve">راسب </v>
      </c>
      <c r="G270" s="28" t="s">
        <v>315</v>
      </c>
      <c r="H270" s="36">
        <v>0</v>
      </c>
      <c r="I270" s="18" t="str">
        <f>IF(H270&gt;=255,"ممتاز",IF(H270&gt;=225,"جيد جدا",IF(H270&gt;=195,"جيد",IF(H270&gt;=180,"مقبول","راسب"))))</f>
        <v>راسب</v>
      </c>
      <c r="J270" s="28" t="s">
        <v>315</v>
      </c>
      <c r="K270" s="37">
        <v>0</v>
      </c>
      <c r="L270" s="28" t="str">
        <f>IF(K270&gt;=85,"ممتاز",IF(K270&gt;=75,"جيد جدا",IF(K270&gt;=65,"جيد",IF(K270&gt;=60,"مقبول","راسب"))))</f>
        <v>راسب</v>
      </c>
      <c r="M270" s="28" t="s">
        <v>315</v>
      </c>
      <c r="N270" s="17">
        <v>0</v>
      </c>
      <c r="O270" s="37">
        <v>0</v>
      </c>
      <c r="P270" s="29" t="str">
        <f>IF(AND(N270&gt;=24),IF(O270&gt;=85,"ممتاز",IF(O270&gt;=75,"جيد جداً",IF(O270&gt;=65,"جيد",IF(O270&gt;=60,"مقبول","راسب")))),"راسب ")</f>
        <v xml:space="preserve">راسب </v>
      </c>
      <c r="Q270" s="28" t="s">
        <v>315</v>
      </c>
      <c r="R270" s="37">
        <v>0</v>
      </c>
      <c r="S270" s="29" t="str">
        <f>IF(R270&gt;=85,"ممتاز",IF(R270&gt;=75,"جيد جدا",IF(R270&gt;=65,"جيد",IF(R270&gt;=60,"مقبول","راسب"))))</f>
        <v>راسب</v>
      </c>
      <c r="T270" s="28" t="s">
        <v>315</v>
      </c>
      <c r="U270" s="29" t="s">
        <v>315</v>
      </c>
      <c r="V270" s="32">
        <f>SUM(E270,H270,K270,O270,R270)</f>
        <v>0</v>
      </c>
      <c r="W270" s="18" t="str">
        <f>IF(AND(H270&gt;=180,E270&gt;=120,O270&gt;=60,K270&gt;=60,R270&gt;=60,D270&gt;=30,N270&gt;=24),IF(V270&gt;=680,"ممتاز",IF(V270&gt;=600,"جيد جدا",IF(V270&gt;=520,"جيد",IF(V270&gt;=480,"مقبول","راسب")))),"راسب")</f>
        <v>راسب</v>
      </c>
      <c r="X270" s="19">
        <f>IF(AND(O270&gt;=60,R270&gt;=60,K270&gt;=60,H270&gt;=180,E270&gt;=120,D270&gt;=30,N270&gt;=24),(V270/800)*100%,0)</f>
        <v>0</v>
      </c>
    </row>
    <row r="271" spans="1:24" x14ac:dyDescent="0.35">
      <c r="A271" s="15">
        <v>262</v>
      </c>
      <c r="B271" s="23">
        <v>18178</v>
      </c>
      <c r="C271" s="23" t="s">
        <v>187</v>
      </c>
      <c r="D271" s="30">
        <v>0</v>
      </c>
      <c r="E271" s="30">
        <v>0</v>
      </c>
      <c r="F271" s="28" t="str">
        <f>IF(AND(D271&gt;=30),IF(E271&gt;=170,"ممتاز",IF(E271&gt;=150,"جيد جداً",IF(E271&gt;=130,"جيد",IF(E271&gt;=120,"مقبول","راسب")))),"راسب ")</f>
        <v xml:space="preserve">راسب </v>
      </c>
      <c r="G271" s="28" t="s">
        <v>315</v>
      </c>
      <c r="H271" s="36">
        <v>0</v>
      </c>
      <c r="I271" s="18" t="str">
        <f>IF(H271&gt;=255,"ممتاز",IF(H271&gt;=225,"جيد جدا",IF(H271&gt;=195,"جيد",IF(H271&gt;=180,"مقبول","راسب"))))</f>
        <v>راسب</v>
      </c>
      <c r="J271" s="28" t="s">
        <v>315</v>
      </c>
      <c r="K271" s="37">
        <v>0</v>
      </c>
      <c r="L271" s="28" t="str">
        <f>IF(K271&gt;=85,"ممتاز",IF(K271&gt;=75,"جيد جدا",IF(K271&gt;=65,"جيد",IF(K271&gt;=60,"مقبول","راسب"))))</f>
        <v>راسب</v>
      </c>
      <c r="M271" s="28" t="s">
        <v>315</v>
      </c>
      <c r="N271" s="17">
        <v>0</v>
      </c>
      <c r="O271" s="37">
        <v>0</v>
      </c>
      <c r="P271" s="29" t="str">
        <f>IF(AND(N271&gt;=24),IF(O271&gt;=85,"ممتاز",IF(O271&gt;=75,"جيد جداً",IF(O271&gt;=65,"جيد",IF(O271&gt;=60,"مقبول","راسب")))),"راسب ")</f>
        <v xml:space="preserve">راسب </v>
      </c>
      <c r="Q271" s="28" t="s">
        <v>315</v>
      </c>
      <c r="R271" s="37">
        <v>0</v>
      </c>
      <c r="S271" s="29" t="str">
        <f>IF(R271&gt;=85,"ممتاز",IF(R271&gt;=75,"جيد جدا",IF(R271&gt;=65,"جيد",IF(R271&gt;=60,"مقبول","راسب"))))</f>
        <v>راسب</v>
      </c>
      <c r="T271" s="28" t="s">
        <v>315</v>
      </c>
      <c r="U271" s="29" t="s">
        <v>315</v>
      </c>
      <c r="V271" s="32">
        <f>SUM(E271,H271,K271,O271,R271)</f>
        <v>0</v>
      </c>
      <c r="W271" s="18" t="str">
        <f>IF(AND(H271&gt;=180,E271&gt;=120,O271&gt;=60,K271&gt;=60,R271&gt;=60,D271&gt;=30,N271&gt;=24),IF(V271&gt;=680,"ممتاز",IF(V271&gt;=600,"جيد جدا",IF(V271&gt;=520,"جيد",IF(V271&gt;=480,"مقبول","راسب")))),"راسب")</f>
        <v>راسب</v>
      </c>
      <c r="X271" s="19">
        <f>IF(AND(O271&gt;=60,R271&gt;=60,K271&gt;=60,H271&gt;=180,E271&gt;=120,D271&gt;=30,N271&gt;=24),(V271/800)*100%,0)</f>
        <v>0</v>
      </c>
    </row>
    <row r="272" spans="1:24" x14ac:dyDescent="0.35">
      <c r="A272" s="15">
        <v>263</v>
      </c>
      <c r="B272" s="23">
        <v>18294</v>
      </c>
      <c r="C272" s="23" t="s">
        <v>188</v>
      </c>
      <c r="D272" s="30">
        <v>0</v>
      </c>
      <c r="E272" s="30">
        <v>0</v>
      </c>
      <c r="F272" s="28" t="str">
        <f>IF(AND(D272&gt;=30),IF(E272&gt;=170,"ممتاز",IF(E272&gt;=150,"جيد جداً",IF(E272&gt;=130,"جيد",IF(E272&gt;=120,"مقبول","راسب")))),"راسب ")</f>
        <v xml:space="preserve">راسب </v>
      </c>
      <c r="G272" s="28" t="s">
        <v>315</v>
      </c>
      <c r="H272" s="36">
        <v>0</v>
      </c>
      <c r="I272" s="18" t="str">
        <f>IF(H272&gt;=255,"ممتاز",IF(H272&gt;=225,"جيد جدا",IF(H272&gt;=195,"جيد",IF(H272&gt;=180,"مقبول","راسب"))))</f>
        <v>راسب</v>
      </c>
      <c r="J272" s="28" t="s">
        <v>315</v>
      </c>
      <c r="K272" s="37">
        <v>0</v>
      </c>
      <c r="L272" s="28" t="str">
        <f>IF(K272&gt;=85,"ممتاز",IF(K272&gt;=75,"جيد جدا",IF(K272&gt;=65,"جيد",IF(K272&gt;=60,"مقبول","راسب"))))</f>
        <v>راسب</v>
      </c>
      <c r="M272" s="28" t="s">
        <v>315</v>
      </c>
      <c r="N272" s="17">
        <v>0</v>
      </c>
      <c r="O272" s="37">
        <v>0</v>
      </c>
      <c r="P272" s="29" t="str">
        <f>IF(AND(N272&gt;=24),IF(O272&gt;=85,"ممتاز",IF(O272&gt;=75,"جيد جداً",IF(O272&gt;=65,"جيد",IF(O272&gt;=60,"مقبول","راسب")))),"راسب ")</f>
        <v xml:space="preserve">راسب </v>
      </c>
      <c r="Q272" s="28" t="s">
        <v>315</v>
      </c>
      <c r="R272" s="37">
        <v>0</v>
      </c>
      <c r="S272" s="29" t="str">
        <f>IF(R272&gt;=85,"ممتاز",IF(R272&gt;=75,"جيد جدا",IF(R272&gt;=65,"جيد",IF(R272&gt;=60,"مقبول","راسب"))))</f>
        <v>راسب</v>
      </c>
      <c r="T272" s="28" t="s">
        <v>315</v>
      </c>
      <c r="U272" s="29" t="s">
        <v>315</v>
      </c>
      <c r="V272" s="32">
        <f>SUM(E272,H272,K272,O272,R272)</f>
        <v>0</v>
      </c>
      <c r="W272" s="18" t="str">
        <f>IF(AND(H272&gt;=180,E272&gt;=120,O272&gt;=60,K272&gt;=60,R272&gt;=60,D272&gt;=30,N272&gt;=24),IF(V272&gt;=680,"ممتاز",IF(V272&gt;=600,"جيد جدا",IF(V272&gt;=520,"جيد",IF(V272&gt;=480,"مقبول","راسب")))),"راسب")</f>
        <v>راسب</v>
      </c>
      <c r="X272" s="19">
        <f>IF(AND(O272&gt;=60,R272&gt;=60,K272&gt;=60,H272&gt;=180,E272&gt;=120,D272&gt;=30,N272&gt;=24),(V272/800)*100%,0)</f>
        <v>0</v>
      </c>
    </row>
    <row r="273" spans="1:24" x14ac:dyDescent="0.35">
      <c r="A273" s="15">
        <v>264</v>
      </c>
      <c r="B273" s="23">
        <v>18427</v>
      </c>
      <c r="C273" s="23" t="s">
        <v>190</v>
      </c>
      <c r="D273" s="30">
        <v>0</v>
      </c>
      <c r="E273" s="30">
        <v>0</v>
      </c>
      <c r="F273" s="28" t="str">
        <f>IF(AND(D273&gt;=30),IF(E273&gt;=170,"ممتاز",IF(E273&gt;=150,"جيد جداً",IF(E273&gt;=130,"جيد",IF(E273&gt;=120,"مقبول","راسب")))),"راسب ")</f>
        <v xml:space="preserve">راسب </v>
      </c>
      <c r="G273" s="28" t="s">
        <v>315</v>
      </c>
      <c r="H273" s="32">
        <v>196.5</v>
      </c>
      <c r="I273" s="18" t="str">
        <f>IF(H273&gt;=255,"ممتاز",IF(H273&gt;=225,"جيد جدا",IF(H273&gt;=195,"جيد",IF(H273&gt;=180,"مقبول","راسب"))))</f>
        <v>جيد</v>
      </c>
      <c r="J273" s="28" t="s">
        <v>200</v>
      </c>
      <c r="K273" s="37">
        <v>0</v>
      </c>
      <c r="L273" s="28" t="str">
        <f>IF(K273&gt;=85,"ممتاز",IF(K273&gt;=75,"جيد جدا",IF(K273&gt;=65,"جيد",IF(K273&gt;=60,"مقبول","راسب"))))</f>
        <v>راسب</v>
      </c>
      <c r="M273" s="28" t="s">
        <v>315</v>
      </c>
      <c r="N273" s="17">
        <v>0</v>
      </c>
      <c r="O273" s="37">
        <v>0</v>
      </c>
      <c r="P273" s="29" t="str">
        <f>IF(AND(N273&gt;=24),IF(O273&gt;=85,"ممتاز",IF(O273&gt;=75,"جيد جداً",IF(O273&gt;=65,"جيد",IF(O273&gt;=60,"مقبول","راسب")))),"راسب ")</f>
        <v xml:space="preserve">راسب </v>
      </c>
      <c r="Q273" s="28" t="s">
        <v>315</v>
      </c>
      <c r="R273" s="37">
        <v>0</v>
      </c>
      <c r="S273" s="29" t="str">
        <f>IF(R273&gt;=85,"ممتاز",IF(R273&gt;=75,"جيد جدا",IF(R273&gt;=65,"جيد",IF(R273&gt;=60,"مقبول","راسب"))))</f>
        <v>راسب</v>
      </c>
      <c r="T273" s="28" t="s">
        <v>315</v>
      </c>
      <c r="U273" s="29"/>
      <c r="V273" s="32">
        <f>SUM(E273,H273,K273,O273,R273)</f>
        <v>196.5</v>
      </c>
      <c r="W273" s="18" t="str">
        <f>IF(AND(H273&gt;=180,E273&gt;=120,O273&gt;=60,K273&gt;=60,R273&gt;=60,D273&gt;=30,N273&gt;=24),IF(V273&gt;=680,"ممتاز",IF(V273&gt;=600,"جيد جدا",IF(V273&gt;=520,"جيد",IF(V273&gt;=480,"مقبول","راسب")))),"راسب")</f>
        <v>راسب</v>
      </c>
      <c r="X273" s="19">
        <f>IF(AND(O273&gt;=60,R273&gt;=60,K273&gt;=60,H273&gt;=180,E273&gt;=120,D273&gt;=30,N273&gt;=24),(V273/800)*100%,0)</f>
        <v>0</v>
      </c>
    </row>
    <row r="274" spans="1:24" x14ac:dyDescent="0.35">
      <c r="A274" s="15">
        <v>265</v>
      </c>
      <c r="B274" s="23">
        <v>18551</v>
      </c>
      <c r="C274" s="23" t="s">
        <v>269</v>
      </c>
      <c r="D274" s="30">
        <v>36</v>
      </c>
      <c r="E274" s="32">
        <v>126</v>
      </c>
      <c r="F274" s="28" t="str">
        <f>IF(AND(D274&gt;=30),IF(E274&gt;=170,"ممتاز",IF(E274&gt;=150,"جيد جداً",IF(E274&gt;=130,"جيد",IF(E274&gt;=120,"مقبول","راسب")))),"راسب ")</f>
        <v>مقبول</v>
      </c>
      <c r="G274" s="28" t="s">
        <v>200</v>
      </c>
      <c r="H274" s="36">
        <v>180</v>
      </c>
      <c r="I274" s="18" t="str">
        <f>IF(H274&gt;=255,"ممتاز",IF(H274&gt;=225,"جيد جدا",IF(H274&gt;=195,"جيد",IF(H274&gt;=180,"مقبول","راسب"))))</f>
        <v>مقبول</v>
      </c>
      <c r="J274" s="28" t="s">
        <v>200</v>
      </c>
      <c r="K274" s="37">
        <v>87.86</v>
      </c>
      <c r="L274" s="28" t="str">
        <f>IF(K274&gt;=85,"ممتاز",IF(K274&gt;=75,"جيد جدا",IF(K274&gt;=65,"جيد",IF(K274&gt;=60,"مقبول","راسب"))))</f>
        <v>ممتاز</v>
      </c>
      <c r="M274" s="28" t="s">
        <v>200</v>
      </c>
      <c r="N274" s="17">
        <v>27</v>
      </c>
      <c r="O274" s="37">
        <v>63</v>
      </c>
      <c r="P274" s="29" t="str">
        <f>IF(AND(N274&gt;=24),IF(O274&gt;=85,"ممتاز",IF(O274&gt;=75,"جيد جداً",IF(O274&gt;=65,"جيد",IF(O274&gt;=60,"مقبول","راسب")))),"راسب ")</f>
        <v>مقبول</v>
      </c>
      <c r="Q274" s="28" t="s">
        <v>200</v>
      </c>
      <c r="R274" s="37">
        <v>0</v>
      </c>
      <c r="S274" s="29" t="str">
        <f>IF(R274&gt;=85,"ممتاز",IF(R274&gt;=75,"جيد جدا",IF(R274&gt;=65,"جيد",IF(R274&gt;=60,"مقبول","راسب"))))</f>
        <v>راسب</v>
      </c>
      <c r="T274" s="28" t="s">
        <v>315</v>
      </c>
      <c r="U274" s="29"/>
      <c r="V274" s="32">
        <f>SUM(E274,H274,K274,O274,R274)</f>
        <v>456.86</v>
      </c>
      <c r="W274" s="18" t="str">
        <f>IF(AND(H274&gt;=180,E274&gt;=120,O274&gt;=60,K274&gt;=60,R274&gt;=60,D274&gt;=30,N274&gt;=24),IF(V274&gt;=680,"ممتاز",IF(V274&gt;=600,"جيد جدا",IF(V274&gt;=520,"جيد",IF(V274&gt;=480,"مقبول","راسب")))),"راسب")</f>
        <v>راسب</v>
      </c>
      <c r="X274" s="19">
        <f>IF(AND(O274&gt;=60,R274&gt;=60,K274&gt;=60,H274&gt;=180,E274&gt;=120,D274&gt;=30,N274&gt;=24),(V274/800)*100%,0)</f>
        <v>0</v>
      </c>
    </row>
    <row r="275" spans="1:24" x14ac:dyDescent="0.35">
      <c r="A275" s="15">
        <v>266</v>
      </c>
      <c r="B275" s="23">
        <v>18587</v>
      </c>
      <c r="C275" s="23" t="s">
        <v>270</v>
      </c>
      <c r="D275" s="30">
        <v>50</v>
      </c>
      <c r="E275" s="30">
        <v>147.75</v>
      </c>
      <c r="F275" s="28" t="str">
        <f>IF(AND(D275&gt;=30),IF(E275&gt;=170,"ممتاز",IF(E275&gt;=150,"جيد جداً",IF(E275&gt;=130,"جيد",IF(E275&gt;=120,"مقبول","راسب")))),"راسب ")</f>
        <v>جيد</v>
      </c>
      <c r="G275" s="28" t="s">
        <v>316</v>
      </c>
      <c r="H275" s="36">
        <v>196</v>
      </c>
      <c r="I275" s="18" t="str">
        <f>IF(H275&gt;=255,"ممتاز",IF(H275&gt;=225,"جيد جدا",IF(H275&gt;=195,"جيد",IF(H275&gt;=180,"مقبول","راسب"))))</f>
        <v>جيد</v>
      </c>
      <c r="J275" s="28" t="s">
        <v>200</v>
      </c>
      <c r="K275" s="37">
        <v>65.44</v>
      </c>
      <c r="L275" s="28" t="str">
        <f>IF(K275&gt;=85,"ممتاز",IF(K275&gt;=75,"جيد جدا",IF(K275&gt;=65,"جيد",IF(K275&gt;=60,"مقبول","راسب"))))</f>
        <v>جيد</v>
      </c>
      <c r="M275" s="28" t="s">
        <v>200</v>
      </c>
      <c r="N275" s="17">
        <v>36</v>
      </c>
      <c r="O275" s="37">
        <v>78</v>
      </c>
      <c r="P275" s="29" t="str">
        <f>IF(AND(N275&gt;=24),IF(O275&gt;=85,"ممتاز",IF(O275&gt;=75,"جيد جداً",IF(O275&gt;=65,"جيد",IF(O275&gt;=60,"مقبول","راسب")))),"راسب ")</f>
        <v>جيد جداً</v>
      </c>
      <c r="Q275" s="28" t="s">
        <v>200</v>
      </c>
      <c r="R275" s="37">
        <v>0</v>
      </c>
      <c r="S275" s="29" t="str">
        <f>IF(R275&gt;=85,"ممتاز",IF(R275&gt;=75,"جيد جدا",IF(R275&gt;=65,"جيد",IF(R275&gt;=60,"مقبول","راسب"))))</f>
        <v>راسب</v>
      </c>
      <c r="T275" s="28" t="s">
        <v>315</v>
      </c>
      <c r="U275" s="29"/>
      <c r="V275" s="32">
        <f>SUM(E275,H275,K275,O275,R275)</f>
        <v>487.19</v>
      </c>
      <c r="W275" s="18" t="str">
        <f>IF(AND(H275&gt;=180,E275&gt;=120,O275&gt;=60,K275&gt;=60,R275&gt;=60,D275&gt;=30,N275&gt;=24),IF(V275&gt;=680,"ممتاز",IF(V275&gt;=600,"جيد جدا",IF(V275&gt;=520,"جيد",IF(V275&gt;=480,"مقبول","راسب")))),"راسب")</f>
        <v>راسب</v>
      </c>
      <c r="X275" s="19">
        <f>IF(AND(O275&gt;=60,R275&gt;=60,K275&gt;=60,H275&gt;=180,E275&gt;=120,D275&gt;=30,N275&gt;=24),(V275/800)*100%,0)</f>
        <v>0</v>
      </c>
    </row>
    <row r="276" spans="1:24" x14ac:dyDescent="0.35">
      <c r="A276" s="15">
        <v>267</v>
      </c>
      <c r="B276" s="23">
        <v>18591</v>
      </c>
      <c r="C276" s="23" t="s">
        <v>271</v>
      </c>
      <c r="D276" s="30">
        <v>36</v>
      </c>
      <c r="E276" s="32">
        <v>126.9</v>
      </c>
      <c r="F276" s="28" t="str">
        <f>IF(AND(D276&gt;=30),IF(E276&gt;=170,"ممتاز",IF(E276&gt;=150,"جيد جداً",IF(E276&gt;=130,"جيد",IF(E276&gt;=120,"مقبول","راسب")))),"راسب ")</f>
        <v>مقبول</v>
      </c>
      <c r="G276" s="28" t="s">
        <v>200</v>
      </c>
      <c r="H276" s="36">
        <v>206</v>
      </c>
      <c r="I276" s="18" t="str">
        <f>IF(H276&gt;=255,"ممتاز",IF(H276&gt;=225,"جيد جدا",IF(H276&gt;=195,"جيد",IF(H276&gt;=180,"مقبول","راسب"))))</f>
        <v>جيد</v>
      </c>
      <c r="J276" s="28" t="s">
        <v>200</v>
      </c>
      <c r="K276" s="37">
        <v>67</v>
      </c>
      <c r="L276" s="28" t="str">
        <f>IF(K276&gt;=85,"ممتاز",IF(K276&gt;=75,"جيد جدا",IF(K276&gt;=65,"جيد",IF(K276&gt;=60,"مقبول","راسب"))))</f>
        <v>جيد</v>
      </c>
      <c r="M276" s="28" t="s">
        <v>316</v>
      </c>
      <c r="N276" s="17">
        <v>18</v>
      </c>
      <c r="O276" s="37">
        <v>54.375</v>
      </c>
      <c r="P276" s="29" t="str">
        <f>IF(AND(N276&gt;=24),IF(O276&gt;=85,"ممتاز",IF(O276&gt;=75,"جيد جداً",IF(O276&gt;=65,"جيد",IF(O276&gt;=60,"مقبول","راسب")))),"راسب ")</f>
        <v xml:space="preserve">راسب </v>
      </c>
      <c r="Q276" s="28" t="s">
        <v>316</v>
      </c>
      <c r="R276" s="37">
        <v>0</v>
      </c>
      <c r="S276" s="29" t="str">
        <f>IF(R276&gt;=85,"ممتاز",IF(R276&gt;=75,"جيد جدا",IF(R276&gt;=65,"جيد",IF(R276&gt;=60,"مقبول","راسب"))))</f>
        <v>راسب</v>
      </c>
      <c r="T276" s="28" t="s">
        <v>315</v>
      </c>
      <c r="U276" s="29"/>
      <c r="V276" s="32">
        <f>SUM(E276,H276,K276,O276,R276)</f>
        <v>454.27499999999998</v>
      </c>
      <c r="W276" s="18" t="str">
        <f>IF(AND(H276&gt;=180,E276&gt;=120,O276&gt;=60,K276&gt;=60,R276&gt;=60,D276&gt;=30,N276&gt;=24),IF(V276&gt;=680,"ممتاز",IF(V276&gt;=600,"جيد جدا",IF(V276&gt;=520,"جيد",IF(V276&gt;=480,"مقبول","راسب")))),"راسب")</f>
        <v>راسب</v>
      </c>
      <c r="X276" s="19">
        <f>IF(AND(O276&gt;=60,R276&gt;=60,K276&gt;=60,H276&gt;=180,E276&gt;=120,D276&gt;=30,N276&gt;=24),(V276/800)*100%,0)</f>
        <v>0</v>
      </c>
    </row>
    <row r="277" spans="1:24" x14ac:dyDescent="0.35">
      <c r="A277" s="15">
        <v>268</v>
      </c>
      <c r="B277" s="23">
        <v>18635</v>
      </c>
      <c r="C277" s="23" t="s">
        <v>273</v>
      </c>
      <c r="D277" s="30">
        <v>0</v>
      </c>
      <c r="E277" s="30">
        <v>0</v>
      </c>
      <c r="F277" s="28" t="str">
        <f>IF(AND(D277&gt;=30),IF(E277&gt;=170,"ممتاز",IF(E277&gt;=150,"جيد جداً",IF(E277&gt;=130,"جيد",IF(E277&gt;=120,"مقبول","راسب")))),"راسب ")</f>
        <v xml:space="preserve">راسب </v>
      </c>
      <c r="G277" s="28" t="s">
        <v>315</v>
      </c>
      <c r="H277" s="36">
        <v>185</v>
      </c>
      <c r="I277" s="18" t="str">
        <f>IF(H277&gt;=255,"ممتاز",IF(H277&gt;=225,"جيد جدا",IF(H277&gt;=195,"جيد",IF(H277&gt;=180,"مقبول","راسب"))))</f>
        <v>مقبول</v>
      </c>
      <c r="J277" s="28" t="s">
        <v>316</v>
      </c>
      <c r="K277" s="37">
        <v>72</v>
      </c>
      <c r="L277" s="28" t="str">
        <f>IF(K277&gt;=85,"ممتاز",IF(K277&gt;=75,"جيد جدا",IF(K277&gt;=65,"جيد",IF(K277&gt;=60,"مقبول","راسب"))))</f>
        <v>جيد</v>
      </c>
      <c r="M277" s="28" t="s">
        <v>316</v>
      </c>
      <c r="N277" s="17">
        <v>24</v>
      </c>
      <c r="O277" s="37">
        <v>72.5</v>
      </c>
      <c r="P277" s="29" t="str">
        <f>IF(AND(N277&gt;=24),IF(O277&gt;=85,"ممتاز",IF(O277&gt;=75,"جيد جداً",IF(O277&gt;=65,"جيد",IF(O277&gt;=60,"مقبول","راسب")))),"راسب ")</f>
        <v>جيد</v>
      </c>
      <c r="Q277" s="28" t="s">
        <v>316</v>
      </c>
      <c r="R277" s="37">
        <v>0</v>
      </c>
      <c r="S277" s="29" t="str">
        <f>IF(R277&gt;=85,"ممتاز",IF(R277&gt;=75,"جيد جدا",IF(R277&gt;=65,"جيد",IF(R277&gt;=60,"مقبول","راسب"))))</f>
        <v>راسب</v>
      </c>
      <c r="T277" s="28" t="s">
        <v>315</v>
      </c>
      <c r="U277" s="29"/>
      <c r="V277" s="32">
        <f>SUM(E277,H277,K277,O277,R277)</f>
        <v>329.5</v>
      </c>
      <c r="W277" s="18" t="str">
        <f>IF(AND(H277&gt;=180,E277&gt;=120,O277&gt;=60,K277&gt;=60,R277&gt;=60,D277&gt;=30,N277&gt;=24),IF(V277&gt;=680,"ممتاز",IF(V277&gt;=600,"جيد جدا",IF(V277&gt;=520,"جيد",IF(V277&gt;=480,"مقبول","راسب")))),"راسب")</f>
        <v>راسب</v>
      </c>
      <c r="X277" s="19">
        <f>IF(AND(O277&gt;=60,R277&gt;=60,K277&gt;=60,H277&gt;=180,E277&gt;=120,D277&gt;=30,N277&gt;=24),(V277/800)*100%,0)</f>
        <v>0</v>
      </c>
    </row>
    <row r="278" spans="1:24" x14ac:dyDescent="0.35">
      <c r="A278" s="15">
        <v>269</v>
      </c>
      <c r="B278" s="23">
        <v>18680</v>
      </c>
      <c r="C278" s="23" t="s">
        <v>194</v>
      </c>
      <c r="D278" s="30">
        <v>0</v>
      </c>
      <c r="E278" s="30">
        <v>0</v>
      </c>
      <c r="F278" s="28" t="str">
        <f>IF(AND(D278&gt;=30),IF(E278&gt;=170,"ممتاز",IF(E278&gt;=150,"جيد جداً",IF(E278&gt;=130,"جيد",IF(E278&gt;=120,"مقبول","راسب")))),"راسب ")</f>
        <v xml:space="preserve">راسب </v>
      </c>
      <c r="G278" s="28" t="s">
        <v>315</v>
      </c>
      <c r="H278" s="36">
        <v>0</v>
      </c>
      <c r="I278" s="18" t="str">
        <f>IF(H278&gt;=255,"ممتاز",IF(H278&gt;=225,"جيد جدا",IF(H278&gt;=195,"جيد",IF(H278&gt;=180,"مقبول","راسب"))))</f>
        <v>راسب</v>
      </c>
      <c r="J278" s="28" t="s">
        <v>315</v>
      </c>
      <c r="K278" s="37">
        <v>0</v>
      </c>
      <c r="L278" s="28" t="str">
        <f>IF(K278&gt;=85,"ممتاز",IF(K278&gt;=75,"جيد جدا",IF(K278&gt;=65,"جيد",IF(K278&gt;=60,"مقبول","راسب"))))</f>
        <v>راسب</v>
      </c>
      <c r="M278" s="28" t="s">
        <v>315</v>
      </c>
      <c r="N278" s="17">
        <v>0</v>
      </c>
      <c r="O278" s="37">
        <v>0</v>
      </c>
      <c r="P278" s="29" t="str">
        <f>IF(AND(N278&gt;=24),IF(O278&gt;=85,"ممتاز",IF(O278&gt;=75,"جيد جداً",IF(O278&gt;=65,"جيد",IF(O278&gt;=60,"مقبول","راسب")))),"راسب ")</f>
        <v xml:space="preserve">راسب </v>
      </c>
      <c r="Q278" s="28" t="s">
        <v>315</v>
      </c>
      <c r="R278" s="37">
        <v>0</v>
      </c>
      <c r="S278" s="29" t="str">
        <f>IF(R278&gt;=85,"ممتاز",IF(R278&gt;=75,"جيد جدا",IF(R278&gt;=65,"جيد",IF(R278&gt;=60,"مقبول","راسب"))))</f>
        <v>راسب</v>
      </c>
      <c r="T278" s="28" t="s">
        <v>315</v>
      </c>
      <c r="U278" s="29" t="s">
        <v>315</v>
      </c>
      <c r="V278" s="32">
        <f>SUM(E278,H278,K278,O278,R278)</f>
        <v>0</v>
      </c>
      <c r="W278" s="18" t="str">
        <f>IF(AND(H278&gt;=180,E278&gt;=120,O278&gt;=60,K278&gt;=60,R278&gt;=60,D278&gt;=30,N278&gt;=24),IF(V278&gt;=680,"ممتاز",IF(V278&gt;=600,"جيد جدا",IF(V278&gt;=520,"جيد",IF(V278&gt;=480,"مقبول","راسب")))),"راسب")</f>
        <v>راسب</v>
      </c>
      <c r="X278" s="19">
        <f>IF(AND(O278&gt;=60,R278&gt;=60,K278&gt;=60,H278&gt;=180,E278&gt;=120,D278&gt;=30,N278&gt;=24),(V278/800)*100%,0)</f>
        <v>0</v>
      </c>
    </row>
    <row r="279" spans="1:24" x14ac:dyDescent="0.35">
      <c r="A279" s="15">
        <v>270</v>
      </c>
      <c r="B279" s="24">
        <v>18769</v>
      </c>
      <c r="C279" s="20" t="s">
        <v>279</v>
      </c>
      <c r="D279" s="30">
        <v>36.75</v>
      </c>
      <c r="E279" s="32">
        <v>125.95</v>
      </c>
      <c r="F279" s="28" t="str">
        <f>IF(AND(D279&gt;=30),IF(E279&gt;=170,"ممتاز",IF(E279&gt;=150,"جيد جداً",IF(E279&gt;=130,"جيد",IF(E279&gt;=120,"مقبول","راسب")))),"راسب ")</f>
        <v>مقبول</v>
      </c>
      <c r="G279" s="28" t="s">
        <v>200</v>
      </c>
      <c r="H279" s="36">
        <v>190</v>
      </c>
      <c r="I279" s="18" t="str">
        <f>IF(H279&gt;=255,"ممتاز",IF(H279&gt;=225,"جيد جدا",IF(H279&gt;=195,"جيد",IF(H279&gt;=180,"مقبول","راسب"))))</f>
        <v>مقبول</v>
      </c>
      <c r="J279" s="28" t="s">
        <v>200</v>
      </c>
      <c r="K279" s="37">
        <v>73.290000000000006</v>
      </c>
      <c r="L279" s="28" t="str">
        <f>IF(K279&gt;=85,"ممتاز",IF(K279&gt;=75,"جيد جدا",IF(K279&gt;=65,"جيد",IF(K279&gt;=60,"مقبول","راسب"))))</f>
        <v>جيد</v>
      </c>
      <c r="M279" s="28" t="s">
        <v>200</v>
      </c>
      <c r="N279" s="17">
        <v>24</v>
      </c>
      <c r="O279" s="37">
        <v>65.5</v>
      </c>
      <c r="P279" s="29" t="str">
        <f>IF(AND(N279&gt;=24),IF(O279&gt;=85,"ممتاز",IF(O279&gt;=75,"جيد جداً",IF(O279&gt;=65,"جيد",IF(O279&gt;=60,"مقبول","راسب")))),"راسب ")</f>
        <v>جيد</v>
      </c>
      <c r="Q279" s="28" t="s">
        <v>200</v>
      </c>
      <c r="R279" s="37">
        <v>0</v>
      </c>
      <c r="S279" s="29" t="str">
        <f>IF(R279&gt;=85,"ممتاز",IF(R279&gt;=75,"جيد جدا",IF(R279&gt;=65,"جيد",IF(R279&gt;=60,"مقبول","راسب"))))</f>
        <v>راسب</v>
      </c>
      <c r="T279" s="28" t="s">
        <v>315</v>
      </c>
      <c r="U279" s="29"/>
      <c r="V279" s="32">
        <f>SUM(E279,H279,K279,O279,R279)</f>
        <v>454.74</v>
      </c>
      <c r="W279" s="18" t="str">
        <f>IF(AND(H279&gt;=180,E279&gt;=120,O279&gt;=60,K279&gt;=60,R279&gt;=60,D279&gt;=30,N279&gt;=24),IF(V279&gt;=680,"ممتاز",IF(V279&gt;=600,"جيد جدا",IF(V279&gt;=520,"جيد",IF(V279&gt;=480,"مقبول","راسب")))),"راسب")</f>
        <v>راسب</v>
      </c>
      <c r="X279" s="19">
        <f>IF(AND(O279&gt;=60,R279&gt;=60,K279&gt;=60,H279&gt;=180,E279&gt;=120,D279&gt;=30,N279&gt;=24),(V279/800)*100%,0)</f>
        <v>0</v>
      </c>
    </row>
    <row r="280" spans="1:24" x14ac:dyDescent="0.35">
      <c r="A280" s="15">
        <v>271</v>
      </c>
      <c r="B280" s="15">
        <v>18904</v>
      </c>
      <c r="C280" s="15" t="s">
        <v>281</v>
      </c>
      <c r="D280" s="30">
        <v>0</v>
      </c>
      <c r="E280" s="30">
        <v>0</v>
      </c>
      <c r="F280" s="28" t="str">
        <f>IF(AND(D280&gt;=30),IF(E280&gt;=170,"ممتاز",IF(E280&gt;=150,"جيد جداً",IF(E280&gt;=130,"جيد",IF(E280&gt;=120,"مقبول","راسب")))),"راسب ")</f>
        <v xml:space="preserve">راسب </v>
      </c>
      <c r="G280" s="28" t="s">
        <v>315</v>
      </c>
      <c r="H280" s="36">
        <v>0</v>
      </c>
      <c r="I280" s="18" t="str">
        <f>IF(H280&gt;=255,"ممتاز",IF(H280&gt;=225,"جيد جدا",IF(H280&gt;=195,"جيد",IF(H280&gt;=180,"مقبول","راسب"))))</f>
        <v>راسب</v>
      </c>
      <c r="J280" s="28" t="s">
        <v>315</v>
      </c>
      <c r="K280" s="37">
        <v>0</v>
      </c>
      <c r="L280" s="28" t="str">
        <f>IF(K280&gt;=85,"ممتاز",IF(K280&gt;=75,"جيد جدا",IF(K280&gt;=65,"جيد",IF(K280&gt;=60,"مقبول","راسب"))))</f>
        <v>راسب</v>
      </c>
      <c r="M280" s="28" t="s">
        <v>315</v>
      </c>
      <c r="N280" s="17">
        <v>0</v>
      </c>
      <c r="O280" s="37">
        <v>0</v>
      </c>
      <c r="P280" s="29" t="str">
        <f>IF(AND(N280&gt;=24),IF(O280&gt;=85,"ممتاز",IF(O280&gt;=75,"جيد جداً",IF(O280&gt;=65,"جيد",IF(O280&gt;=60,"مقبول","راسب")))),"راسب ")</f>
        <v xml:space="preserve">راسب </v>
      </c>
      <c r="Q280" s="28" t="s">
        <v>315</v>
      </c>
      <c r="R280" s="37">
        <v>0</v>
      </c>
      <c r="S280" s="29" t="str">
        <f>IF(R280&gt;=85,"ممتاز",IF(R280&gt;=75,"جيد جدا",IF(R280&gt;=65,"جيد",IF(R280&gt;=60,"مقبول","راسب"))))</f>
        <v>راسب</v>
      </c>
      <c r="T280" s="28" t="s">
        <v>315</v>
      </c>
      <c r="U280" s="29" t="s">
        <v>315</v>
      </c>
      <c r="V280" s="32">
        <f>SUM(E280,H280,K280,O280,R280)</f>
        <v>0</v>
      </c>
      <c r="W280" s="18" t="str">
        <f>IF(AND(H280&gt;=180,E280&gt;=120,O280&gt;=60,K280&gt;=60,R280&gt;=60,D280&gt;=30,N280&gt;=24),IF(V280&gt;=680,"ممتاز",IF(V280&gt;=600,"جيد جدا",IF(V280&gt;=520,"جيد",IF(V280&gt;=480,"مقبول","راسب")))),"راسب")</f>
        <v>راسب</v>
      </c>
      <c r="X280" s="19">
        <f>IF(AND(O280&gt;=60,R280&gt;=60,K280&gt;=60,H280&gt;=180,E280&gt;=120,D280&gt;=30,N280&gt;=24),(V280/800)*100%,0)</f>
        <v>0</v>
      </c>
    </row>
    <row r="281" spans="1:24" x14ac:dyDescent="0.35">
      <c r="A281" s="15">
        <v>272</v>
      </c>
      <c r="B281" s="27">
        <v>19039</v>
      </c>
      <c r="C281" s="26" t="s">
        <v>285</v>
      </c>
      <c r="D281" s="30">
        <v>0</v>
      </c>
      <c r="E281" s="30">
        <v>0</v>
      </c>
      <c r="F281" s="28" t="str">
        <f>IF(AND(D281&gt;=30),IF(E281&gt;=170,"ممتاز",IF(E281&gt;=150,"جيد جداً",IF(E281&gt;=130,"جيد",IF(E281&gt;=120,"مقبول","راسب")))),"راسب ")</f>
        <v xml:space="preserve">راسب </v>
      </c>
      <c r="G281" s="28" t="s">
        <v>315</v>
      </c>
      <c r="H281" s="36">
        <v>0</v>
      </c>
      <c r="I281" s="18" t="str">
        <f>IF(H281&gt;=255,"ممتاز",IF(H281&gt;=225,"جيد جدا",IF(H281&gt;=195,"جيد",IF(H281&gt;=180,"مقبول","راسب"))))</f>
        <v>راسب</v>
      </c>
      <c r="J281" s="28" t="s">
        <v>315</v>
      </c>
      <c r="K281" s="37">
        <v>0</v>
      </c>
      <c r="L281" s="28" t="str">
        <f>IF(K281&gt;=85,"ممتاز",IF(K281&gt;=75,"جيد جدا",IF(K281&gt;=65,"جيد",IF(K281&gt;=60,"مقبول","راسب"))))</f>
        <v>راسب</v>
      </c>
      <c r="M281" s="28" t="s">
        <v>315</v>
      </c>
      <c r="N281" s="17">
        <v>0</v>
      </c>
      <c r="O281" s="37">
        <v>0</v>
      </c>
      <c r="P281" s="29" t="str">
        <f>IF(AND(N281&gt;=24),IF(O281&gt;=85,"ممتاز",IF(O281&gt;=75,"جيد جداً",IF(O281&gt;=65,"جيد",IF(O281&gt;=60,"مقبول","راسب")))),"راسب ")</f>
        <v xml:space="preserve">راسب </v>
      </c>
      <c r="Q281" s="28" t="s">
        <v>315</v>
      </c>
      <c r="R281" s="37">
        <v>0</v>
      </c>
      <c r="S281" s="29" t="str">
        <f>IF(R281&gt;=85,"ممتاز",IF(R281&gt;=75,"جيد جدا",IF(R281&gt;=65,"جيد",IF(R281&gt;=60,"مقبول","راسب"))))</f>
        <v>راسب</v>
      </c>
      <c r="T281" s="28" t="s">
        <v>315</v>
      </c>
      <c r="U281" s="29" t="s">
        <v>315</v>
      </c>
      <c r="V281" s="32">
        <f>SUM(E281,H281,K281,O281,R281)</f>
        <v>0</v>
      </c>
      <c r="W281" s="18" t="str">
        <f>IF(AND(H281&gt;=180,E281&gt;=120,O281&gt;=60,K281&gt;=60,R281&gt;=60,D281&gt;=30,N281&gt;=24),IF(V281&gt;=680,"ممتاز",IF(V281&gt;=600,"جيد جدا",IF(V281&gt;=520,"جيد",IF(V281&gt;=480,"مقبول","راسب")))),"راسب")</f>
        <v>راسب</v>
      </c>
      <c r="X281" s="19">
        <f>IF(AND(O281&gt;=60,R281&gt;=60,K281&gt;=60,H281&gt;=180,E281&gt;=120,D281&gt;=30,N281&gt;=24),(V281/800)*100%,0)</f>
        <v>0</v>
      </c>
    </row>
    <row r="282" spans="1:24" x14ac:dyDescent="0.35">
      <c r="A282" s="15">
        <v>273</v>
      </c>
      <c r="B282" s="23">
        <v>19108</v>
      </c>
      <c r="C282" s="23" t="s">
        <v>287</v>
      </c>
      <c r="D282" s="30">
        <v>0</v>
      </c>
      <c r="E282" s="30">
        <v>0</v>
      </c>
      <c r="F282" s="28" t="str">
        <f>IF(AND(D282&gt;=30),IF(E282&gt;=170,"ممتاز",IF(E282&gt;=150,"جيد جداً",IF(E282&gt;=130,"جيد",IF(E282&gt;=120,"مقبول","راسب")))),"راسب ")</f>
        <v xml:space="preserve">راسب </v>
      </c>
      <c r="G282" s="28" t="s">
        <v>315</v>
      </c>
      <c r="H282" s="36">
        <v>0</v>
      </c>
      <c r="I282" s="18" t="str">
        <f>IF(H282&gt;=255,"ممتاز",IF(H282&gt;=225,"جيد جدا",IF(H282&gt;=195,"جيد",IF(H282&gt;=180,"مقبول","راسب"))))</f>
        <v>راسب</v>
      </c>
      <c r="J282" s="28" t="s">
        <v>315</v>
      </c>
      <c r="K282" s="37">
        <v>0</v>
      </c>
      <c r="L282" s="28" t="str">
        <f>IF(K282&gt;=85,"ممتاز",IF(K282&gt;=75,"جيد جدا",IF(K282&gt;=65,"جيد",IF(K282&gt;=60,"مقبول","راسب"))))</f>
        <v>راسب</v>
      </c>
      <c r="M282" s="28" t="s">
        <v>315</v>
      </c>
      <c r="N282" s="17">
        <v>0</v>
      </c>
      <c r="O282" s="37">
        <v>0</v>
      </c>
      <c r="P282" s="29" t="str">
        <f>IF(AND(N282&gt;=24),IF(O282&gt;=85,"ممتاز",IF(O282&gt;=75,"جيد جداً",IF(O282&gt;=65,"جيد",IF(O282&gt;=60,"مقبول","راسب")))),"راسب ")</f>
        <v xml:space="preserve">راسب </v>
      </c>
      <c r="Q282" s="28" t="s">
        <v>315</v>
      </c>
      <c r="R282" s="37">
        <v>0</v>
      </c>
      <c r="S282" s="29" t="str">
        <f>IF(R282&gt;=85,"ممتاز",IF(R282&gt;=75,"جيد جدا",IF(R282&gt;=65,"جيد",IF(R282&gt;=60,"مقبول","راسب"))))</f>
        <v>راسب</v>
      </c>
      <c r="T282" s="28" t="s">
        <v>315</v>
      </c>
      <c r="U282" s="29" t="s">
        <v>315</v>
      </c>
      <c r="V282" s="32">
        <f>SUM(E282,H282,K282,O282,R282)</f>
        <v>0</v>
      </c>
      <c r="W282" s="18" t="str">
        <f>IF(AND(H282&gt;=180,E282&gt;=120,O282&gt;=60,K282&gt;=60,R282&gt;=60,D282&gt;=30,N282&gt;=24),IF(V282&gt;=680,"ممتاز",IF(V282&gt;=600,"جيد جدا",IF(V282&gt;=520,"جيد",IF(V282&gt;=480,"مقبول","راسب")))),"راسب")</f>
        <v>راسب</v>
      </c>
      <c r="X282" s="19">
        <f>IF(AND(O282&gt;=60,R282&gt;=60,K282&gt;=60,H282&gt;=180,E282&gt;=120,D282&gt;=30,N282&gt;=24),(V282/800)*100%,0)</f>
        <v>0</v>
      </c>
    </row>
    <row r="283" spans="1:24" x14ac:dyDescent="0.35">
      <c r="A283" s="15">
        <v>274</v>
      </c>
      <c r="B283" s="23">
        <v>19419</v>
      </c>
      <c r="C283" s="23" t="s">
        <v>297</v>
      </c>
      <c r="D283" s="30">
        <v>40.799999999999997</v>
      </c>
      <c r="E283" s="30">
        <v>123.05</v>
      </c>
      <c r="F283" s="28" t="str">
        <f>IF(AND(D283&gt;=30),IF(E283&gt;=170,"ممتاز",IF(E283&gt;=150,"جيد جداً",IF(E283&gt;=130,"جيد",IF(E283&gt;=120,"مقبول","راسب")))),"راسب ")</f>
        <v>مقبول</v>
      </c>
      <c r="G283" s="28" t="s">
        <v>316</v>
      </c>
      <c r="H283" s="36">
        <v>0</v>
      </c>
      <c r="I283" s="18" t="str">
        <f>IF(H283&gt;=255,"ممتاز",IF(H283&gt;=225,"جيد جدا",IF(H283&gt;=195,"جيد",IF(H283&gt;=180,"مقبول","راسب"))))</f>
        <v>راسب</v>
      </c>
      <c r="J283" s="28" t="s">
        <v>315</v>
      </c>
      <c r="K283" s="37">
        <v>62</v>
      </c>
      <c r="L283" s="28" t="str">
        <f>IF(K283&gt;=85,"ممتاز",IF(K283&gt;=75,"جيد جدا",IF(K283&gt;=65,"جيد",IF(K283&gt;=60,"مقبول","راسب"))))</f>
        <v>مقبول</v>
      </c>
      <c r="M283" s="28" t="s">
        <v>316</v>
      </c>
      <c r="N283" s="17">
        <v>24</v>
      </c>
      <c r="O283" s="37">
        <v>60</v>
      </c>
      <c r="P283" s="29" t="str">
        <f>IF(AND(N283&gt;=24),IF(O283&gt;=85,"ممتاز",IF(O283&gt;=75,"جيد جداً",IF(O283&gt;=65,"جيد",IF(O283&gt;=60,"مقبول","راسب")))),"راسب ")</f>
        <v>مقبول</v>
      </c>
      <c r="Q283" s="28" t="s">
        <v>316</v>
      </c>
      <c r="R283" s="37">
        <v>0</v>
      </c>
      <c r="S283" s="29" t="str">
        <f>IF(R283&gt;=85,"ممتاز",IF(R283&gt;=75,"جيد جدا",IF(R283&gt;=65,"جيد",IF(R283&gt;=60,"مقبول","راسب"))))</f>
        <v>راسب</v>
      </c>
      <c r="T283" s="28" t="s">
        <v>315</v>
      </c>
      <c r="U283" s="29"/>
      <c r="V283" s="32">
        <f>SUM(E283,H283,K283,O283,R283)</f>
        <v>245.05</v>
      </c>
      <c r="W283" s="18" t="str">
        <f>IF(AND(H283&gt;=180,E283&gt;=120,O283&gt;=60,K283&gt;=60,R283&gt;=60,D283&gt;=30,N283&gt;=24),IF(V283&gt;=680,"ممتاز",IF(V283&gt;=600,"جيد جدا",IF(V283&gt;=520,"جيد",IF(V283&gt;=480,"مقبول","راسب")))),"راسب")</f>
        <v>راسب</v>
      </c>
      <c r="X283" s="19">
        <f>IF(AND(O283&gt;=60,R283&gt;=60,K283&gt;=60,H283&gt;=180,E283&gt;=120,D283&gt;=30,N283&gt;=24),(V283/800)*100%,0)</f>
        <v>0</v>
      </c>
    </row>
    <row r="284" spans="1:24" x14ac:dyDescent="0.35">
      <c r="A284" s="15">
        <v>275</v>
      </c>
      <c r="B284" s="23">
        <v>19511</v>
      </c>
      <c r="C284" s="23" t="s">
        <v>298</v>
      </c>
      <c r="D284" s="30">
        <v>39.75</v>
      </c>
      <c r="E284" s="32">
        <v>147.30000000000001</v>
      </c>
      <c r="F284" s="28" t="str">
        <f>IF(AND(D284&gt;=30),IF(E284&gt;=170,"ممتاز",IF(E284&gt;=150,"جيد جداً",IF(E284&gt;=130,"جيد",IF(E284&gt;=120,"مقبول","راسب")))),"راسب ")</f>
        <v>جيد</v>
      </c>
      <c r="G284" s="28" t="s">
        <v>200</v>
      </c>
      <c r="H284" s="36">
        <v>0</v>
      </c>
      <c r="I284" s="18" t="str">
        <f>IF(H284&gt;=255,"ممتاز",IF(H284&gt;=225,"جيد جدا",IF(H284&gt;=195,"جيد",IF(H284&gt;=180,"مقبول","راسب"))))</f>
        <v>راسب</v>
      </c>
      <c r="J284" s="28" t="s">
        <v>315</v>
      </c>
      <c r="K284" s="37">
        <v>28</v>
      </c>
      <c r="L284" s="28" t="str">
        <f>IF(K284&gt;=85,"ممتاز",IF(K284&gt;=75,"جيد جدا",IF(K284&gt;=65,"جيد",IF(K284&gt;=60,"مقبول","راسب"))))</f>
        <v>راسب</v>
      </c>
      <c r="M284" s="28" t="s">
        <v>316</v>
      </c>
      <c r="N284" s="17">
        <v>0</v>
      </c>
      <c r="O284" s="37">
        <v>20.625</v>
      </c>
      <c r="P284" s="29" t="str">
        <f>IF(AND(N284&gt;=24),IF(O284&gt;=85,"ممتاز",IF(O284&gt;=75,"جيد جداً",IF(O284&gt;=65,"جيد",IF(O284&gt;=60,"مقبول","راسب")))),"راسب ")</f>
        <v xml:space="preserve">راسب </v>
      </c>
      <c r="Q284" s="28" t="s">
        <v>316</v>
      </c>
      <c r="R284" s="37">
        <v>0</v>
      </c>
      <c r="S284" s="29" t="str">
        <f>IF(R284&gt;=85,"ممتاز",IF(R284&gt;=75,"جيد جدا",IF(R284&gt;=65,"جيد",IF(R284&gt;=60,"مقبول","راسب"))))</f>
        <v>راسب</v>
      </c>
      <c r="T284" s="28" t="s">
        <v>315</v>
      </c>
      <c r="U284" s="29"/>
      <c r="V284" s="32">
        <f>SUM(E284,H284,K284,O284,R284)</f>
        <v>195.92500000000001</v>
      </c>
      <c r="W284" s="18" t="str">
        <f>IF(AND(H284&gt;=180,E284&gt;=120,O284&gt;=60,K284&gt;=60,R284&gt;=60,D284&gt;=30,N284&gt;=24),IF(V284&gt;=680,"ممتاز",IF(V284&gt;=600,"جيد جدا",IF(V284&gt;=520,"جيد",IF(V284&gt;=480,"مقبول","راسب")))),"راسب")</f>
        <v>راسب</v>
      </c>
      <c r="X284" s="19">
        <f>IF(AND(O284&gt;=60,R284&gt;=60,K284&gt;=60,H284&gt;=180,E284&gt;=120,D284&gt;=30,N284&gt;=24),(V284/800)*100%,0)</f>
        <v>0</v>
      </c>
    </row>
    <row r="285" spans="1:24" x14ac:dyDescent="0.35">
      <c r="A285" s="15">
        <v>276</v>
      </c>
      <c r="B285" s="23">
        <v>19647</v>
      </c>
      <c r="C285" s="23" t="s">
        <v>302</v>
      </c>
      <c r="D285" s="30">
        <v>0</v>
      </c>
      <c r="E285" s="30">
        <v>0</v>
      </c>
      <c r="F285" s="28" t="str">
        <f>IF(AND(D285&gt;=30),IF(E285&gt;=170,"ممتاز",IF(E285&gt;=150,"جيد جداً",IF(E285&gt;=130,"جيد",IF(E285&gt;=120,"مقبول","راسب")))),"راسب ")</f>
        <v xml:space="preserve">راسب </v>
      </c>
      <c r="G285" s="28" t="s">
        <v>315</v>
      </c>
      <c r="H285" s="36">
        <v>0</v>
      </c>
      <c r="I285" s="18" t="str">
        <f>IF(H285&gt;=255,"ممتاز",IF(H285&gt;=225,"جيد جدا",IF(H285&gt;=195,"جيد",IF(H285&gt;=180,"مقبول","راسب"))))</f>
        <v>راسب</v>
      </c>
      <c r="J285" s="28" t="s">
        <v>315</v>
      </c>
      <c r="K285" s="37">
        <v>0</v>
      </c>
      <c r="L285" s="28" t="str">
        <f>IF(K285&gt;=85,"ممتاز",IF(K285&gt;=75,"جيد جدا",IF(K285&gt;=65,"جيد",IF(K285&gt;=60,"مقبول","راسب"))))</f>
        <v>راسب</v>
      </c>
      <c r="M285" s="28" t="s">
        <v>315</v>
      </c>
      <c r="N285" s="17">
        <v>0</v>
      </c>
      <c r="O285" s="37">
        <v>0</v>
      </c>
      <c r="P285" s="29" t="str">
        <f>IF(AND(N285&gt;=24),IF(O285&gt;=85,"ممتاز",IF(O285&gt;=75,"جيد جداً",IF(O285&gt;=65,"جيد",IF(O285&gt;=60,"مقبول","راسب")))),"راسب ")</f>
        <v xml:space="preserve">راسب </v>
      </c>
      <c r="Q285" s="28" t="s">
        <v>315</v>
      </c>
      <c r="R285" s="37">
        <v>0</v>
      </c>
      <c r="S285" s="29" t="str">
        <f>IF(R285&gt;=85,"ممتاز",IF(R285&gt;=75,"جيد جدا",IF(R285&gt;=65,"جيد",IF(R285&gt;=60,"مقبول","راسب"))))</f>
        <v>راسب</v>
      </c>
      <c r="T285" s="28" t="s">
        <v>315</v>
      </c>
      <c r="U285" s="29" t="s">
        <v>315</v>
      </c>
      <c r="V285" s="32">
        <f>SUM(E285,H285,K285,O285,R285)</f>
        <v>0</v>
      </c>
      <c r="W285" s="18" t="str">
        <f>IF(AND(H285&gt;=180,E285&gt;=120,O285&gt;=60,K285&gt;=60,R285&gt;=60,D285&gt;=30,N285&gt;=24),IF(V285&gt;=680,"ممتاز",IF(V285&gt;=600,"جيد جدا",IF(V285&gt;=520,"جيد",IF(V285&gt;=480,"مقبول","راسب")))),"راسب")</f>
        <v>راسب</v>
      </c>
      <c r="X285" s="19">
        <f>IF(AND(O285&gt;=60,R285&gt;=60,K285&gt;=60,H285&gt;=180,E285&gt;=120,D285&gt;=30,N285&gt;=24),(V285/800)*100%,0)</f>
        <v>0</v>
      </c>
    </row>
    <row r="286" spans="1:24" x14ac:dyDescent="0.35">
      <c r="A286" s="15">
        <v>277</v>
      </c>
      <c r="B286" s="23">
        <v>20647</v>
      </c>
      <c r="C286" s="23" t="s">
        <v>304</v>
      </c>
      <c r="D286" s="30">
        <v>0</v>
      </c>
      <c r="E286" s="30">
        <v>0</v>
      </c>
      <c r="F286" s="28" t="str">
        <f>IF(AND(D286&gt;=30),IF(E286&gt;=170,"ممتاز",IF(E286&gt;=150,"جيد جداً",IF(E286&gt;=130,"جيد",IF(E286&gt;=120,"مقبول","راسب")))),"راسب ")</f>
        <v xml:space="preserve">راسب </v>
      </c>
      <c r="G286" s="28" t="s">
        <v>315</v>
      </c>
      <c r="H286" s="36">
        <v>0</v>
      </c>
      <c r="I286" s="18" t="str">
        <f>IF(H286&gt;=255,"ممتاز",IF(H286&gt;=225,"جيد جدا",IF(H286&gt;=195,"جيد",IF(H286&gt;=180,"مقبول","راسب"))))</f>
        <v>راسب</v>
      </c>
      <c r="J286" s="28" t="s">
        <v>315</v>
      </c>
      <c r="K286" s="37">
        <v>0</v>
      </c>
      <c r="L286" s="28" t="str">
        <f>IF(K286&gt;=85,"ممتاز",IF(K286&gt;=75,"جيد جدا",IF(K286&gt;=65,"جيد",IF(K286&gt;=60,"مقبول","راسب"))))</f>
        <v>راسب</v>
      </c>
      <c r="M286" s="28" t="s">
        <v>315</v>
      </c>
      <c r="N286" s="17">
        <v>0</v>
      </c>
      <c r="O286" s="37">
        <v>0</v>
      </c>
      <c r="P286" s="29" t="str">
        <f>IF(AND(N286&gt;=24),IF(O286&gt;=85,"ممتاز",IF(O286&gt;=75,"جيد جداً",IF(O286&gt;=65,"جيد",IF(O286&gt;=60,"مقبول","راسب")))),"راسب ")</f>
        <v xml:space="preserve">راسب </v>
      </c>
      <c r="Q286" s="28" t="s">
        <v>315</v>
      </c>
      <c r="R286" s="37">
        <v>0</v>
      </c>
      <c r="S286" s="29" t="str">
        <f>IF(R286&gt;=85,"ممتاز",IF(R286&gt;=75,"جيد جدا",IF(R286&gt;=65,"جيد",IF(R286&gt;=60,"مقبول","راسب"))))</f>
        <v>راسب</v>
      </c>
      <c r="T286" s="28" t="s">
        <v>315</v>
      </c>
      <c r="U286" s="29" t="s">
        <v>315</v>
      </c>
      <c r="V286" s="32">
        <f>SUM(E286,H286,K286,O286,R286)</f>
        <v>0</v>
      </c>
      <c r="W286" s="18" t="str">
        <f>IF(AND(H286&gt;=180,E286&gt;=120,O286&gt;=60,K286&gt;=60,R286&gt;=60,D286&gt;=30,N286&gt;=24),IF(V286&gt;=680,"ممتاز",IF(V286&gt;=600,"جيد جدا",IF(V286&gt;=520,"جيد",IF(V286&gt;=480,"مقبول","راسب")))),"راسب")</f>
        <v>راسب</v>
      </c>
      <c r="X286" s="19">
        <f>IF(AND(O286&gt;=60,R286&gt;=60,K286&gt;=60,H286&gt;=180,E286&gt;=120,D286&gt;=30,N286&gt;=24),(V286/800)*100%,0)</f>
        <v>0</v>
      </c>
    </row>
    <row r="287" spans="1:24" x14ac:dyDescent="0.35">
      <c r="A287" s="15">
        <v>278</v>
      </c>
      <c r="B287" s="23">
        <v>20731</v>
      </c>
      <c r="C287" s="23" t="s">
        <v>198</v>
      </c>
      <c r="D287" s="30">
        <v>0</v>
      </c>
      <c r="E287" s="30">
        <v>0</v>
      </c>
      <c r="F287" s="28" t="str">
        <f>IF(AND(D287&gt;=30),IF(E287&gt;=170,"ممتاز",IF(E287&gt;=150,"جيد جداً",IF(E287&gt;=130,"جيد",IF(E287&gt;=120,"مقبول","راسب")))),"راسب ")</f>
        <v xml:space="preserve">راسب </v>
      </c>
      <c r="G287" s="28" t="s">
        <v>315</v>
      </c>
      <c r="H287" s="36">
        <v>0</v>
      </c>
      <c r="I287" s="18" t="str">
        <f>IF(H287&gt;=255,"ممتاز",IF(H287&gt;=225,"جيد جدا",IF(H287&gt;=195,"جيد",IF(H287&gt;=180,"مقبول","راسب"))))</f>
        <v>راسب</v>
      </c>
      <c r="J287" s="28" t="s">
        <v>315</v>
      </c>
      <c r="K287" s="37">
        <v>0</v>
      </c>
      <c r="L287" s="28" t="str">
        <f>IF(K287&gt;=85,"ممتاز",IF(K287&gt;=75,"جيد جدا",IF(K287&gt;=65,"جيد",IF(K287&gt;=60,"مقبول","راسب"))))</f>
        <v>راسب</v>
      </c>
      <c r="M287" s="28" t="s">
        <v>315</v>
      </c>
      <c r="N287" s="17">
        <v>0</v>
      </c>
      <c r="O287" s="37">
        <v>0</v>
      </c>
      <c r="P287" s="29" t="str">
        <f>IF(AND(N287&gt;=24),IF(O287&gt;=85,"ممتاز",IF(O287&gt;=75,"جيد جداً",IF(O287&gt;=65,"جيد",IF(O287&gt;=60,"مقبول","راسب")))),"راسب ")</f>
        <v xml:space="preserve">راسب </v>
      </c>
      <c r="Q287" s="28" t="s">
        <v>315</v>
      </c>
      <c r="R287" s="37">
        <v>0</v>
      </c>
      <c r="S287" s="29" t="str">
        <f>IF(R287&gt;=85,"ممتاز",IF(R287&gt;=75,"جيد جدا",IF(R287&gt;=65,"جيد",IF(R287&gt;=60,"مقبول","راسب"))))</f>
        <v>راسب</v>
      </c>
      <c r="T287" s="28" t="s">
        <v>315</v>
      </c>
      <c r="U287" s="29" t="s">
        <v>315</v>
      </c>
      <c r="V287" s="32">
        <f>SUM(E287,H287,K287,O287,R287)</f>
        <v>0</v>
      </c>
      <c r="W287" s="18" t="str">
        <f>IF(AND(H287&gt;=180,E287&gt;=120,O287&gt;=60,K287&gt;=60,R287&gt;=60,D287&gt;=30,N287&gt;=24),IF(V287&gt;=680,"ممتاز",IF(V287&gt;=600,"جيد جدا",IF(V287&gt;=520,"جيد",IF(V287&gt;=480,"مقبول","راسب")))),"راسب")</f>
        <v>راسب</v>
      </c>
      <c r="X287" s="19">
        <f>IF(AND(O287&gt;=60,R287&gt;=60,K287&gt;=60,H287&gt;=180,E287&gt;=120,D287&gt;=30,N287&gt;=24),(V287/800)*100%,0)</f>
        <v>0</v>
      </c>
    </row>
    <row r="288" spans="1:24" x14ac:dyDescent="0.35">
      <c r="A288" s="15">
        <v>279</v>
      </c>
      <c r="B288" s="23">
        <v>21130</v>
      </c>
      <c r="C288" s="23" t="s">
        <v>310</v>
      </c>
      <c r="D288" s="30">
        <v>0</v>
      </c>
      <c r="E288" s="30">
        <v>0</v>
      </c>
      <c r="F288" s="28" t="str">
        <f>IF(AND(D288&gt;=30),IF(E288&gt;=170,"ممتاز",IF(E288&gt;=150,"جيد جداً",IF(E288&gt;=130,"جيد",IF(E288&gt;=120,"مقبول","راسب")))),"راسب ")</f>
        <v xml:space="preserve">راسب </v>
      </c>
      <c r="G288" s="28" t="s">
        <v>315</v>
      </c>
      <c r="H288" s="36">
        <v>0</v>
      </c>
      <c r="I288" s="18" t="str">
        <f>IF(H288&gt;=255,"ممتاز",IF(H288&gt;=225,"جيد جدا",IF(H288&gt;=195,"جيد",IF(H288&gt;=180,"مقبول","راسب"))))</f>
        <v>راسب</v>
      </c>
      <c r="J288" s="28" t="s">
        <v>315</v>
      </c>
      <c r="K288" s="37">
        <v>0</v>
      </c>
      <c r="L288" s="28" t="str">
        <f>IF(K288&gt;=85,"ممتاز",IF(K288&gt;=75,"جيد جدا",IF(K288&gt;=65,"جيد",IF(K288&gt;=60,"مقبول","راسب"))))</f>
        <v>راسب</v>
      </c>
      <c r="M288" s="28" t="s">
        <v>315</v>
      </c>
      <c r="N288" s="17">
        <v>0</v>
      </c>
      <c r="O288" s="37">
        <v>0</v>
      </c>
      <c r="P288" s="29" t="str">
        <f>IF(AND(N288&gt;=24),IF(O288&gt;=85,"ممتاز",IF(O288&gt;=75,"جيد جداً",IF(O288&gt;=65,"جيد",IF(O288&gt;=60,"مقبول","راسب")))),"راسب ")</f>
        <v xml:space="preserve">راسب </v>
      </c>
      <c r="Q288" s="28" t="s">
        <v>315</v>
      </c>
      <c r="R288" s="37">
        <v>0</v>
      </c>
      <c r="S288" s="29" t="str">
        <f>IF(R288&gt;=85,"ممتاز",IF(R288&gt;=75,"جيد جدا",IF(R288&gt;=65,"جيد",IF(R288&gt;=60,"مقبول","راسب"))))</f>
        <v>راسب</v>
      </c>
      <c r="T288" s="28" t="s">
        <v>315</v>
      </c>
      <c r="U288" s="29" t="s">
        <v>315</v>
      </c>
      <c r="V288" s="32">
        <f>SUM(E288,H288,K288,O288,R288)</f>
        <v>0</v>
      </c>
      <c r="W288" s="18" t="str">
        <f>IF(AND(H288&gt;=180,E288&gt;=120,O288&gt;=60,K288&gt;=60,R288&gt;=60,D288&gt;=30,N288&gt;=24),IF(V288&gt;=680,"ممتاز",IF(V288&gt;=600,"جيد جدا",IF(V288&gt;=520,"جيد",IF(V288&gt;=480,"مقبول","راسب")))),"راسب")</f>
        <v>راسب</v>
      </c>
      <c r="X288" s="19">
        <f>IF(AND(O288&gt;=60,R288&gt;=60,K288&gt;=60,H288&gt;=180,E288&gt;=120,D288&gt;=30,N288&gt;=24),(V288/800)*100%,0)</f>
        <v>0</v>
      </c>
    </row>
    <row r="289" spans="1:24" x14ac:dyDescent="0.35">
      <c r="A289" s="15">
        <v>280</v>
      </c>
      <c r="B289" s="23">
        <v>1516838</v>
      </c>
      <c r="C289" s="23" t="s">
        <v>138</v>
      </c>
      <c r="D289" s="30">
        <v>43</v>
      </c>
      <c r="E289" s="30">
        <v>139</v>
      </c>
      <c r="F289" s="28" t="str">
        <f>IF(AND(D289&gt;=30),IF(E289&gt;=170,"ممتاز",IF(E289&gt;=150,"جيد جداً",IF(E289&gt;=130,"جيد",IF(E289&gt;=120,"مقبول","راسب")))),"راسب ")</f>
        <v>جيد</v>
      </c>
      <c r="G289" s="28" t="s">
        <v>200</v>
      </c>
      <c r="H289" s="32">
        <v>180</v>
      </c>
      <c r="I289" s="18" t="str">
        <f>IF(H289&gt;=255,"ممتاز",IF(H289&gt;=225,"جيد جدا",IF(H289&gt;=195,"جيد",IF(H289&gt;=180,"مقبول","راسب"))))</f>
        <v>مقبول</v>
      </c>
      <c r="J289" s="28" t="s">
        <v>200</v>
      </c>
      <c r="K289" s="32">
        <v>69</v>
      </c>
      <c r="L289" s="28" t="str">
        <f>IF(K289&gt;=85,"ممتاز",IF(K289&gt;=75,"جيد جدا",IF(K289&gt;=65,"جيد",IF(K289&gt;=60,"مقبول","راسب"))))</f>
        <v>جيد</v>
      </c>
      <c r="M289" s="28" t="s">
        <v>200</v>
      </c>
      <c r="N289" s="22">
        <v>24</v>
      </c>
      <c r="O289" s="22">
        <v>62.5</v>
      </c>
      <c r="P289" s="29" t="str">
        <f>IF(AND(N289&gt;=24),IF(O289&gt;=85,"ممتاز",IF(O289&gt;=75,"جيد جداً",IF(O289&gt;=65,"جيد",IF(O289&gt;=60,"مقبول","راسب")))),"راسب ")</f>
        <v>مقبول</v>
      </c>
      <c r="Q289" s="28" t="s">
        <v>200</v>
      </c>
      <c r="R289" s="37">
        <v>0</v>
      </c>
      <c r="S289" s="29" t="str">
        <f>IF(R289&gt;=85,"ممتاز",IF(R289&gt;=75,"جيد جدا",IF(R289&gt;=65,"جيد",IF(R289&gt;=60,"مقبول","راسب"))))</f>
        <v>راسب</v>
      </c>
      <c r="T289" s="28" t="s">
        <v>315</v>
      </c>
      <c r="U289" s="29"/>
      <c r="V289" s="32">
        <f>SUM(E289,H289,K289,O289,R289)</f>
        <v>450.5</v>
      </c>
      <c r="W289" s="18" t="str">
        <f>IF(AND(H289&gt;=180,E289&gt;=120,O289&gt;=60,K289&gt;=60,R289&gt;=60,D289&gt;=30,N289&gt;=24),IF(V289&gt;=680,"ممتاز",IF(V289&gt;=600,"جيد جدا",IF(V289&gt;=520,"جيد",IF(V289&gt;=480,"مقبول","راسب")))),"راسب")</f>
        <v>راسب</v>
      </c>
      <c r="X289" s="19">
        <f>IF(AND(O289&gt;=60,R289&gt;=60,K289&gt;=60,H289&gt;=180,E289&gt;=120,D289&gt;=30,N289&gt;=24),(V289/800)*100%,0)</f>
        <v>0</v>
      </c>
    </row>
    <row r="290" spans="1:24" x14ac:dyDescent="0.35">
      <c r="A290" s="15">
        <v>281</v>
      </c>
      <c r="B290" s="23">
        <v>4140152</v>
      </c>
      <c r="C290" s="23" t="s">
        <v>139</v>
      </c>
      <c r="D290" s="30">
        <v>42</v>
      </c>
      <c r="E290" s="30">
        <v>170</v>
      </c>
      <c r="F290" s="28" t="str">
        <f>IF(AND(D290&gt;=30),IF(E290&gt;=170,"ممتاز",IF(E290&gt;=150,"جيد جداً",IF(E290&gt;=130,"جيد",IF(E290&gt;=120,"مقبول","راسب")))),"راسب ")</f>
        <v>ممتاز</v>
      </c>
      <c r="G290" s="28" t="s">
        <v>200</v>
      </c>
      <c r="H290" s="36">
        <v>0</v>
      </c>
      <c r="I290" s="18" t="str">
        <f>IF(H290&gt;=255,"ممتاز",IF(H290&gt;=225,"جيد جدا",IF(H290&gt;=195,"جيد",IF(H290&gt;=180,"مقبول","راسب"))))</f>
        <v>راسب</v>
      </c>
      <c r="J290" s="28" t="s">
        <v>315</v>
      </c>
      <c r="K290" s="37">
        <v>0</v>
      </c>
      <c r="L290" s="28" t="str">
        <f>IF(K290&gt;=85,"ممتاز",IF(K290&gt;=75,"جيد جدا",IF(K290&gt;=65,"جيد",IF(K290&gt;=60,"مقبول","راسب"))))</f>
        <v>راسب</v>
      </c>
      <c r="M290" s="28" t="s">
        <v>315</v>
      </c>
      <c r="N290" s="17">
        <v>0</v>
      </c>
      <c r="O290" s="37">
        <v>0</v>
      </c>
      <c r="P290" s="29" t="str">
        <f>IF(AND(N290&gt;=24),IF(O290&gt;=85,"ممتاز",IF(O290&gt;=75,"جيد جداً",IF(O290&gt;=65,"جيد",IF(O290&gt;=60,"مقبول","راسب")))),"راسب ")</f>
        <v xml:space="preserve">راسب </v>
      </c>
      <c r="Q290" s="28" t="s">
        <v>315</v>
      </c>
      <c r="R290" s="37">
        <v>0</v>
      </c>
      <c r="S290" s="29" t="str">
        <f>IF(R290&gt;=85,"ممتاز",IF(R290&gt;=75,"جيد جدا",IF(R290&gt;=65,"جيد",IF(R290&gt;=60,"مقبول","راسب"))))</f>
        <v>راسب</v>
      </c>
      <c r="T290" s="28" t="s">
        <v>315</v>
      </c>
      <c r="U290" s="29"/>
      <c r="V290" s="32">
        <f>SUM(E290,H290,K290,O290,R290)</f>
        <v>170</v>
      </c>
      <c r="W290" s="18" t="str">
        <f>IF(AND(H290&gt;=180,E290&gt;=120,O290&gt;=60,K290&gt;=60,R290&gt;=60,D290&gt;=30,N290&gt;=24),IF(V290&gt;=680,"ممتاز",IF(V290&gt;=600,"جيد جدا",IF(V290&gt;=520,"جيد",IF(V290&gt;=480,"مقبول","راسب")))),"راسب")</f>
        <v>راسب</v>
      </c>
      <c r="X290" s="19">
        <f>IF(AND(O290&gt;=60,R290&gt;=60,K290&gt;=60,H290&gt;=180,E290&gt;=120,D290&gt;=30,N290&gt;=24),(V290/800)*100%,0)</f>
        <v>0</v>
      </c>
    </row>
  </sheetData>
  <autoFilter ref="B9:X9" xr:uid="{00000000-0001-0000-0000-000000000000}">
    <sortState xmlns:xlrd2="http://schemas.microsoft.com/office/spreadsheetml/2017/richdata2" ref="B10:X290">
      <sortCondition descending="1" ref="R9"/>
    </sortState>
  </autoFilter>
  <mergeCells count="21">
    <mergeCell ref="A6:A8"/>
    <mergeCell ref="B6:B8"/>
    <mergeCell ref="C6:C8"/>
    <mergeCell ref="D6:F6"/>
    <mergeCell ref="H6:I6"/>
    <mergeCell ref="F7:F8"/>
    <mergeCell ref="I7:I8"/>
    <mergeCell ref="A1:X1"/>
    <mergeCell ref="A2:X2"/>
    <mergeCell ref="A3:X3"/>
    <mergeCell ref="A4:X4"/>
    <mergeCell ref="A5:X5"/>
    <mergeCell ref="L7:L8"/>
    <mergeCell ref="P7:P8"/>
    <mergeCell ref="S7:S8"/>
    <mergeCell ref="X7:X8"/>
    <mergeCell ref="K6:L6"/>
    <mergeCell ref="N6:P6"/>
    <mergeCell ref="R6:S6"/>
    <mergeCell ref="U6:X6"/>
    <mergeCell ref="W7:W8"/>
  </mergeCells>
  <conditionalFormatting sqref="B1:C1048576">
    <cfRule type="duplicateValues" dxfId="69" priority="1"/>
    <cfRule type="duplicateValues" dxfId="68" priority="516"/>
  </conditionalFormatting>
  <conditionalFormatting sqref="D10:D290">
    <cfRule type="cellIs" dxfId="67" priority="116" operator="greaterThan">
      <formula>29.9</formula>
    </cfRule>
    <cfRule type="cellIs" dxfId="66" priority="117" operator="lessThan">
      <formula>30</formula>
    </cfRule>
  </conditionalFormatting>
  <conditionalFormatting sqref="E1:E4 E6">
    <cfRule type="cellIs" dxfId="65" priority="175" operator="lessThan">
      <formula>120</formula>
    </cfRule>
    <cfRule type="cellIs" dxfId="64" priority="174" operator="greaterThan">
      <formula>119.9999</formula>
    </cfRule>
    <cfRule type="cellIs" dxfId="63" priority="173" operator="between">
      <formula>113.5</formula>
      <formula>119.99999</formula>
    </cfRule>
  </conditionalFormatting>
  <conditionalFormatting sqref="E10:E290">
    <cfRule type="cellIs" dxfId="62" priority="149" operator="between">
      <formula>130</formula>
      <formula>149.995</formula>
    </cfRule>
    <cfRule type="cellIs" dxfId="61" priority="148" operator="between">
      <formula>150</formula>
      <formula>169.995</formula>
    </cfRule>
    <cfRule type="cellIs" dxfId="60" priority="150" operator="between">
      <formula>120</formula>
      <formula>129.995</formula>
    </cfRule>
    <cfRule type="cellIs" dxfId="59" priority="113" operator="lessThan">
      <formula>120</formula>
    </cfRule>
    <cfRule type="cellIs" dxfId="58" priority="147" operator="between">
      <formula>170</formula>
      <formula>200</formula>
    </cfRule>
    <cfRule type="cellIs" dxfId="57" priority="146" operator="between">
      <formula>110</formula>
      <formula>113.499999</formula>
    </cfRule>
    <cfRule type="cellIs" dxfId="56" priority="145" operator="between">
      <formula>113.5</formula>
      <formula>119.9999</formula>
    </cfRule>
    <cfRule type="cellIs" dxfId="55" priority="153" operator="between">
      <formula>113.5</formula>
      <formula>119.999</formula>
    </cfRule>
    <cfRule type="cellIs" dxfId="54" priority="152" operator="lessThan">
      <formula>120</formula>
    </cfRule>
    <cfRule type="containsText" dxfId="53" priority="151" operator="containsText" text="غياب">
      <formula>NOT(ISERROR(SEARCH("غياب",E10)))</formula>
    </cfRule>
  </conditionalFormatting>
  <conditionalFormatting sqref="F10:G290 I10:J290 M10:M290 P10:Q290 S10:T290 W10:W290">
    <cfRule type="containsText" dxfId="52" priority="142" operator="containsText" text="راسب عملي">
      <formula>NOT(ISERROR(SEARCH("راسب عملي",F10)))</formula>
    </cfRule>
    <cfRule type="containsText" dxfId="51" priority="143" operator="containsText" text="راسب">
      <formula>NOT(ISERROR(SEARCH("راسب",F10)))</formula>
    </cfRule>
    <cfRule type="containsText" dxfId="50" priority="139" operator="containsText" text="جيد جدا">
      <formula>NOT(ISERROR(SEARCH("جيد جدا",F10)))</formula>
    </cfRule>
    <cfRule type="containsText" dxfId="49" priority="140" operator="containsText" text="جيد">
      <formula>NOT(ISERROR(SEARCH("جيد",F10)))</formula>
    </cfRule>
    <cfRule type="containsText" dxfId="48" priority="141" operator="containsText" text="مقبول">
      <formula>NOT(ISERROR(SEARCH("مقبول",F10)))</formula>
    </cfRule>
  </conditionalFormatting>
  <conditionalFormatting sqref="G10:G290 J10:J290 M10:M290 Q10:Q290 T10:T290">
    <cfRule type="cellIs" dxfId="47" priority="92" operator="equal">
      <formula>"حضور"</formula>
    </cfRule>
    <cfRule type="cellIs" dxfId="46" priority="93" operator="equal">
      <formula>"غياب"</formula>
    </cfRule>
    <cfRule type="cellIs" dxfId="45" priority="94" operator="equal">
      <formula>"ناجح"</formula>
    </cfRule>
  </conditionalFormatting>
  <conditionalFormatting sqref="H10:H290">
    <cfRule type="cellIs" dxfId="44" priority="162" operator="between">
      <formula>170</formula>
      <formula>179.99999</formula>
    </cfRule>
    <cfRule type="cellIs" dxfId="43" priority="163" operator="between">
      <formula>165</formula>
      <formula>170.499999</formula>
    </cfRule>
    <cfRule type="cellIs" dxfId="42" priority="110" operator="lessThan">
      <formula>180</formula>
    </cfRule>
    <cfRule type="containsText" dxfId="41" priority="164" operator="containsText" text="غياب">
      <formula>NOT(ISERROR(SEARCH("غياب",H10)))</formula>
    </cfRule>
    <cfRule type="cellIs" dxfId="40" priority="165" operator="between">
      <formula>255</formula>
      <formula>300</formula>
    </cfRule>
    <cfRule type="cellIs" dxfId="39" priority="166" operator="between">
      <formula>225</formula>
      <formula>254.995</formula>
    </cfRule>
    <cfRule type="cellIs" dxfId="38" priority="167" operator="between">
      <formula>195</formula>
      <formula>224.995</formula>
    </cfRule>
    <cfRule type="cellIs" dxfId="37" priority="169" operator="lessThan">
      <formula>180</formula>
    </cfRule>
    <cfRule type="cellIs" dxfId="36" priority="170" operator="between">
      <formula>170.5</formula>
      <formula>179.999</formula>
    </cfRule>
    <cfRule type="containsText" dxfId="35" priority="171" operator="containsText" text="غياب">
      <formula>NOT(ISERROR(SEARCH("غياب",H10)))</formula>
    </cfRule>
    <cfRule type="cellIs" dxfId="34" priority="168" operator="between">
      <formula>180</formula>
      <formula>194.995</formula>
    </cfRule>
  </conditionalFormatting>
  <conditionalFormatting sqref="K10:K290 O10:O290 R10:R290">
    <cfRule type="cellIs" dxfId="33" priority="160" operator="between">
      <formula>60</formula>
      <formula>64.995</formula>
    </cfRule>
    <cfRule type="cellIs" dxfId="32" priority="108" operator="lessThan">
      <formula>60</formula>
    </cfRule>
    <cfRule type="cellIs" dxfId="31" priority="118" operator="between">
      <formula>60</formula>
      <formula>64.99999999</formula>
    </cfRule>
    <cfRule type="cellIs" dxfId="30" priority="155" operator="between">
      <formula>56.5</formula>
      <formula>58.4999999</formula>
    </cfRule>
    <cfRule type="cellIs" dxfId="29" priority="156" operator="between">
      <formula>58.5</formula>
      <formula>59.9999999</formula>
    </cfRule>
    <cfRule type="cellIs" dxfId="28" priority="157" operator="between">
      <formula>85</formula>
      <formula>100</formula>
    </cfRule>
    <cfRule type="cellIs" dxfId="27" priority="158" operator="between">
      <formula>75</formula>
      <formula>84.995</formula>
    </cfRule>
    <cfRule type="cellIs" dxfId="26" priority="159" operator="between">
      <formula>65</formula>
      <formula>74.995</formula>
    </cfRule>
    <cfRule type="cellIs" dxfId="25" priority="161" operator="lessThan">
      <formula>60</formula>
    </cfRule>
    <cfRule type="cellIs" dxfId="24" priority="154" operator="between">
      <formula>56.5</formula>
      <formula>60</formula>
    </cfRule>
  </conditionalFormatting>
  <conditionalFormatting sqref="L10:L290">
    <cfRule type="containsText" dxfId="23" priority="129" operator="containsText" text="جيد جدا">
      <formula>NOT(ISERROR(SEARCH("جيد جدا",L10)))</formula>
    </cfRule>
    <cfRule type="containsText" dxfId="22" priority="135" operator="containsText" text="راسب">
      <formula>NOT(ISERROR(SEARCH("راسب",L10)))</formula>
    </cfRule>
    <cfRule type="containsText" dxfId="21" priority="133" operator="containsText" text="مقبول">
      <formula>NOT(ISERROR(SEARCH("مقبول",L10)))</formula>
    </cfRule>
    <cfRule type="containsText" dxfId="20" priority="132" operator="containsText" text="جيد">
      <formula>NOT(ISERROR(SEARCH("جيد",L10)))</formula>
    </cfRule>
    <cfRule type="containsText" dxfId="19" priority="134" operator="containsText" text="راسب عملي">
      <formula>NOT(ISERROR(SEARCH("راسب عملي",L10)))</formula>
    </cfRule>
    <cfRule type="containsText" dxfId="18" priority="131" operator="containsText" text="جبد جدا">
      <formula>NOT(ISERROR(SEARCH("جبد جدا",L10)))</formula>
    </cfRule>
  </conditionalFormatting>
  <conditionalFormatting sqref="L10:M290 F10:G290 I10:J290 P10:Q290 S10:T290 W10:W290">
    <cfRule type="containsText" dxfId="17" priority="138" operator="containsText" text="ممتاز">
      <formula>NOT(ISERROR(SEARCH("ممتاز",F10)))</formula>
    </cfRule>
  </conditionalFormatting>
  <conditionalFormatting sqref="N10:N290">
    <cfRule type="cellIs" dxfId="16" priority="137" operator="lessThan">
      <formula>24</formula>
    </cfRule>
    <cfRule type="cellIs" dxfId="15" priority="136" operator="greaterThan">
      <formula>23.9</formula>
    </cfRule>
  </conditionalFormatting>
  <conditionalFormatting sqref="U1:U1048576">
    <cfRule type="cellIs" dxfId="14" priority="115" operator="equal">
      <formula>"حضور"</formula>
    </cfRule>
    <cfRule type="cellIs" dxfId="13" priority="144" operator="equal">
      <formula>"حضور"</formula>
    </cfRule>
  </conditionalFormatting>
  <conditionalFormatting sqref="U10:U290">
    <cfRule type="containsText" dxfId="12" priority="172" operator="containsText" text="غياب">
      <formula>NOT(ISERROR(SEARCH("غياب",U10)))</formula>
    </cfRule>
  </conditionalFormatting>
  <conditionalFormatting sqref="V10:V290">
    <cfRule type="cellIs" dxfId="11" priority="123" operator="greaterThan">
      <formula>479</formula>
    </cfRule>
    <cfRule type="cellIs" dxfId="10" priority="95" operator="lessThan">
      <formula>480</formula>
    </cfRule>
    <cfRule type="cellIs" dxfId="9" priority="114" operator="between">
      <formula>600</formula>
      <formula>679.99999</formula>
    </cfRule>
    <cfRule type="cellIs" dxfId="8" priority="119" operator="between">
      <formula>680</formula>
      <formula>800</formula>
    </cfRule>
    <cfRule type="cellIs" dxfId="7" priority="120" operator="between">
      <formula>600</formula>
      <formula>679</formula>
    </cfRule>
    <cfRule type="cellIs" dxfId="6" priority="121" operator="between">
      <formula>520</formula>
      <formula>599</formula>
    </cfRule>
    <cfRule type="cellIs" dxfId="5" priority="122" operator="between">
      <formula>480</formula>
      <formula>519</formula>
    </cfRule>
  </conditionalFormatting>
  <conditionalFormatting sqref="X10:X290">
    <cfRule type="cellIs" dxfId="4" priority="128" operator="lessThan">
      <formula>0.6</formula>
    </cfRule>
    <cfRule type="cellIs" dxfId="3" priority="126" operator="between">
      <formula>0.65</formula>
      <formula>0.7499</formula>
    </cfRule>
    <cfRule type="cellIs" dxfId="2" priority="125" operator="between">
      <formula>0.75</formula>
      <formula>0.8499</formula>
    </cfRule>
    <cfRule type="cellIs" dxfId="1" priority="124" operator="between">
      <formula>0.85</formula>
      <formula>1</formula>
    </cfRule>
    <cfRule type="cellIs" dxfId="0" priority="127" operator="between">
      <formula>0.6</formula>
      <formula>0.6499</formula>
    </cfRule>
  </conditionalFormatting>
  <dataValidations count="5">
    <dataValidation type="decimal" allowBlank="1" showInputMessage="1" showErrorMessage="1" sqref="E7:E9" xr:uid="{DFD97F9F-6EEE-4C7B-8DA1-EC0D9066AB2D}">
      <formula1>0</formula1>
      <formula2>200</formula2>
    </dataValidation>
    <dataValidation type="decimal" allowBlank="1" showInputMessage="1" showErrorMessage="1" sqref="O7:O9 K6:K9 R6:R9" xr:uid="{690C7E32-7696-4875-9B81-658EF2DA11B5}">
      <formula1>0</formula1>
      <formula2>100</formula2>
    </dataValidation>
    <dataValidation type="textLength" operator="equal" allowBlank="1" showInputMessage="1" showErrorMessage="1" prompt="لا تكتب الا كلمة غياب" sqref="U10:U290" xr:uid="{C1A3759C-33F7-4F77-86B6-6B3268A97645}">
      <formula1>4</formula1>
    </dataValidation>
    <dataValidation type="decimal" allowBlank="1" showInputMessage="1" showErrorMessage="1" sqref="D6:D9" xr:uid="{C68091CB-A7CF-4FEE-A93B-4281216A832C}">
      <formula1>0</formula1>
      <formula2>50</formula2>
    </dataValidation>
    <dataValidation type="decimal" allowBlank="1" showInputMessage="1" showErrorMessage="1" sqref="H7:H9" xr:uid="{63A064DE-BDAC-4C6F-B67D-3B6180219C04}">
      <formula1>0</formula1>
      <formula2>300</formula2>
    </dataValidation>
  </dataValidations>
  <printOptions horizontalCentered="1"/>
  <pageMargins left="0.31496062992126" right="0.70866141732283505" top="0.74803149606299202" bottom="1.5354330709999999" header="0.511811023622047" footer="1.25"/>
  <pageSetup scale="39" fitToHeight="0" orientation="landscape" r:id="rId1"/>
  <headerFooter>
    <oddHeader>صفحة &amp;P من &amp;N</oddHeader>
    <oddFooter xml:space="preserve">&amp;Lعميد كلية الطب البشري
&amp;Cرؤساء الاقسام
&amp;R قسم الدراسة والامتحانات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الدور الثاني</vt:lpstr>
      <vt:lpstr>'الدور الثاني'!Print_Titles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alawgali</dc:creator>
  <cp:lastModifiedBy>saleh alawgali</cp:lastModifiedBy>
  <cp:lastPrinted>2026-10-10T11:47:15Z</cp:lastPrinted>
  <dcterms:created xsi:type="dcterms:W3CDTF">2024-11-24T22:28:45Z</dcterms:created>
  <dcterms:modified xsi:type="dcterms:W3CDTF">2026-10-11T09:25:41Z</dcterms:modified>
</cp:coreProperties>
</file>